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racker\"/>
    </mc:Choice>
  </mc:AlternateContent>
  <xr:revisionPtr revIDLastSave="0" documentId="13_ncr:1_{F6B35C61-371D-44C7-BB47-A38A58B57B3F}" xr6:coauthVersionLast="47" xr6:coauthVersionMax="47" xr10:uidLastSave="{00000000-0000-0000-0000-000000000000}"/>
  <bookViews>
    <workbookView xWindow="28680" yWindow="-120" windowWidth="38640" windowHeight="15720" activeTab="2" xr2:uid="{D0FF3C12-C4B9-4520-A035-A198C7014B2A}"/>
  </bookViews>
  <sheets>
    <sheet name="Dashboard" sheetId="8" r:id="rId1"/>
    <sheet name="Pivot" sheetId="7" r:id="rId2"/>
    <sheet name="Total" sheetId="2" r:id="rId3"/>
    <sheet name="Summary" sheetId="9" r:id="rId4"/>
  </sheets>
  <definedNames>
    <definedName name="_xlnm._FilterDatabase" localSheetId="2" hidden="1">Total!$A$1:$L$4211</definedName>
    <definedName name="_xlcn.WorksheetConnection_TotalAH1" hidden="1">Total!$A:$G</definedName>
    <definedName name="_xlcn.WorksheetConnection_TotalAK1" hidden="1">Total!$A:$J</definedName>
    <definedName name="Timeline_Date_completed">#N/A</definedName>
    <definedName name="Timeline_Date_completed1">#N/A</definedName>
  </definedNames>
  <calcPr calcId="191029" concurrentCalc="0"/>
  <pivotCaches>
    <pivotCache cacheId="61" r:id="rId5"/>
    <pivotCache cacheId="64" r:id="rId6"/>
    <pivotCache cacheId="67" r:id="rId7"/>
    <pivotCache cacheId="71" r:id="rId8"/>
    <pivotCache cacheId="75" r:id="rId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70" r:id="rId10"/>
        <pivotCache cacheId="74" r:id="rId11"/>
      </x15:timelineCachePivotCaches>
    </ext>
    <ext xmlns:x15="http://schemas.microsoft.com/office/spreadsheetml/2010/11/main" uri="{D0CA8CA8-9F24-4464-BF8E-62219DCF47F9}">
      <x15:timelineCacheRefs>
        <x15:timelineCacheRef r:id="rId12"/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Total!$A:$K"/>
          <x15:modelTable id="Range" name="Range" connection="WorksheetConnection_Total!$A:$H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 completed" columnId="Date completed">
                <x16:calculatedTimeColumn columnName="Date completed (Year)" columnId="Date completed (Year)" contentType="years" isSelected="1"/>
                <x16:calculatedTimeColumn columnName="Date completed (Quarter)" columnId="Date completed (Quarter)" contentType="quarters" isSelected="1"/>
                <x16:calculatedTimeColumn columnName="Date completed (Month Index)" columnId="Date completed (Month Index)" contentType="monthsindex" isSelected="1"/>
                <x16:calculatedTimeColumn columnName="Date completed (Month)" columnId="Date completed (Month)" contentType="months" isSelected="1"/>
              </x16:modelTimeGrouping>
              <x16:modelTimeGrouping tableName="Range 1" columnName="Date completed" columnId="Date completed">
                <x16:calculatedTimeColumn columnName="Date completed (Year)" columnId="Date completed (Year)" contentType="years" isSelected="1"/>
                <x16:calculatedTimeColumn columnName="Date completed (Quarter)" columnId="Date completed (Quarter)" contentType="quarters" isSelected="1"/>
                <x16:calculatedTimeColumn columnName="Date completed (Month Index)" columnId="Date completed (Month Index)" contentType="monthsindex" isSelected="1"/>
                <x16:calculatedTimeColumn columnName="Date completed (Month)" columnId="Date complet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J17" i="2"/>
  <c r="J18" i="2"/>
  <c r="B416" i="9"/>
  <c r="C416" i="9"/>
  <c r="D416" i="9"/>
  <c r="E416" i="9"/>
  <c r="B417" i="9"/>
  <c r="C417" i="9"/>
  <c r="D417" i="9"/>
  <c r="E417" i="9"/>
  <c r="B418" i="9"/>
  <c r="C418" i="9"/>
  <c r="D418" i="9"/>
  <c r="E418" i="9"/>
  <c r="B419" i="9"/>
  <c r="C419" i="9"/>
  <c r="D419" i="9"/>
  <c r="E419" i="9"/>
  <c r="B420" i="9"/>
  <c r="C420" i="9"/>
  <c r="D420" i="9"/>
  <c r="E420" i="9"/>
  <c r="B421" i="9"/>
  <c r="C421" i="9"/>
  <c r="D421" i="9"/>
  <c r="E421" i="9"/>
  <c r="B422" i="9"/>
  <c r="C422" i="9"/>
  <c r="D422" i="9"/>
  <c r="E422" i="9"/>
  <c r="B423" i="9"/>
  <c r="C423" i="9"/>
  <c r="D423" i="9"/>
  <c r="E423" i="9"/>
  <c r="B424" i="9"/>
  <c r="C424" i="9"/>
  <c r="D424" i="9"/>
  <c r="E424" i="9"/>
  <c r="B425" i="9"/>
  <c r="C425" i="9"/>
  <c r="D425" i="9"/>
  <c r="E425" i="9"/>
  <c r="B426" i="9"/>
  <c r="C426" i="9"/>
  <c r="D426" i="9"/>
  <c r="E426" i="9"/>
  <c r="B427" i="9"/>
  <c r="C427" i="9"/>
  <c r="D427" i="9"/>
  <c r="E427" i="9"/>
  <c r="B428" i="9"/>
  <c r="C428" i="9"/>
  <c r="D428" i="9"/>
  <c r="E428" i="9"/>
  <c r="B429" i="9"/>
  <c r="C429" i="9"/>
  <c r="D429" i="9"/>
  <c r="E429" i="9"/>
  <c r="B430" i="9"/>
  <c r="C430" i="9"/>
  <c r="D430" i="9"/>
  <c r="E430" i="9"/>
  <c r="B431" i="9"/>
  <c r="C431" i="9"/>
  <c r="D431" i="9"/>
  <c r="E431" i="9"/>
  <c r="B432" i="9"/>
  <c r="C432" i="9"/>
  <c r="D432" i="9"/>
  <c r="E432" i="9"/>
  <c r="B433" i="9"/>
  <c r="C433" i="9"/>
  <c r="D433" i="9"/>
  <c r="E433" i="9"/>
  <c r="B434" i="9"/>
  <c r="C434" i="9"/>
  <c r="D434" i="9"/>
  <c r="E434" i="9"/>
  <c r="B435" i="9"/>
  <c r="C435" i="9"/>
  <c r="D435" i="9"/>
  <c r="E435" i="9"/>
  <c r="B436" i="9"/>
  <c r="C436" i="9"/>
  <c r="D436" i="9"/>
  <c r="E436" i="9"/>
  <c r="B437" i="9"/>
  <c r="C437" i="9"/>
  <c r="D437" i="9"/>
  <c r="E437" i="9"/>
  <c r="B438" i="9"/>
  <c r="C438" i="9"/>
  <c r="D438" i="9"/>
  <c r="E438" i="9"/>
  <c r="B439" i="9"/>
  <c r="C439" i="9"/>
  <c r="D439" i="9"/>
  <c r="E439" i="9"/>
  <c r="B440" i="9"/>
  <c r="C440" i="9"/>
  <c r="D440" i="9"/>
  <c r="E440" i="9"/>
  <c r="B441" i="9"/>
  <c r="C441" i="9"/>
  <c r="D441" i="9"/>
  <c r="E441" i="9"/>
  <c r="B442" i="9"/>
  <c r="C442" i="9"/>
  <c r="D442" i="9"/>
  <c r="E442" i="9"/>
  <c r="B443" i="9"/>
  <c r="C443" i="9"/>
  <c r="D443" i="9"/>
  <c r="E443" i="9"/>
  <c r="B444" i="9"/>
  <c r="C444" i="9"/>
  <c r="D444" i="9"/>
  <c r="E444" i="9"/>
  <c r="B445" i="9"/>
  <c r="C445" i="9"/>
  <c r="D445" i="9"/>
  <c r="E445" i="9"/>
  <c r="B446" i="9"/>
  <c r="C446" i="9"/>
  <c r="D446" i="9"/>
  <c r="E446" i="9"/>
  <c r="B447" i="9"/>
  <c r="C447" i="9"/>
  <c r="D447" i="9"/>
  <c r="E447" i="9"/>
  <c r="B448" i="9"/>
  <c r="C448" i="9"/>
  <c r="D448" i="9"/>
  <c r="E448" i="9"/>
  <c r="B449" i="9"/>
  <c r="C449" i="9"/>
  <c r="D449" i="9"/>
  <c r="E449" i="9"/>
  <c r="B450" i="9"/>
  <c r="C450" i="9"/>
  <c r="D450" i="9"/>
  <c r="E450" i="9"/>
  <c r="B451" i="9"/>
  <c r="C451" i="9"/>
  <c r="D451" i="9"/>
  <c r="E451" i="9"/>
  <c r="B452" i="9"/>
  <c r="C452" i="9"/>
  <c r="D452" i="9"/>
  <c r="E452" i="9"/>
  <c r="B453" i="9"/>
  <c r="C453" i="9"/>
  <c r="D453" i="9"/>
  <c r="E453" i="9"/>
  <c r="B454" i="9"/>
  <c r="C454" i="9"/>
  <c r="D454" i="9"/>
  <c r="E454" i="9"/>
  <c r="B455" i="9"/>
  <c r="C455" i="9"/>
  <c r="D455" i="9"/>
  <c r="E455" i="9"/>
  <c r="B456" i="9"/>
  <c r="C456" i="9"/>
  <c r="D456" i="9"/>
  <c r="E456" i="9"/>
  <c r="B457" i="9"/>
  <c r="C457" i="9"/>
  <c r="D457" i="9"/>
  <c r="E457" i="9"/>
  <c r="B458" i="9"/>
  <c r="C458" i="9"/>
  <c r="D458" i="9"/>
  <c r="E458" i="9"/>
  <c r="B459" i="9"/>
  <c r="C459" i="9"/>
  <c r="D459" i="9"/>
  <c r="E459" i="9"/>
  <c r="B460" i="9"/>
  <c r="C460" i="9"/>
  <c r="D460" i="9"/>
  <c r="E460" i="9"/>
  <c r="B461" i="9"/>
  <c r="C461" i="9"/>
  <c r="D461" i="9"/>
  <c r="E461" i="9"/>
  <c r="B462" i="9"/>
  <c r="C462" i="9"/>
  <c r="D462" i="9"/>
  <c r="E462" i="9"/>
  <c r="B463" i="9"/>
  <c r="C463" i="9"/>
  <c r="D463" i="9"/>
  <c r="E463" i="9"/>
  <c r="B464" i="9"/>
  <c r="C464" i="9"/>
  <c r="D464" i="9"/>
  <c r="E464" i="9"/>
  <c r="B465" i="9"/>
  <c r="C465" i="9"/>
  <c r="D465" i="9"/>
  <c r="E465" i="9"/>
  <c r="B466" i="9"/>
  <c r="C466" i="9"/>
  <c r="D466" i="9"/>
  <c r="E466" i="9"/>
  <c r="B467" i="9"/>
  <c r="C467" i="9"/>
  <c r="D467" i="9"/>
  <c r="E467" i="9"/>
  <c r="B468" i="9"/>
  <c r="C468" i="9"/>
  <c r="D468" i="9"/>
  <c r="E468" i="9"/>
  <c r="B469" i="9"/>
  <c r="C469" i="9"/>
  <c r="D469" i="9"/>
  <c r="E469" i="9"/>
  <c r="B470" i="9"/>
  <c r="C470" i="9"/>
  <c r="D470" i="9"/>
  <c r="E470" i="9"/>
  <c r="B471" i="9"/>
  <c r="C471" i="9"/>
  <c r="D471" i="9"/>
  <c r="E471" i="9"/>
  <c r="B472" i="9"/>
  <c r="C472" i="9"/>
  <c r="D472" i="9"/>
  <c r="E472" i="9"/>
  <c r="B473" i="9"/>
  <c r="C473" i="9"/>
  <c r="D473" i="9"/>
  <c r="E473" i="9"/>
  <c r="B474" i="9"/>
  <c r="C474" i="9"/>
  <c r="D474" i="9"/>
  <c r="E474" i="9"/>
  <c r="B475" i="9"/>
  <c r="C475" i="9"/>
  <c r="D475" i="9"/>
  <c r="E475" i="9"/>
  <c r="B476" i="9"/>
  <c r="C476" i="9"/>
  <c r="D476" i="9"/>
  <c r="E476" i="9"/>
  <c r="B477" i="9"/>
  <c r="C477" i="9"/>
  <c r="D477" i="9"/>
  <c r="E477" i="9"/>
  <c r="B347" i="9"/>
  <c r="C347" i="9"/>
  <c r="D347" i="9"/>
  <c r="E347" i="9"/>
  <c r="B348" i="9"/>
  <c r="C348" i="9"/>
  <c r="D348" i="9"/>
  <c r="E348" i="9"/>
  <c r="B349" i="9"/>
  <c r="C349" i="9"/>
  <c r="D349" i="9"/>
  <c r="E349" i="9"/>
  <c r="B350" i="9"/>
  <c r="C350" i="9"/>
  <c r="D350" i="9"/>
  <c r="E350" i="9"/>
  <c r="B351" i="9"/>
  <c r="C351" i="9"/>
  <c r="D351" i="9"/>
  <c r="E351" i="9"/>
  <c r="B352" i="9"/>
  <c r="C352" i="9"/>
  <c r="D352" i="9"/>
  <c r="E352" i="9"/>
  <c r="B353" i="9"/>
  <c r="C353" i="9"/>
  <c r="D353" i="9"/>
  <c r="E353" i="9"/>
  <c r="B354" i="9"/>
  <c r="C354" i="9"/>
  <c r="D354" i="9"/>
  <c r="E354" i="9"/>
  <c r="B355" i="9"/>
  <c r="C355" i="9"/>
  <c r="D355" i="9"/>
  <c r="E355" i="9"/>
  <c r="B356" i="9"/>
  <c r="C356" i="9"/>
  <c r="D356" i="9"/>
  <c r="E356" i="9"/>
  <c r="B357" i="9"/>
  <c r="C357" i="9"/>
  <c r="D357" i="9"/>
  <c r="E357" i="9"/>
  <c r="B358" i="9"/>
  <c r="C358" i="9"/>
  <c r="D358" i="9"/>
  <c r="E358" i="9"/>
  <c r="B359" i="9"/>
  <c r="C359" i="9"/>
  <c r="D359" i="9"/>
  <c r="E359" i="9"/>
  <c r="B360" i="9"/>
  <c r="C360" i="9"/>
  <c r="D360" i="9"/>
  <c r="E360" i="9"/>
  <c r="B361" i="9"/>
  <c r="C361" i="9"/>
  <c r="D361" i="9"/>
  <c r="E361" i="9"/>
  <c r="B362" i="9"/>
  <c r="C362" i="9"/>
  <c r="D362" i="9"/>
  <c r="E362" i="9"/>
  <c r="B363" i="9"/>
  <c r="C363" i="9"/>
  <c r="D363" i="9"/>
  <c r="E363" i="9"/>
  <c r="B364" i="9"/>
  <c r="C364" i="9"/>
  <c r="D364" i="9"/>
  <c r="E364" i="9"/>
  <c r="B365" i="9"/>
  <c r="C365" i="9"/>
  <c r="D365" i="9"/>
  <c r="E365" i="9"/>
  <c r="B366" i="9"/>
  <c r="C366" i="9"/>
  <c r="D366" i="9"/>
  <c r="E366" i="9"/>
  <c r="B367" i="9"/>
  <c r="C367" i="9"/>
  <c r="D367" i="9"/>
  <c r="E367" i="9"/>
  <c r="B368" i="9"/>
  <c r="C368" i="9"/>
  <c r="D368" i="9"/>
  <c r="E368" i="9"/>
  <c r="B369" i="9"/>
  <c r="C369" i="9"/>
  <c r="D369" i="9"/>
  <c r="E369" i="9"/>
  <c r="B370" i="9"/>
  <c r="C370" i="9"/>
  <c r="D370" i="9"/>
  <c r="E370" i="9"/>
  <c r="B371" i="9"/>
  <c r="C371" i="9"/>
  <c r="D371" i="9"/>
  <c r="E371" i="9"/>
  <c r="B372" i="9"/>
  <c r="C372" i="9"/>
  <c r="D372" i="9"/>
  <c r="E372" i="9"/>
  <c r="B373" i="9"/>
  <c r="C373" i="9"/>
  <c r="D373" i="9"/>
  <c r="E373" i="9"/>
  <c r="B374" i="9"/>
  <c r="C374" i="9"/>
  <c r="D374" i="9"/>
  <c r="E374" i="9"/>
  <c r="B375" i="9"/>
  <c r="C375" i="9"/>
  <c r="D375" i="9"/>
  <c r="E375" i="9"/>
  <c r="B376" i="9"/>
  <c r="C376" i="9"/>
  <c r="D376" i="9"/>
  <c r="E376" i="9"/>
  <c r="B377" i="9"/>
  <c r="C377" i="9"/>
  <c r="D377" i="9"/>
  <c r="E377" i="9"/>
  <c r="B378" i="9"/>
  <c r="C378" i="9"/>
  <c r="D378" i="9"/>
  <c r="E378" i="9"/>
  <c r="B379" i="9"/>
  <c r="C379" i="9"/>
  <c r="D379" i="9"/>
  <c r="E379" i="9"/>
  <c r="B380" i="9"/>
  <c r="C380" i="9"/>
  <c r="D380" i="9"/>
  <c r="E380" i="9"/>
  <c r="B381" i="9"/>
  <c r="C381" i="9"/>
  <c r="D381" i="9"/>
  <c r="E381" i="9"/>
  <c r="B382" i="9"/>
  <c r="C382" i="9"/>
  <c r="D382" i="9"/>
  <c r="E382" i="9"/>
  <c r="B383" i="9"/>
  <c r="C383" i="9"/>
  <c r="D383" i="9"/>
  <c r="E383" i="9"/>
  <c r="B384" i="9"/>
  <c r="C384" i="9"/>
  <c r="D384" i="9"/>
  <c r="E384" i="9"/>
  <c r="B385" i="9"/>
  <c r="C385" i="9"/>
  <c r="D385" i="9"/>
  <c r="E385" i="9"/>
  <c r="B386" i="9"/>
  <c r="C386" i="9"/>
  <c r="D386" i="9"/>
  <c r="E386" i="9"/>
  <c r="B387" i="9"/>
  <c r="C387" i="9"/>
  <c r="D387" i="9"/>
  <c r="E387" i="9"/>
  <c r="B388" i="9"/>
  <c r="C388" i="9"/>
  <c r="D388" i="9"/>
  <c r="E388" i="9"/>
  <c r="B389" i="9"/>
  <c r="C389" i="9"/>
  <c r="D389" i="9"/>
  <c r="E389" i="9"/>
  <c r="B390" i="9"/>
  <c r="C390" i="9"/>
  <c r="D390" i="9"/>
  <c r="E390" i="9"/>
  <c r="B391" i="9"/>
  <c r="C391" i="9"/>
  <c r="D391" i="9"/>
  <c r="E391" i="9"/>
  <c r="B392" i="9"/>
  <c r="C392" i="9"/>
  <c r="D392" i="9"/>
  <c r="E392" i="9"/>
  <c r="B393" i="9"/>
  <c r="C393" i="9"/>
  <c r="D393" i="9"/>
  <c r="E393" i="9"/>
  <c r="B394" i="9"/>
  <c r="C394" i="9"/>
  <c r="D394" i="9"/>
  <c r="E394" i="9"/>
  <c r="B395" i="9"/>
  <c r="C395" i="9"/>
  <c r="D395" i="9"/>
  <c r="E395" i="9"/>
  <c r="B396" i="9"/>
  <c r="C396" i="9"/>
  <c r="D396" i="9"/>
  <c r="E396" i="9"/>
  <c r="B397" i="9"/>
  <c r="C397" i="9"/>
  <c r="D397" i="9"/>
  <c r="E397" i="9"/>
  <c r="B398" i="9"/>
  <c r="C398" i="9"/>
  <c r="D398" i="9"/>
  <c r="E398" i="9"/>
  <c r="B399" i="9"/>
  <c r="C399" i="9"/>
  <c r="D399" i="9"/>
  <c r="E399" i="9"/>
  <c r="B400" i="9"/>
  <c r="C400" i="9"/>
  <c r="D400" i="9"/>
  <c r="E400" i="9"/>
  <c r="B401" i="9"/>
  <c r="C401" i="9"/>
  <c r="D401" i="9"/>
  <c r="E401" i="9"/>
  <c r="B402" i="9"/>
  <c r="C402" i="9"/>
  <c r="D402" i="9"/>
  <c r="E402" i="9"/>
  <c r="B403" i="9"/>
  <c r="C403" i="9"/>
  <c r="D403" i="9"/>
  <c r="E403" i="9"/>
  <c r="B404" i="9"/>
  <c r="C404" i="9"/>
  <c r="D404" i="9"/>
  <c r="E404" i="9"/>
  <c r="B405" i="9"/>
  <c r="C405" i="9"/>
  <c r="D405" i="9"/>
  <c r="E405" i="9"/>
  <c r="B406" i="9"/>
  <c r="C406" i="9"/>
  <c r="D406" i="9"/>
  <c r="E406" i="9"/>
  <c r="B407" i="9"/>
  <c r="C407" i="9"/>
  <c r="D407" i="9"/>
  <c r="E407" i="9"/>
  <c r="B408" i="9"/>
  <c r="C408" i="9"/>
  <c r="D408" i="9"/>
  <c r="E408" i="9"/>
  <c r="B409" i="9"/>
  <c r="C409" i="9"/>
  <c r="D409" i="9"/>
  <c r="E409" i="9"/>
  <c r="B410" i="9"/>
  <c r="C410" i="9"/>
  <c r="D410" i="9"/>
  <c r="E410" i="9"/>
  <c r="B411" i="9"/>
  <c r="C411" i="9"/>
  <c r="D411" i="9"/>
  <c r="E411" i="9"/>
  <c r="B412" i="9"/>
  <c r="C412" i="9"/>
  <c r="D412" i="9"/>
  <c r="E412" i="9"/>
  <c r="B413" i="9"/>
  <c r="C413" i="9"/>
  <c r="D413" i="9"/>
  <c r="E413" i="9"/>
  <c r="B414" i="9"/>
  <c r="C414" i="9"/>
  <c r="D414" i="9"/>
  <c r="E414" i="9"/>
  <c r="B415" i="9"/>
  <c r="C415" i="9"/>
  <c r="D415" i="9"/>
  <c r="E415" i="9"/>
  <c r="B345" i="9"/>
  <c r="C345" i="9"/>
  <c r="D345" i="9"/>
  <c r="E345" i="9"/>
  <c r="B346" i="9"/>
  <c r="C346" i="9"/>
  <c r="D346" i="9"/>
  <c r="E346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2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156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K2" i="2"/>
  <c r="L2" i="2" a="1"/>
  <c r="L2" i="2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4" i="9"/>
  <c r="C4" i="9"/>
  <c r="D4" i="9"/>
  <c r="D3" i="9"/>
  <c r="C3" i="9"/>
  <c r="C2" i="9"/>
  <c r="D2" i="9"/>
  <c r="B2" i="9"/>
  <c r="Q31" i="8"/>
  <c r="Q26" i="8"/>
  <c r="J11" i="2"/>
  <c r="J3" i="2"/>
  <c r="J4" i="2"/>
  <c r="J10" i="2"/>
  <c r="J5" i="2"/>
  <c r="J6" i="2"/>
  <c r="J12" i="2"/>
  <c r="J14" i="2"/>
  <c r="J16" i="2"/>
  <c r="J13" i="2"/>
  <c r="J7" i="2"/>
  <c r="J8" i="2"/>
  <c r="J2" i="2"/>
  <c r="Q36" i="8"/>
  <c r="J9" i="2"/>
  <c r="J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CCD6B-4ED2-4AF4-A9F9-31E822C712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F016402-503B-45C4-93BA-77EDCADCD621}" name="WorksheetConnection_Total!$A:$H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otalAH1"/>
        </x15:connection>
      </ext>
    </extLst>
  </connection>
  <connection id="3" xr16:uid="{F71E368B-3CED-4D77-B374-2B3115E0DB2F}" name="WorksheetConnection_Total!$A:$K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TotalAK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<sst xmlns="http://schemas.openxmlformats.org/spreadsheetml/2006/main" count="17023" uniqueCount="3078">
  <si>
    <t>Change Request</t>
  </si>
  <si>
    <t>Description</t>
  </si>
  <si>
    <t>Process</t>
  </si>
  <si>
    <t>WF type</t>
  </si>
  <si>
    <t>Date completed</t>
  </si>
  <si>
    <t>Month</t>
  </si>
  <si>
    <t>Create FINP FR NMRMC0162633</t>
  </si>
  <si>
    <t>P30</t>
  </si>
  <si>
    <t>Jun -2025</t>
  </si>
  <si>
    <t>AFF_ZFIN_Affiliate_Update_P30_Plant_2645</t>
  </si>
  <si>
    <t>Execution ready</t>
  </si>
  <si>
    <t>MDG CR</t>
  </si>
  <si>
    <t>pacp at poland 2650</t>
  </si>
  <si>
    <t>poland pacp update</t>
  </si>
  <si>
    <t>DEPLOY CR729342</t>
  </si>
  <si>
    <t>LCM WF</t>
  </si>
  <si>
    <t>VERIFY_FINP_CR755595</t>
  </si>
  <si>
    <t>Create FINP FR NMRMC0162664</t>
  </si>
  <si>
    <t>VERIFY_FINP_CR755466</t>
  </si>
  <si>
    <t>VERIFY_FINP_CR755527</t>
  </si>
  <si>
    <t>VERIFY_FINP_CR755623</t>
  </si>
  <si>
    <t>VERIFY_FINP_CR755655</t>
  </si>
  <si>
    <t>VERIFY_FINP_CR755704</t>
  </si>
  <si>
    <t>VERIFY_FINP_CR755707</t>
  </si>
  <si>
    <t>VERIFY_FINP_CR765394</t>
  </si>
  <si>
    <t>AFF_ZFIN_Execution-Ready_P30_Plant 2980</t>
  </si>
  <si>
    <t>Create FINP HU NMRMC0162812</t>
  </si>
  <si>
    <t>Create FINP IT-CLIN NMRMC0162814</t>
  </si>
  <si>
    <t>Create FINP IE NMRMC0162813</t>
  </si>
  <si>
    <t>AFF_ZFIN_Execution-Ready_P30_Plant 2850</t>
  </si>
  <si>
    <t>Create FINP PL NMRMC0162817</t>
  </si>
  <si>
    <t>CMO_ZFIN_Update non-GMP_P30_Plant 1001_PIR_Update</t>
  </si>
  <si>
    <t>VERIFY_FINP_CR755472</t>
  </si>
  <si>
    <t>VERIFY_FINP_CR755788</t>
  </si>
  <si>
    <t>Create FINP CH NMRMC0162695</t>
  </si>
  <si>
    <t>Create FINP NL NMRMC0162691</t>
  </si>
  <si>
    <t>Create FINP MY NMRMC0162699</t>
  </si>
  <si>
    <t>Create FINP TW NMRMC0162702</t>
  </si>
  <si>
    <t>Create FINP PT NMRMC0162818</t>
  </si>
  <si>
    <t>Create FINP MA NMRMC0162698</t>
  </si>
  <si>
    <t>Enhance Client data (Vial size)</t>
  </si>
  <si>
    <t>TOLL_ZFIN_Ready for Execution_P30 (FINP)_Plant 1001</t>
  </si>
  <si>
    <t>KAU_ZSEM_UpdateNonGMP_P30 Plant 1001_Status_Change</t>
  </si>
  <si>
    <t>Create FINP IE NMRMC0162777</t>
  </si>
  <si>
    <t>Create FINP AT NMRMC0162617</t>
  </si>
  <si>
    <t>Create FINP BE NMRMC0162774</t>
  </si>
  <si>
    <t>Data Push to P30 CR 772238</t>
  </si>
  <si>
    <t>CMO_ZFIN_Ready for Execution_P30 (FINP)_Plant 1001</t>
  </si>
  <si>
    <t>Create FINP DE NMRMC0162773</t>
  </si>
  <si>
    <t>VERIFY_FINP_CR762730</t>
  </si>
  <si>
    <t>Create FINP ES NMRMC0162775</t>
  </si>
  <si>
    <t>VERIFY_FINP_CR765406</t>
  </si>
  <si>
    <t>VERIFY FINP CR 762398</t>
  </si>
  <si>
    <t>CMO_ZSEM_Ready for Execution_P30 (SEMP)_Plant 1001</t>
  </si>
  <si>
    <t>Create FINP BE NMRMC0162847</t>
  </si>
  <si>
    <t>VERIFY_FINP_CR771879</t>
  </si>
  <si>
    <t>Create FINP PT NMRMC0162779</t>
  </si>
  <si>
    <t>Create FINP FR NMRMC0162840</t>
  </si>
  <si>
    <t>VERIFY FINP CR 789390</t>
  </si>
  <si>
    <t>VERIFY FINP CR 784615</t>
  </si>
  <si>
    <t>Create FINP BE NMRMC0162796</t>
  </si>
  <si>
    <t>Create FINP CZ NMRMC0162844</t>
  </si>
  <si>
    <t>VERIFY FINP CR 772531</t>
  </si>
  <si>
    <t>Create FINP HU NMRMC0162855</t>
  </si>
  <si>
    <t>Create FINP SE-FI NMRMC0162903</t>
  </si>
  <si>
    <t>update mm for ca materials</t>
  </si>
  <si>
    <t>11018012 plant extension j631</t>
  </si>
  <si>
    <t>Create FINP RO NMRMC0162861</t>
  </si>
  <si>
    <t>Create FINP SK NMRMC0162865</t>
  </si>
  <si>
    <t>Create FINP PL NMRMC0162860</t>
  </si>
  <si>
    <t>Create FINP IE NMRMC0162857</t>
  </si>
  <si>
    <t>Create FINP NL NMRMC0162858</t>
  </si>
  <si>
    <t>VERIFY_FINP_CR771972</t>
  </si>
  <si>
    <t>Create FINP GB NMRMC0162871</t>
  </si>
  <si>
    <t>Create FINP IE NMRMC0162801</t>
  </si>
  <si>
    <t>Create FINP BG NMRMC0162900</t>
  </si>
  <si>
    <t>Create FINP CZ NMRMC0162898</t>
  </si>
  <si>
    <t>Create FINP AT NMRMC0162895</t>
  </si>
  <si>
    <t>Create FINP ELL NMRMC0162902</t>
  </si>
  <si>
    <t>VERIFY_FINP_CR771963</t>
  </si>
  <si>
    <t>VERIFY_FINP_CR772285</t>
  </si>
  <si>
    <t>VERIFY_FINP_CR772340</t>
  </si>
  <si>
    <t>VERIFY_FINP_CR772450</t>
  </si>
  <si>
    <t>VERIFY_FINP_CR772464</t>
  </si>
  <si>
    <t>VERIFY_FINP_CR772468</t>
  </si>
  <si>
    <t>VERIFY_FINP_CR772471</t>
  </si>
  <si>
    <t>VERIFY_FINP_CR772513</t>
  </si>
  <si>
    <t>VERIFY_FINP_CR772516</t>
  </si>
  <si>
    <t>VERIFY_FINP_CR772522</t>
  </si>
  <si>
    <t>VERIFY_FINP_CR789001</t>
  </si>
  <si>
    <t>Create FINP FR NMRMC0162881</t>
  </si>
  <si>
    <t>VERIFY_FINP_CR773147</t>
  </si>
  <si>
    <t>Create FINP CH NMRMC0162926</t>
  </si>
  <si>
    <t>update foc_comp_cmo 11035252 alecensa</t>
  </si>
  <si>
    <t>VERIFY_FINP_CR755779</t>
  </si>
  <si>
    <t>VERIFY_FINP_CR765425</t>
  </si>
  <si>
    <t>VERIFY_FINP_CR772238</t>
  </si>
  <si>
    <t>TOLL_ZFIN_Update non-GMP_P30_Plant 1001</t>
  </si>
  <si>
    <t>VERIFY_FINP_CR772477</t>
  </si>
  <si>
    <t>VERIFY_FINP_CR772523</t>
  </si>
  <si>
    <t>VERIFY_FINP_CR784478</t>
  </si>
  <si>
    <t>VERIFY_FINP_CR791958</t>
  </si>
  <si>
    <t>VERIFY_FINP_CR795227</t>
  </si>
  <si>
    <t>Create FINP MY NMRMC0163008</t>
  </si>
  <si>
    <t>VERIFY_FINP_CR818733</t>
  </si>
  <si>
    <t>VERIFY_FINP_CR818785</t>
  </si>
  <si>
    <t>VERIFY_FINP_CR791972</t>
  </si>
  <si>
    <t>VERIFY_FINP_CR791819</t>
  </si>
  <si>
    <t>Create FINP ES NMRMC0162798</t>
  </si>
  <si>
    <t>VERIFY_FINP_CR775789</t>
  </si>
  <si>
    <t>VERIFY_FINP_CR789537</t>
  </si>
  <si>
    <t>VERIFY_FINP_CR818985</t>
  </si>
  <si>
    <t>VERIFY_FINP_CR791940</t>
  </si>
  <si>
    <t>VERIFY_FINP_CR791847</t>
  </si>
  <si>
    <t>VERIFY_FINP_CR818964</t>
  </si>
  <si>
    <t>VERIFY_FINP_CR818902</t>
  </si>
  <si>
    <t>Create FINP FR NMRMC0162738</t>
  </si>
  <si>
    <t>Create FINP NL NMRMC0162743</t>
  </si>
  <si>
    <t>Create FINP PT NMRMC0162744</t>
  </si>
  <si>
    <t>Create FINP IE NMRMC0162741</t>
  </si>
  <si>
    <t>Create FINP SE-FI NMRMC0078464</t>
  </si>
  <si>
    <t>Create FINP PH NMRMC0163011</t>
  </si>
  <si>
    <t>create pir&amp;sl enspryng&amp;hemlibra</t>
  </si>
  <si>
    <t>VERIFY_FINP_CR820445</t>
  </si>
  <si>
    <t>VERIFY_FINP_CR815951</t>
  </si>
  <si>
    <t>Create FINP IR NMRMC0162936</t>
  </si>
  <si>
    <t>Create FINP RS NMRMC0163015</t>
  </si>
  <si>
    <t>Create FINP NZ NMRMC0163009</t>
  </si>
  <si>
    <t>Create FINP SG NMRMC0163017</t>
  </si>
  <si>
    <t>Create FINP GB NMRMC0162800</t>
  </si>
  <si>
    <t>Create FINP KZ-EEU NMRMC0162694</t>
  </si>
  <si>
    <t>VERIFY FINP CR 815904</t>
  </si>
  <si>
    <t>VERIFY SEMP CR 822011</t>
  </si>
  <si>
    <t>VERIFY FINP CR 820411</t>
  </si>
  <si>
    <t>VERIFY_FINP_CR826105</t>
  </si>
  <si>
    <t>VERIFY SEMP CR 822033</t>
  </si>
  <si>
    <t>VERIFY SEMP CR 822352</t>
  </si>
  <si>
    <t>VERIFY FINP CR 821639</t>
  </si>
  <si>
    <t>VERIFY_FINP_CR825545</t>
  </si>
  <si>
    <t>GB Sales Text</t>
  </si>
  <si>
    <t>Create FINP VN NMRMC0163026</t>
  </si>
  <si>
    <t>Update Safety time</t>
  </si>
  <si>
    <t>DIR 10000053315 QE-135672/CA-217764</t>
  </si>
  <si>
    <t>DIR update</t>
  </si>
  <si>
    <t>VERIFY_FINP_CR823316</t>
  </si>
  <si>
    <t>VERIFY FINP CR822096</t>
  </si>
  <si>
    <t>VERIFY_FINP_CR823381</t>
  </si>
  <si>
    <t>VERIFY FINP CR822083</t>
  </si>
  <si>
    <t>VERIFY_FINP_CR823305</t>
  </si>
  <si>
    <t>VERIFY FINP CR 821706</t>
  </si>
  <si>
    <t>VERIFY FINP CR 822777</t>
  </si>
  <si>
    <t>Update DE description</t>
  </si>
  <si>
    <t xml:space="preserve">	826141</t>
  </si>
  <si>
    <t>Create FINP ZA NMRMC0163028</t>
  </si>
  <si>
    <t>Create FINP CH NMRMC0163038</t>
  </si>
  <si>
    <t>Create FINP BD NMRMC0163036</t>
  </si>
  <si>
    <t>Costing Lot Size Adjust</t>
  </si>
  <si>
    <t>VERIFY SEMP CR 816017</t>
  </si>
  <si>
    <t>DIR 10000037911 QE-158750/CA-227966</t>
  </si>
  <si>
    <t>DIR 10000038409 QE-135672/CA-217764</t>
  </si>
  <si>
    <t>LEGACY PLANTS_Max Lot Size</t>
  </si>
  <si>
    <t>VERIFY FINP CR826079</t>
  </si>
  <si>
    <t>Create FINP BA NMRMC0163035</t>
  </si>
  <si>
    <t>VERIFY_FINP_CR789141</t>
  </si>
  <si>
    <t>VERIFY_FINP_CR800255</t>
  </si>
  <si>
    <t>VERIFY_FINP_CR823924</t>
  </si>
  <si>
    <t>VERIFY_FINP_CR821606</t>
  </si>
  <si>
    <t>VERIFY_FINP_CR821609</t>
  </si>
  <si>
    <t>VERIFY_FINP_CR819373</t>
  </si>
  <si>
    <t>VERIFY_FINP_CR819332</t>
  </si>
  <si>
    <t>VERIFY_FINP_CR819417</t>
  </si>
  <si>
    <t>VERIFY_FINP_CR819500</t>
  </si>
  <si>
    <t>VERIFY_FINP_CR823863</t>
  </si>
  <si>
    <t>VERIFY_FINP_CR819430</t>
  </si>
  <si>
    <t>VERIFY_FINP_CR821709</t>
  </si>
  <si>
    <t>VERIFY_FINP_CR823499</t>
  </si>
  <si>
    <t>VERIFY_FINP_CR821714</t>
  </si>
  <si>
    <t>VERIFY_FINP_CR819462</t>
  </si>
  <si>
    <t>VERIFY_FINP_CR823822</t>
  </si>
  <si>
    <t>VERIFY_FINP_CR821610</t>
  </si>
  <si>
    <t>VERIFY_FINP_CR823937</t>
  </si>
  <si>
    <t>VERIFY_FINP_CR822780</t>
  </si>
  <si>
    <t>VERIFY_FINP_CR823894</t>
  </si>
  <si>
    <t>VERIFY_FINP_CR823981</t>
  </si>
  <si>
    <t>VERIFY_FINP_CR821707</t>
  </si>
  <si>
    <t>Create FINP DZ NMRMC0163042</t>
  </si>
  <si>
    <t>Create FINP ID NMRMC0163049</t>
  </si>
  <si>
    <t>TOLL_ZFIN_Update MM_1001</t>
  </si>
  <si>
    <t>Create FINP CZ NMRMC0163064</t>
  </si>
  <si>
    <t>Create FINP GB NMRMC0163058</t>
  </si>
  <si>
    <t>update rounding value 11035899</t>
  </si>
  <si>
    <t>INP: Material Assignment</t>
  </si>
  <si>
    <t>Quality CR</t>
  </si>
  <si>
    <t>YQ2</t>
  </si>
  <si>
    <t>Jul -2025</t>
  </si>
  <si>
    <t>Update Min.Safety.Stock</t>
  </si>
  <si>
    <t>YMUX0031</t>
  </si>
  <si>
    <t>Update Min.Safety.Stock _ J531</t>
  </si>
  <si>
    <t>Update Min.Safety.Stock &amp; Safety Stock_J531</t>
  </si>
  <si>
    <t>Update Min.Safety.Stock  &amp; Safety Stock_ J531</t>
  </si>
  <si>
    <t>VERIFY FINP CR827092</t>
  </si>
  <si>
    <t>VERIFY_FINP_CR823800</t>
  </si>
  <si>
    <t>VERIFY_FINP_CR826393</t>
  </si>
  <si>
    <t>Update Min.Safety.Stock_ J531</t>
  </si>
  <si>
    <t>PZ EXT Add missing tax classsification</t>
  </si>
  <si>
    <t>VERIFY ZFIN CR 827007</t>
  </si>
  <si>
    <t>VERIFY FINP CR834023</t>
  </si>
  <si>
    <t>VERIFY FINP CR829761</t>
  </si>
  <si>
    <t>J631 11036286 update MRP data</t>
  </si>
  <si>
    <t>MM updates</t>
  </si>
  <si>
    <t>YMUX0033</t>
  </si>
  <si>
    <t>YMP30_01</t>
  </si>
  <si>
    <t>VERIFY FINP CR 829979</t>
  </si>
  <si>
    <t>VERIFY FINP CR 829929</t>
  </si>
  <si>
    <t>VERIFY FINP CR 830022</t>
  </si>
  <si>
    <t>PZ_CB_Inspection_Method_BPRR_REPORT</t>
  </si>
  <si>
    <t>YQ3</t>
  </si>
  <si>
    <t>VERIFY FINP CR 826366</t>
  </si>
  <si>
    <t>VERIFY FINP CR 830025</t>
  </si>
  <si>
    <t>VERIFY ZFIN CR 829104</t>
  </si>
  <si>
    <t>VERIFY FINP CR 789167</t>
  </si>
  <si>
    <t>VERIFY FINP CR 828995</t>
  </si>
  <si>
    <t>Update DE Description</t>
  </si>
  <si>
    <t>Create FINP TH NMRMC0163070</t>
  </si>
  <si>
    <t>TOLL_ZSEM_Update non-GMP_P30_Plant 1001</t>
  </si>
  <si>
    <t>YMP30_08</t>
  </si>
  <si>
    <t>P30_Plants 2640/2645/2650/2655_Extensions</t>
  </si>
  <si>
    <t>Plant extension</t>
  </si>
  <si>
    <t>YMP30_16</t>
  </si>
  <si>
    <t>P30_Plants 2660/2665/2670/2671_Extensions</t>
  </si>
  <si>
    <t>P30_Plants 1441/4030/4040_Extensions</t>
  </si>
  <si>
    <t>P30_Plants 2673/2674/2675_Extensions</t>
  </si>
  <si>
    <t>P30_Plant 2910_Extension</t>
  </si>
  <si>
    <t>Create FINP NZ NMRMC0163077</t>
  </si>
  <si>
    <t>Create FINP SG NMRMC0163083</t>
  </si>
  <si>
    <t>P30_Plant 2690_Extension</t>
  </si>
  <si>
    <t>P30_Plant 2990_Extension</t>
  </si>
  <si>
    <t>F431_Belgium_Decentral_Weights</t>
  </si>
  <si>
    <t>Create FINP TH NMRMC0163071</t>
  </si>
  <si>
    <t>Create FINP HU NMRMC0163094</t>
  </si>
  <si>
    <t>Create FINP IE NMRMC0163098</t>
  </si>
  <si>
    <t>ACN 553054 Update TSL</t>
  </si>
  <si>
    <t>ACN 553055 Update TSL</t>
  </si>
  <si>
    <t>ACN 553047 Update TSL</t>
  </si>
  <si>
    <t>ACN 553048 Update TSL</t>
  </si>
  <si>
    <t>FG: 10233021 ZELBORAF</t>
  </si>
  <si>
    <t>ALPIN</t>
  </si>
  <si>
    <t>FG: 10233004 ZELBORAF</t>
  </si>
  <si>
    <t>FG: 10210523 TAMIFLU</t>
  </si>
  <si>
    <t xml:space="preserve">FG: 10222000 MADOPARK </t>
  </si>
  <si>
    <t>Create FINP SI NMRMC0163101</t>
  </si>
  <si>
    <t>DIR 10000054240 QE-135672/CA-217764</t>
  </si>
  <si>
    <t>VERIFY FINP CR833999</t>
  </si>
  <si>
    <t>Create FINP NL NMRMC0163100</t>
  </si>
  <si>
    <t>Create FINP PT NMRMC0163099</t>
  </si>
  <si>
    <t>Extend to S.Org 1004</t>
  </si>
  <si>
    <t>Create FINP TH NMRMC0163119</t>
  </si>
  <si>
    <t>ACN 552869 - Update TSL</t>
  </si>
  <si>
    <t>FG: 10233023 ZELBORAF</t>
  </si>
  <si>
    <t>FG: 11001989 CELLCEPT</t>
  </si>
  <si>
    <t>Planning data update CR 815788</t>
  </si>
  <si>
    <t>Planning data update CR 815531</t>
  </si>
  <si>
    <t>Planning data update CR 815838</t>
  </si>
  <si>
    <t>Create FINP AR NMRMC0163118</t>
  </si>
  <si>
    <t>AFF_ZFIN_Execution-Ready_P30_Plant 2674</t>
  </si>
  <si>
    <t>Create FINP DK-NO-IS NMRMC0163121</t>
  </si>
  <si>
    <t>Create FINP SA NMRMC0163122</t>
  </si>
  <si>
    <t>Update Post to Insp Stock_P55_1105</t>
  </si>
  <si>
    <t>YMP30_03</t>
  </si>
  <si>
    <t>PZ M EXT ZRAW Update Shelflife10098310 QE-159465 REF-0303783</t>
  </si>
  <si>
    <t>PZ M EXT ZRAW Update Shelflife10232129 QE-159465 REF-0303784</t>
  </si>
  <si>
    <t>Create FINP TE-BR NMRMC0163150</t>
  </si>
  <si>
    <t xml:space="preserve">FG: 11010334 ZELBORAF </t>
  </si>
  <si>
    <t>FG: 11010345 ZELBORAF</t>
  </si>
  <si>
    <t>Update DIR: QE147372</t>
  </si>
  <si>
    <t>FG: 10213116 ESBRIET</t>
  </si>
  <si>
    <t>FG: 10213440 ESBRIET</t>
  </si>
  <si>
    <t>UPDATE_MRP_B731</t>
  </si>
  <si>
    <t>Create FINP TW NMRMC0163117</t>
  </si>
  <si>
    <t>Create FINP SA NMRMC0163123</t>
  </si>
  <si>
    <t>Create FINP KR NMRMC0163115</t>
  </si>
  <si>
    <t>Create FINP VN NMRMC0163132</t>
  </si>
  <si>
    <t>VERIFY FINP CR 845893</t>
  </si>
  <si>
    <t>Create FINP TH NMRMC0163127</t>
  </si>
  <si>
    <t>Update_MRP_B631</t>
  </si>
  <si>
    <t>Create FINP VN NMRMC0163120</t>
  </si>
  <si>
    <t>Assign Cert. Prof. YCOB</t>
  </si>
  <si>
    <t>YG1</t>
  </si>
  <si>
    <t>Create FINP UA NMRMC0163130</t>
  </si>
  <si>
    <t>Create FINP ZA NMRMC0163134</t>
  </si>
  <si>
    <t>Remove del.flag_900003814</t>
  </si>
  <si>
    <t>YMDF001</t>
  </si>
  <si>
    <t>Change IP 15090 Mat. 11006593</t>
  </si>
  <si>
    <t>Create MICs (QE-135672,INP11492)</t>
  </si>
  <si>
    <t>Please update INP11492 (QE-135672)</t>
  </si>
  <si>
    <t>QE-153160; CA-266768</t>
  </si>
  <si>
    <t>Create FINP BA NMRMC0163139</t>
  </si>
  <si>
    <t>FG: 10224167 ALECENSA</t>
  </si>
  <si>
    <t>Create FINP IR NMRMC0163167</t>
  </si>
  <si>
    <t>Create FINP MX NMRMC0163173</t>
  </si>
  <si>
    <t>P30_Plant 2690_extension</t>
  </si>
  <si>
    <t>TOLL_ZSEM_Ready for Execution_P30 (SEMP)_Plant 1001</t>
  </si>
  <si>
    <t>PZ Update CA-236276 Total shelf life Mat no 11030864</t>
  </si>
  <si>
    <t>Create FINP HK NMRMC0163301</t>
  </si>
  <si>
    <t>Create FINP BA NMRMC0163287</t>
  </si>
  <si>
    <t>Create FINP ID NMRMC0163085</t>
  </si>
  <si>
    <t>update DIR with new Material Number</t>
  </si>
  <si>
    <t>Email - New PAC material</t>
  </si>
  <si>
    <t>YMDMSF01</t>
  </si>
  <si>
    <t>Create FINP CL NMRMC0163288</t>
  </si>
  <si>
    <t>CMO_ZSEM_UpdateNonGMP_P30_Plant_1001_BOM</t>
  </si>
  <si>
    <t>VERIFY FINP CR 859218</t>
  </si>
  <si>
    <t>Create FINP SNB-24 NMRMC0163314</t>
  </si>
  <si>
    <t>Create FINP ME NMRMC0163303</t>
  </si>
  <si>
    <t>VERIFY FINP CR864031</t>
  </si>
  <si>
    <t>Update Safety time &amp; Pl status_B631</t>
  </si>
  <si>
    <t>VERIFY FINP CR 860684</t>
  </si>
  <si>
    <t>Remove_YMM_YGP_CLASS</t>
  </si>
  <si>
    <t>VERIFY FIN CR 861692</t>
  </si>
  <si>
    <t>AFF_ZFIN_Update_P30_StatusD1</t>
  </si>
  <si>
    <t>Create FINP CN NMRMC0163300</t>
  </si>
  <si>
    <t>Update DIR with new material numbers</t>
  </si>
  <si>
    <t>CR 999</t>
  </si>
  <si>
    <t>VERIFY FIN CR 861751</t>
  </si>
  <si>
    <t>TOLL_ZBUL_Ready for Execution_P30 (SEMP)_Plant 1001</t>
  </si>
  <si>
    <t>VERIFY ZFIN CR868159</t>
  </si>
  <si>
    <t>VERIFY FINP CR 857474</t>
  </si>
  <si>
    <t>New DIR QE-140513/CA-191369</t>
  </si>
  <si>
    <t>Create FINP UA NMRMC0163336</t>
  </si>
  <si>
    <t>VERIFY FINP CR 863604</t>
  </si>
  <si>
    <t>VERIFY FINP CR862135</t>
  </si>
  <si>
    <t>LCMWF</t>
  </si>
  <si>
    <t>DEPLOY ZFIN CR867735</t>
  </si>
  <si>
    <t>VERIFY FINP CR873367</t>
  </si>
  <si>
    <t>VERIFY FINP CR867988</t>
  </si>
  <si>
    <t>VERIFY FINP CR 867826</t>
  </si>
  <si>
    <t>VERIFY FINP CR 870044</t>
  </si>
  <si>
    <t>AFF_ZFIN_Execution-Ready_P30_Plant 2800</t>
  </si>
  <si>
    <t>YMP30_21</t>
  </si>
  <si>
    <t>VERIFY FINP CR 868049</t>
  </si>
  <si>
    <t>Create FINP PH NMRMC0163334</t>
  </si>
  <si>
    <t>Update INP 16779</t>
  </si>
  <si>
    <t>YG4</t>
  </si>
  <si>
    <t>Create FINP ZA NMRMC0163344</t>
  </si>
  <si>
    <t>Create FINP ZA NMRMC0163345</t>
  </si>
  <si>
    <t>PZ Change Alternative BUOM 11034509</t>
  </si>
  <si>
    <t>Create FINP ID NMRMC0163355</t>
  </si>
  <si>
    <t>Create FINP MM NMRMC0163354</t>
  </si>
  <si>
    <t>PZ Change Alternative BUOM 11031364</t>
  </si>
  <si>
    <t>PZ Change Alternative BUOM 11031366</t>
  </si>
  <si>
    <t>PZ Change Alternative BUOM 11031349</t>
  </si>
  <si>
    <t>PZ Change Alternative BUOM 11031368</t>
  </si>
  <si>
    <t>PZ Change Alternative BUOM 11031367</t>
  </si>
  <si>
    <t>AFF_ZFIN_Update_P30_Plant_2640_MRPdata</t>
  </si>
  <si>
    <t>P30_Plant_2830_2850_Extension</t>
  </si>
  <si>
    <t>VERIFY ZFIN CR879294</t>
  </si>
  <si>
    <t>TOLL_ZSEM_Update GMP_P30_Plant 1001</t>
  </si>
  <si>
    <t>YMP30_07</t>
  </si>
  <si>
    <t>DEPLOY FINP CR870219</t>
  </si>
  <si>
    <t>VERIFY FINP CR 867793</t>
  </si>
  <si>
    <t>VERIFY FINP CR 870286</t>
  </si>
  <si>
    <t>VERIFY ZFIN CR 873325</t>
  </si>
  <si>
    <t>Maintain HS Code &amp; CoO</t>
  </si>
  <si>
    <t>Create FINP AU NMRMC0163367</t>
  </si>
  <si>
    <t>Deployment</t>
  </si>
  <si>
    <t>Create FINP PL NMRMC0163373</t>
  </si>
  <si>
    <t>Create FINP IE NMRMC0163375</t>
  </si>
  <si>
    <t>10213745 associated with incorrect DIR</t>
  </si>
  <si>
    <t>Create FINP IE NMRMC0163374</t>
  </si>
  <si>
    <t>Create FINP PL NMRMC0163372</t>
  </si>
  <si>
    <t>QE-162869 / CA-227428 DIR Update</t>
  </si>
  <si>
    <t>Create FINP IN NMRMC0163363</t>
  </si>
  <si>
    <t>Aug -2025</t>
  </si>
  <si>
    <t>Create FINP HR NMRMC0163361</t>
  </si>
  <si>
    <t>A513: MRA G6 Buff Status 40</t>
  </si>
  <si>
    <t>YMUX001</t>
  </si>
  <si>
    <t>A511 Update ZINT MPRR CSC DNSM</t>
  </si>
  <si>
    <t>VERIFY FINP CR 881327</t>
  </si>
  <si>
    <t>CMO_ZFIN_UpdateNonGMP_P30_Plant_1001_MRPdata</t>
  </si>
  <si>
    <t>AFF_ZFIN_Execution-Ready_P30_Plant 4060 Decentral</t>
  </si>
  <si>
    <t>AFF_ZFIN_Update_P30_Plant_2990_MRPdata</t>
  </si>
  <si>
    <t>AFF_ZFIN_Update_P30_Plant_2670_MRPdata</t>
  </si>
  <si>
    <t>CA-206877/QE-150542</t>
  </si>
  <si>
    <t>DIR 10000121486 QE-112846/CA-159174</t>
  </si>
  <si>
    <t>TOLL_ZFIN_Update GMP_P30_Plant 1001</t>
  </si>
  <si>
    <t>ZAPI_Flag Post to Insp Stock_P55, 1105</t>
  </si>
  <si>
    <t>Set Max. Lot Size of 10214400 to 12100L</t>
  </si>
  <si>
    <t>PZ: Set Max. Lot Size of 10234164 to 2650L</t>
  </si>
  <si>
    <t>PZ: Set Max. Lot Size of 11009525 to 13100L</t>
  </si>
  <si>
    <t>PZ: Set Max. Lot Size to 10500L</t>
  </si>
  <si>
    <t>PZ: Set Max. Lot Size to 17000L</t>
  </si>
  <si>
    <t>PZ: set Max. Lot Size of 10234996 to 17000L</t>
  </si>
  <si>
    <t>DIR 10000008659 QE-131061/CA-236241</t>
  </si>
  <si>
    <t>Enrich_J331_P30_WF_25206</t>
  </si>
  <si>
    <t>11033312 MDS 10</t>
  </si>
  <si>
    <t>P30 WF</t>
  </si>
  <si>
    <t>Enrich J231_P30 WF 25208</t>
  </si>
  <si>
    <t>PZ: set Max. Lot Size of 11005914 to 25L</t>
  </si>
  <si>
    <t>PZ: set Max. Lot Size of 11012391 to 25L</t>
  </si>
  <si>
    <t>QE-131061/CA-236241</t>
  </si>
  <si>
    <t>MM Updates_J431 &amp; J531_P30 WF 25207</t>
  </si>
  <si>
    <t>A513: MRA G6 Buff Lot Size Update</t>
  </si>
  <si>
    <t>11033312_A411_Update_WF_25206</t>
  </si>
  <si>
    <t>AFF_ZFIN_Execution-Ready_P30_Plant 2840</t>
  </si>
  <si>
    <t>Create SEMP NMRMC0163405</t>
  </si>
  <si>
    <t>U[date BoM as per the attachment</t>
  </si>
  <si>
    <t>VERIFY FINP CR 900791</t>
  </si>
  <si>
    <t>AFF_ZFIN_Execution-Ready_P30_Plant 2660</t>
  </si>
  <si>
    <t>P57_Plant1520_MRPdata</t>
  </si>
  <si>
    <t>AFF_ZFIN_Execution-Ready_P30_Plant 2676</t>
  </si>
  <si>
    <t>AFF_ZFIN_Execution-Ready_P30_Plant 2830</t>
  </si>
  <si>
    <t>QE-159090 CA-226202</t>
  </si>
  <si>
    <t>J031_PIR and SL creation</t>
  </si>
  <si>
    <t>Lot Size change from W4 to 12 weeks</t>
  </si>
  <si>
    <t>CA-174850 / QE-126257</t>
  </si>
  <si>
    <t>Please create new DIR and link 11037252</t>
  </si>
  <si>
    <t>Update cross plant/Xplant status to 50</t>
  </si>
  <si>
    <t>12047985_ Bromazepam IRS</t>
  </si>
  <si>
    <t>YQ4</t>
  </si>
  <si>
    <t>12040485_ LEVODOPA IRS</t>
  </si>
  <si>
    <t>12039810_ CAPECITABINE IRS</t>
  </si>
  <si>
    <t>Create FINP BA NMRMC0163420</t>
  </si>
  <si>
    <t>VERIFY FIN CR 907347</t>
  </si>
  <si>
    <t>Total Shelf Life Update for Avastin 400mg FOC</t>
  </si>
  <si>
    <t>VERIFY ZSEM CR 897025</t>
  </si>
  <si>
    <t>VERIFY ZFIN CR 909387</t>
  </si>
  <si>
    <t>Planning ready 909730</t>
  </si>
  <si>
    <t>AFF_ZFIN_Update_P57_Plant_1514</t>
  </si>
  <si>
    <t>Create FINP NO NMRMC0163392</t>
  </si>
  <si>
    <t>VERIFY FINP CR 909877</t>
  </si>
  <si>
    <t>12039534_ BENSERAZIDE HCL IRS</t>
  </si>
  <si>
    <t>12039438_ MYCOPHENOLIC IRS</t>
  </si>
  <si>
    <t>VERIFY FINP CR 910353</t>
  </si>
  <si>
    <t>VERIFY FINP CR 910224</t>
  </si>
  <si>
    <t>R4E_F331_F342_ES_ACN553887_CC_1609</t>
  </si>
  <si>
    <t>YMFG002</t>
  </si>
  <si>
    <t>R4E_F331_F342_ES_ACN553886_CC_1609</t>
  </si>
  <si>
    <t>create DIR</t>
  </si>
  <si>
    <t>Update DIR with new material number</t>
  </si>
  <si>
    <t>12052538_Carvedilol PRS</t>
  </si>
  <si>
    <t>12039850_BROMAZEPAM_MRS</t>
  </si>
  <si>
    <t>Update inspecion type</t>
  </si>
  <si>
    <t>Create SEMP UNLAB NMRMC0163431</t>
  </si>
  <si>
    <t>TOll_ZFIN_UPDATE_NON-GMP_P55_Plant_1105_ALTBOM_UPDATE</t>
  </si>
  <si>
    <t>AFF_ZFIN_Execution-Ready_P30_Plant 2655</t>
  </si>
  <si>
    <t>TOLL_ZAPI_Lot Size Update_P55_1105</t>
  </si>
  <si>
    <t>Create FINP NZ NMRMC0163389</t>
  </si>
  <si>
    <t>VERIFY ZFIN CR922917</t>
  </si>
  <si>
    <t>Create SEMP UNLAB NMRMC0163407</t>
  </si>
  <si>
    <t>Create SEMP UNLAB NMRMC0163406</t>
  </si>
  <si>
    <t>Create FINP DK-IS NMRMC0163451</t>
  </si>
  <si>
    <t>Extend ZFIN to J331</t>
  </si>
  <si>
    <t>Plant Extension</t>
  </si>
  <si>
    <t>YMUX0034</t>
  </si>
  <si>
    <t>QE-163011 CA-240765 update DIR</t>
  </si>
  <si>
    <t>AFF_ZFIN_Affiliate_Update_P30_Plant 1400</t>
  </si>
  <si>
    <t>VERIFY ZFIN CR 931282</t>
  </si>
  <si>
    <t>Extend ZFIN to A931</t>
  </si>
  <si>
    <t>VERIFY FINP CR 929655</t>
  </si>
  <si>
    <t>Material master update</t>
  </si>
  <si>
    <t>VERIFY FINP CR 931176</t>
  </si>
  <si>
    <t>Create SEMP NMRMC0163432</t>
  </si>
  <si>
    <t>Update SLOC- P98-1362 Mexico</t>
  </si>
  <si>
    <t>VERIFY ZSEM CR937487</t>
  </si>
  <si>
    <t>Create SEMP UNLAB NMRMC0163435</t>
  </si>
  <si>
    <t>Maintain price in PIR,plant status to C3</t>
  </si>
  <si>
    <t>YMP30_05</t>
  </si>
  <si>
    <t>CMO_ZFIN_UpdateNonGMP_P30_SalesOrgData</t>
  </si>
  <si>
    <t>VERIFY ZFIN CR 945592</t>
  </si>
  <si>
    <t>VERIFY ZSEM CR 937609</t>
  </si>
  <si>
    <t>QE-152779</t>
  </si>
  <si>
    <t>QE-152779 QE-156117</t>
  </si>
  <si>
    <t>QE-144033 CA-208677</t>
  </si>
  <si>
    <t>QE-152779 CA-234779 QE-144033 CA-208677</t>
  </si>
  <si>
    <t>Update TSL</t>
  </si>
  <si>
    <t>CMO_ZFIN_UpdateNonGMP_P30_ACNdates</t>
  </si>
  <si>
    <t>QE-155427 CA-222611</t>
  </si>
  <si>
    <t>Updates Related to LCM WF 937609</t>
  </si>
  <si>
    <t>VERIFY FINP CR 945633</t>
  </si>
  <si>
    <t>AFF_ZFIN_Execution-Ready_P30_Plant 2671</t>
  </si>
  <si>
    <t>Create MIC (QE-152779)</t>
  </si>
  <si>
    <t>Update_AVG_INS_DUR_ZFIN_CR_ 200002312</t>
  </si>
  <si>
    <t>Mat 11030006 avg insp. duration update</t>
  </si>
  <si>
    <t>YG6</t>
  </si>
  <si>
    <t>Change IP 15072 Matnr. 10233751</t>
  </si>
  <si>
    <t>Create new DIR</t>
  </si>
  <si>
    <t>QE-152779 CA-234779</t>
  </si>
  <si>
    <t>QE-156117 / CA-227761</t>
  </si>
  <si>
    <t>Average Inspection duration update</t>
  </si>
  <si>
    <t>Add material# 11023021 to 21008</t>
  </si>
  <si>
    <t>Inspection type assignment</t>
  </si>
  <si>
    <t>Update INP (QE-152779 )</t>
  </si>
  <si>
    <t>12039834_CEFTRIAXONE MRS</t>
  </si>
  <si>
    <t>Correction in group 21485</t>
  </si>
  <si>
    <t>Min.Lot.Size update_J431 &amp; J531</t>
  </si>
  <si>
    <t>AFF_ZFIN_Execution-Ready_P30_Plant 2670</t>
  </si>
  <si>
    <t>AFF_ZFIN_Execution-Ready_P30_Plant 2672</t>
  </si>
  <si>
    <t>TOLL_Update Non GMP_1001_P30</t>
  </si>
  <si>
    <t>Sep -2025</t>
  </si>
  <si>
    <t>AFF_ZFIN_Affiliate_Update_P30_Plant 2990</t>
  </si>
  <si>
    <t>Correct PPM number/DIR CR900003925</t>
  </si>
  <si>
    <t>Update inspection type</t>
  </si>
  <si>
    <t>CMO_Update non_GMP_1001</t>
  </si>
  <si>
    <t>Update TSL &amp; Storage Conditions data</t>
  </si>
  <si>
    <t>TOLL_ZFIN_UPDATE_NON-GMP_P30_1001_BATCH_REQ</t>
  </si>
  <si>
    <t>TOLL_ZFIN_UPDATE_NON-GMP_P30_1001_Konversionsfaktor</t>
  </si>
  <si>
    <t>Update Total Shelf Life for 11033264</t>
  </si>
  <si>
    <t>Expiration Extension QE-169151</t>
  </si>
  <si>
    <t>Expiration Extension QE-16915</t>
  </si>
  <si>
    <t>CMO_ZBUL_Ready for Execution_P30 (SEMP)_Plant 1001</t>
  </si>
  <si>
    <t>Upd Gross/Net wt for Med Device P30 2650</t>
  </si>
  <si>
    <t>AFF_ZFIN_Execution-Ready_P30_Plant 2570</t>
  </si>
  <si>
    <t>AFF_ZFIN_Execution-Ready_P30_Plant 2677</t>
  </si>
  <si>
    <t>A511 Correct Maximum Lot Size</t>
  </si>
  <si>
    <t>VERIFY ZSEM CR966802</t>
  </si>
  <si>
    <t>MM updates - CR966802</t>
  </si>
  <si>
    <t>Update related to Workflow 24761</t>
  </si>
  <si>
    <t>ERP- B631_Update Min Lot Size</t>
  </si>
  <si>
    <t>Update Cross Material Status for Workflow 24742</t>
  </si>
  <si>
    <t>Update Cross Material Status for Workflow 24741</t>
  </si>
  <si>
    <t>Update Cross Material Status for Workflow 24743</t>
  </si>
  <si>
    <t>CR900001830_ Update MRP controller</t>
  </si>
  <si>
    <t>Update MM fields in code creation</t>
  </si>
  <si>
    <t>update of Sales Text in ES (in addition to EN)</t>
  </si>
  <si>
    <t>update of Sales Text in EN (in addition to ES)</t>
  </si>
  <si>
    <t>remove DChain-spec. status value Y4</t>
  </si>
  <si>
    <t>Updates related to P30 WF 24860</t>
  </si>
  <si>
    <t>Enhance MRP Data WF 24857</t>
  </si>
  <si>
    <t>Data transfer to P30 for WF 24859</t>
  </si>
  <si>
    <t>Enhance MRP Data WF 24859</t>
  </si>
  <si>
    <t>WF 900005903 - New FIN material</t>
  </si>
  <si>
    <t>WF 900005902 - New FIN material</t>
  </si>
  <si>
    <t>Update Gross wt_WF 24891</t>
  </si>
  <si>
    <t>Update MRP controller_WF24890</t>
  </si>
  <si>
    <t>WF 900005843 - New FIN material</t>
  </si>
  <si>
    <t>WF 900005892 - New FIN material</t>
  </si>
  <si>
    <t>add OMP class</t>
  </si>
  <si>
    <t>Update CoO, RoO</t>
  </si>
  <si>
    <t>Update AUoM</t>
  </si>
  <si>
    <t>Update CoO,RoO</t>
  </si>
  <si>
    <t>Update AUoM in A411 for code creation</t>
  </si>
  <si>
    <t>Update AUoM for A411 - WF 24872</t>
  </si>
  <si>
    <t>Updates to A411 - WF 24872</t>
  </si>
  <si>
    <t>TOLL_ZRAW_Update GMP_P30_Plant 1001</t>
  </si>
  <si>
    <t>Push to P30 WF 24867</t>
  </si>
  <si>
    <t>WF 900005879 - New FIN material</t>
  </si>
  <si>
    <t>MRP Data enhancing for WF 24867</t>
  </si>
  <si>
    <t>CMO_ZSEM_Update NonGMP_OMP_TLANE</t>
  </si>
  <si>
    <t>AFF_PACP_Affiliate_OMP Update_P30_Plant 2532</t>
  </si>
  <si>
    <t>CMO_ZSEM_Update NonGMP_Material Class</t>
  </si>
  <si>
    <t>Push to P30 WF 24939</t>
  </si>
  <si>
    <t>AFF_ZFIN_Execution-Ready_P30_Plant 2910</t>
  </si>
  <si>
    <t>LATAM 1318- Exec ready</t>
  </si>
  <si>
    <t>Updates Related to P30 WF 24937</t>
  </si>
  <si>
    <t>Enhance MRP Data WF 24939</t>
  </si>
  <si>
    <t>KAU_ZFIN_Update Non-GMP_P30_Plant 1001_Sales Text update</t>
  </si>
  <si>
    <t>Updates Related to P30 WF 24938</t>
  </si>
  <si>
    <t>Enhance Data for plant A411 WF 24956</t>
  </si>
  <si>
    <t>Data Push to P30 WF 24956</t>
  </si>
  <si>
    <t>Enhance MRP data for plant A631 WF 24956</t>
  </si>
  <si>
    <t>Enhance MRP data for plant A411 WF 24958</t>
  </si>
  <si>
    <t>Push to P30 WF 24958</t>
  </si>
  <si>
    <t>Enhance MRP data for plant A131 WF 24958</t>
  </si>
  <si>
    <t>AFF_ZFIN_Execution-Ready_P30_Plant 2532</t>
  </si>
  <si>
    <t>WF 900005896 - New FIN material</t>
  </si>
  <si>
    <t>TOLL_ZFIN_Update Non-GMP_OMP</t>
  </si>
  <si>
    <t>CMO_ZFIN_Update_NonGMP_OMP_Create_T-lane</t>
  </si>
  <si>
    <t>Updates Related to P30 WF 24965</t>
  </si>
  <si>
    <t>Updates Related to P30 WF 24981</t>
  </si>
  <si>
    <t>Updates Related to P30 WF 24966</t>
  </si>
  <si>
    <t>Updates Related to P30 WF 24967</t>
  </si>
  <si>
    <t>Mark MRP Area A731MRP001 for Deletion</t>
  </si>
  <si>
    <t>Data push to P30 WF 24982</t>
  </si>
  <si>
    <t>Enhance Data for plant A731 WF 24982</t>
  </si>
  <si>
    <t>VERIFY FINP CR343330</t>
  </si>
  <si>
    <t>MRP Type update</t>
  </si>
  <si>
    <t>Min lot size update</t>
  </si>
  <si>
    <t>WF 900005935 - New FIN material</t>
  </si>
  <si>
    <t>Enhancing MRP data for WF 24956</t>
  </si>
  <si>
    <t>AFF_ZFIN_Affiliate_Update_P30_Plant 2580</t>
  </si>
  <si>
    <t>Data push to p30 WF 24989</t>
  </si>
  <si>
    <t>Enhancing MRP data for WF 24989</t>
  </si>
  <si>
    <t>AFF_ZFIN_Execution-Ready_P30_Plant 2673</t>
  </si>
  <si>
    <t>AFF_ZFIN_Execution-Ready_P57_Plant 2800</t>
  </si>
  <si>
    <t>Updates Related to P30 WF 24990</t>
  </si>
  <si>
    <t>Plant extension B831</t>
  </si>
  <si>
    <t>AFF_ZFIN_Affiliate_Update_P30_Plant 2670</t>
  </si>
  <si>
    <t>AFF_ZFIN_Execution-Ready_P30_Plant 4030</t>
  </si>
  <si>
    <t>Data push to P30 WF 24968</t>
  </si>
  <si>
    <t>Data push to P30 WF 25017</t>
  </si>
  <si>
    <t>Enhance MRP data for plant F231 WF 25017</t>
  </si>
  <si>
    <t>KAU_ZFIN_UpdateNonGMP_P30_SalesOrgExt</t>
  </si>
  <si>
    <t>AFF_ZFIN_Update_P30_LocalEAN_AltUoM</t>
  </si>
  <si>
    <t>WF 900005947 - New FIN material</t>
  </si>
  <si>
    <t>WF 900005960 - New SEM Envrac material</t>
  </si>
  <si>
    <t>AFF_ZFIN_Affiliate_Update_P98_Plant 1341</t>
  </si>
  <si>
    <t>Data Push to P30 WF 25019</t>
  </si>
  <si>
    <t>Enhance MRP data for Plant B731 WF 25019</t>
  </si>
  <si>
    <t>Data push to P30 for plant 1001 &amp; 2670 CR 481673</t>
  </si>
  <si>
    <t>Enhance MRP Data for plant A411 CR 481673</t>
  </si>
  <si>
    <t>Enhance Client datat for CR 481673</t>
  </si>
  <si>
    <t>Update MM - WF 25020</t>
  </si>
  <si>
    <t>DEPLOY SEMP CR477016</t>
  </si>
  <si>
    <t>WF 900005967 - New FIN material</t>
  </si>
  <si>
    <t>WF 900005966 - New FIN material</t>
  </si>
  <si>
    <t>Data Push to P30 for CR 490397</t>
  </si>
  <si>
    <t>AFF_ZFIN_Affiliate_Update_P30_Plant 2671</t>
  </si>
  <si>
    <t>Enhance data for plant A411 WF 25036</t>
  </si>
  <si>
    <t>Enhance data for A411 for CR481666</t>
  </si>
  <si>
    <t>Data Push to P30 WF 25036</t>
  </si>
  <si>
    <t>Enhance data for A411 WF 25036</t>
  </si>
  <si>
    <t>Data Push to P30 for CR 482190 LCM</t>
  </si>
  <si>
    <t>Push to P30 WF 25040</t>
  </si>
  <si>
    <t>Push data to P30 CR 483623 LCM</t>
  </si>
  <si>
    <t>Planning ready for CR 483624</t>
  </si>
  <si>
    <t>A511 Create ZBUL C3bBb CPMF</t>
  </si>
  <si>
    <t>Planning ready CR 486625</t>
  </si>
  <si>
    <t>Planning ready CR 510936</t>
  </si>
  <si>
    <t>Data Push to P30 for CR 486899 LCM</t>
  </si>
  <si>
    <t>Push data to P30 for CR 500359</t>
  </si>
  <si>
    <t>Updates Related to WF 490189</t>
  </si>
  <si>
    <t>Data push to P30 for CR 516576 LCM</t>
  </si>
  <si>
    <t>DEPLOY FINP CR480590</t>
  </si>
  <si>
    <t>DEPLOY FINP CR480897</t>
  </si>
  <si>
    <t>DEPLOY FINP CR486658</t>
  </si>
  <si>
    <t>DEPLOY FINP CR325895</t>
  </si>
  <si>
    <t>DEPLOY FINP CR546735</t>
  </si>
  <si>
    <t>CMO_ZSEM_Non-GMP_P30_Plant 1001_Update CoO</t>
  </si>
  <si>
    <t>TSL update</t>
  </si>
  <si>
    <t>Data push to P30 CR 593504 LCM</t>
  </si>
  <si>
    <t>DEPLOY FINP CR482169</t>
  </si>
  <si>
    <t>DEPLOY FINP CR482213</t>
  </si>
  <si>
    <t>AFF_ZFIN_Execution-Ready_P30_Plant 2672_Costing update</t>
  </si>
  <si>
    <t>Planning ready MDG CR 593626</t>
  </si>
  <si>
    <t>TSL update from ALPIN</t>
  </si>
  <si>
    <t>DEPLOY FINP CR593617</t>
  </si>
  <si>
    <t>DEPLOY FINP CR592960</t>
  </si>
  <si>
    <t>DEPLOY FINP CR603233</t>
  </si>
  <si>
    <t>Planning ready CR 614848</t>
  </si>
  <si>
    <t>Plant status update for A513</t>
  </si>
  <si>
    <t>DEPLOY ZFIN CR489701</t>
  </si>
  <si>
    <t>DEPLOY FINP CR603614</t>
  </si>
  <si>
    <t>Updates related to WF 25077</t>
  </si>
  <si>
    <t>Updates related to WF 600045</t>
  </si>
  <si>
    <t>DEPLOY FINP CR588703</t>
  </si>
  <si>
    <t>Updates related to WF 599971</t>
  </si>
  <si>
    <t>DEPLOY FIN CR485752</t>
  </si>
  <si>
    <t>DEPLOY FINP CR593454</t>
  </si>
  <si>
    <t>DEPLOY FINP CR602795</t>
  </si>
  <si>
    <t>DEPLOY FINP CR602857</t>
  </si>
  <si>
    <t>WF 900006026 - New FIN material</t>
  </si>
  <si>
    <t>WF 900006041 - New FIN material</t>
  </si>
  <si>
    <t>Updates Related to WF 25169</t>
  </si>
  <si>
    <t>CMO_ZSEM_Update GMP_P30_Plant 1001</t>
  </si>
  <si>
    <t>WF 900006033 - New FIN material</t>
  </si>
  <si>
    <t>Request for KADCYLA FR</t>
  </si>
  <si>
    <t>A511 Update MRP ZINT Tras</t>
  </si>
  <si>
    <t>VERIFY FINP CR615260</t>
  </si>
  <si>
    <t>VERIFY FINP CR615075</t>
  </si>
  <si>
    <t>VERIFY FINP CR645855</t>
  </si>
  <si>
    <t>WF 900006044 - New FIN  material</t>
  </si>
  <si>
    <t>KAU_Extension to S.Org 1004_1001_P30</t>
  </si>
  <si>
    <t>TOLL_ZSEM_Update Shipping Info_P30_Plant 1001</t>
  </si>
  <si>
    <t>P30# 900006048</t>
  </si>
  <si>
    <t>P30WF 900006048</t>
  </si>
  <si>
    <t>WF 900006070 - Enspryng Request - AI 180mg launch SE-FI</t>
  </si>
  <si>
    <t>Create FINP UNI-30 NMRMC0162523</t>
  </si>
  <si>
    <t>Enspryng Request - AI 180mg launch FR</t>
  </si>
  <si>
    <t>Enspryng Request - AI 180mg launch DE</t>
  </si>
  <si>
    <t>Enspryng Request - AI 180mg launch US</t>
  </si>
  <si>
    <t>Updates Related to WF 25252</t>
  </si>
  <si>
    <t>Updating MRP data</t>
  </si>
  <si>
    <t>Data Push to P30 WF 25303</t>
  </si>
  <si>
    <t>costing lot size update for 10235135</t>
  </si>
  <si>
    <t>update e132  plant status for 11033128</t>
  </si>
  <si>
    <t>VERIFY FINP CR683689</t>
  </si>
  <si>
    <t>VERIFY FINP CR 691873</t>
  </si>
  <si>
    <t>Create SEMP BY NMRMC0162542</t>
  </si>
  <si>
    <t>VERIFY ZFIN CR 677813</t>
  </si>
  <si>
    <t>Plant status update for J331</t>
  </si>
  <si>
    <t>Updates for plant A411</t>
  </si>
  <si>
    <t>Create FINP FR-CLIN NMRMC0162548</t>
  </si>
  <si>
    <t>Create FINP AT NMRMC0162553</t>
  </si>
  <si>
    <t>Create FINP FR-CLIN NMRMC0162552</t>
  </si>
  <si>
    <t>Updates Related to WF 25260</t>
  </si>
  <si>
    <t>Data Transfer to P30 for CR 717856</t>
  </si>
  <si>
    <t>Request for XOFLUZA 80MG 1TAFI (P30 WF 900006012)</t>
  </si>
  <si>
    <t>VERIFY FINP CR717856</t>
  </si>
  <si>
    <t>ZPRM sales org extension</t>
  </si>
  <si>
    <t>VERIFY SEMP CR707919</t>
  </si>
  <si>
    <t>VERIFY FINP CR717849</t>
  </si>
  <si>
    <t>VERIFY FINP CR717942</t>
  </si>
  <si>
    <t>Create FINP GCA-30 NMRMC0162579</t>
  </si>
  <si>
    <t>Create FINP KZ-EEU NMRMC0162587</t>
  </si>
  <si>
    <t>Datat transfer to P30 WF25324</t>
  </si>
  <si>
    <t>Create FINP GB NMRMC0162559</t>
  </si>
  <si>
    <t>update costing lot size for 11033325</t>
  </si>
  <si>
    <t>VERIFY FINP CR722770</t>
  </si>
  <si>
    <t>VERIFY FINP CR722998</t>
  </si>
  <si>
    <t>Create FINP NL NMRMC0162591</t>
  </si>
  <si>
    <t>VERIFY FINP CR723257</t>
  </si>
  <si>
    <t>Create FINP PH NMRMC0162593</t>
  </si>
  <si>
    <t>VERIFY FINP CR727239</t>
  </si>
  <si>
    <t>AFF_ZFIN_Affiliate_Update_P30_Plant 2840</t>
  </si>
  <si>
    <t>VERIFY FINP CR727377</t>
  </si>
  <si>
    <t>A511 Update MES System Dist and MRP ZSEC Notch2 Placebo CPMF</t>
  </si>
  <si>
    <t>INC14471562 - Plant I931 - Extend Sloc RET1</t>
  </si>
  <si>
    <t>description - unflag del for pir</t>
  </si>
  <si>
    <t>VERIFY FINP CR 722821</t>
  </si>
  <si>
    <t>Create PAIP NMRMC0162582</t>
  </si>
  <si>
    <t>Create_OMP_Tlane</t>
  </si>
  <si>
    <t>Create FINP KR NMRMC0162606</t>
  </si>
  <si>
    <t>Create FINP SA NMRMC0162610</t>
  </si>
  <si>
    <t>retirement at client level</t>
  </si>
  <si>
    <t>VERIFY_FINP_CR737737</t>
  </si>
  <si>
    <t>Create FINP EEU NMRMC0078498</t>
  </si>
  <si>
    <t>VERIFY_PAIP CR732078</t>
  </si>
  <si>
    <t>VERIFY_FINP CR735640</t>
  </si>
  <si>
    <t>P30_Plant 2920_Extension</t>
  </si>
  <si>
    <t>yldr output records cleansing in p1s</t>
  </si>
  <si>
    <t>Create FINP DE NMRMC0162592</t>
  </si>
  <si>
    <t>P30_Plant 2672_Extension</t>
  </si>
  <si>
    <t>P30_Plant 2830_Extension</t>
  </si>
  <si>
    <t>P30_Plant 2980_Extension</t>
  </si>
  <si>
    <t>P30_Plant 2840_Extension</t>
  </si>
  <si>
    <t>P30_Plant 4030 &amp; 4040_Extension</t>
  </si>
  <si>
    <t>DEPLOY PACP in Plant 2650 - Email</t>
  </si>
  <si>
    <t>Create FINP PH NMRMC0078416</t>
  </si>
  <si>
    <t>Create FINP PH NMRMC0078418</t>
  </si>
  <si>
    <t>P30_Plant 2910_2990_Extension</t>
  </si>
  <si>
    <t>P30_Plant 2980_2990_Extension</t>
  </si>
  <si>
    <t>P30_Plant 2645_Extension</t>
  </si>
  <si>
    <t>Deletion flag to MRP area</t>
  </si>
  <si>
    <t>P30_Plant 2910_2980_2990_Extension</t>
  </si>
  <si>
    <t>Create SEMP UNLAB NMRMC0162608</t>
  </si>
  <si>
    <t>Create FINP MA NMRMC0162642</t>
  </si>
  <si>
    <t>CMO_ZFIN_Update non-GMP_P30_Plant 1001</t>
  </si>
  <si>
    <t>AFF_ZFIN_Update_P30_Plant_2690_MRPdata</t>
  </si>
  <si>
    <t>omp &amp; p98 pir update</t>
  </si>
  <si>
    <t>CMO_ZBUL_Update GMP_P30_Plant 1001</t>
  </si>
  <si>
    <t>AFF_ZFIN_Execution-Ready_P30_Plant 1400</t>
  </si>
  <si>
    <t>VERIFY_FINP_CR735505</t>
  </si>
  <si>
    <t>Create SEMP UNLAB NMRMC0162597</t>
  </si>
  <si>
    <t>VERIFY_FINP_CR740058</t>
  </si>
  <si>
    <t>Create FINP DZ NMRMC0162653</t>
  </si>
  <si>
    <t>VERIFY_ FINP_CR739970</t>
  </si>
  <si>
    <t>Update MRP area</t>
  </si>
  <si>
    <t>israel ean category update</t>
  </si>
  <si>
    <t>10086693 temporary reactivation</t>
  </si>
  <si>
    <t>ph a731 duty and freight posted</t>
  </si>
  <si>
    <t>AFF_ZFIN_Execution-Ready_P30_Plant 2690</t>
  </si>
  <si>
    <t>CMO_ZINT_UPDATE NON-GMP_P55_1105_QM VIEW</t>
  </si>
  <si>
    <t>Create FINP DE NMRMC0162630</t>
  </si>
  <si>
    <t>AFF_ZFIN_Affiliate_Update_P30_Plant 2640</t>
  </si>
  <si>
    <t>AFF_ZFIN_Execution-Ready_P30_Plant 2990</t>
  </si>
  <si>
    <t>MDG CR 619430 - Update CoO &amp; Region of Origin</t>
  </si>
  <si>
    <t>Create FINP MY NMRMC0162623</t>
  </si>
  <si>
    <t>Create FINP ES NMRMC0162632</t>
  </si>
  <si>
    <t>Create FINP HR NMRMC0162635</t>
  </si>
  <si>
    <t>Create FINP SG NMRMC0162626</t>
  </si>
  <si>
    <t>Create FINP IE NMRMC0162636</t>
  </si>
  <si>
    <t>Create FINP MY NMRMC0162685</t>
  </si>
  <si>
    <t>VERIFY SEMP CR744372</t>
  </si>
  <si>
    <t>VERIFY_FINP_CR740080</t>
  </si>
  <si>
    <t>VERIFY_SEMP_CR742110</t>
  </si>
  <si>
    <t>VERIFY_FINP_CR744299</t>
  </si>
  <si>
    <t>Create FINP RO-BG NMRMC0162639</t>
  </si>
  <si>
    <t>VERIFY_SEMP_CR742108</t>
  </si>
  <si>
    <t>Create FINP GB NMRMC0162634</t>
  </si>
  <si>
    <t>VERIFY_FINP_CR744374</t>
  </si>
  <si>
    <t>Create FINP SI NMRMC0162645</t>
  </si>
  <si>
    <t>Create FINP BE NMRMC0162650</t>
  </si>
  <si>
    <t>Create FINP FR-CLIN NMRMC0162649</t>
  </si>
  <si>
    <t>VERIFY_FINP_CR755744</t>
  </si>
  <si>
    <t>Create FINP DE NMRMC0162784</t>
  </si>
  <si>
    <t>AFF_ZFIN_Affiliate_Update_P30_Plant_2840_HS_Code_Update</t>
  </si>
  <si>
    <t>482213A</t>
  </si>
  <si>
    <t>A411 BoM &amp; Recipe creation</t>
  </si>
  <si>
    <t>485752A</t>
  </si>
  <si>
    <t>489701A</t>
  </si>
  <si>
    <t>MDG CR 480469</t>
  </si>
  <si>
    <t>MDG CR 481025</t>
  </si>
  <si>
    <t>MDG CR 481645</t>
  </si>
  <si>
    <t>486899A</t>
  </si>
  <si>
    <t>482190A</t>
  </si>
  <si>
    <t>MDG CR 619165</t>
  </si>
  <si>
    <t>593504A</t>
  </si>
  <si>
    <t>593539A</t>
  </si>
  <si>
    <t>A511 Create DPI Tron 50MG CPMF</t>
  </si>
  <si>
    <t>A511 Update DPI Ocre SC HC CPMF</t>
  </si>
  <si>
    <t>MDG CR 619430</t>
  </si>
  <si>
    <t>A511 Update Mosunetuzumab 1MG CPMF</t>
  </si>
  <si>
    <t>A511 Update DPI GLofit 2.5MG CPMF</t>
  </si>
  <si>
    <t>MDG CR 590638</t>
  </si>
  <si>
    <t>MDG CR 588036</t>
  </si>
  <si>
    <t>MDG CR 585806</t>
  </si>
  <si>
    <t>MGD CR 640414</t>
  </si>
  <si>
    <t>MDG CR 618591</t>
  </si>
  <si>
    <t>MDG CR 618581</t>
  </si>
  <si>
    <t>A514 Update Perjeta recipes</t>
  </si>
  <si>
    <t>MDG CR 645213</t>
  </si>
  <si>
    <t>MDG CR645331</t>
  </si>
  <si>
    <t>MDG CR 631544</t>
  </si>
  <si>
    <t>MDG CR 25216</t>
  </si>
  <si>
    <t>MDG CR 677431</t>
  </si>
  <si>
    <t>MDG CR 676880</t>
  </si>
  <si>
    <t>MDG CR 677175</t>
  </si>
  <si>
    <t>MDG CR 645595</t>
  </si>
  <si>
    <t>MDG CR 691536</t>
  </si>
  <si>
    <t>A511 Create DPI BFVT6654A CSC UPSM</t>
  </si>
  <si>
    <t>MDG CR 717942</t>
  </si>
  <si>
    <t>MDG CR 717849</t>
  </si>
  <si>
    <t>MDG CR 717856</t>
  </si>
  <si>
    <t>A511 Create Notch2 Placebo CPMF</t>
  </si>
  <si>
    <t>A511 Create/Retire DPI Atezo Pl CPMF</t>
  </si>
  <si>
    <t>MDG CR 590168</t>
  </si>
  <si>
    <t>MDG CR 723257</t>
  </si>
  <si>
    <t>A513: MRA G6 Create Recipe Thaw/Solera</t>
  </si>
  <si>
    <t>A513: MRA G6 US Create Process Recipe</t>
  </si>
  <si>
    <t>A515_Create AOQ Kit recipe CAPA-002893</t>
  </si>
  <si>
    <t>A514 Add Gcode to Insp Phase CA-180655</t>
  </si>
  <si>
    <t>A513: Actemra G6 SS &amp; MP Create Recipe</t>
  </si>
  <si>
    <t>A511 Create Tenecteplase DPI CPMF</t>
  </si>
  <si>
    <t>A511 Create DPI Prasinezumab CPMF</t>
  </si>
  <si>
    <t>MDG CR 732078</t>
  </si>
  <si>
    <t>A514 Update TCN Fill Reicpes Ops/BOM</t>
  </si>
  <si>
    <t>A511 Create DPI Tront CPMF</t>
  </si>
  <si>
    <t>A511 Create Recipe Notch CSC DWNSM</t>
  </si>
  <si>
    <t>MDG CR 740213</t>
  </si>
  <si>
    <t>MDG CR 740133</t>
  </si>
  <si>
    <t>755623A</t>
  </si>
  <si>
    <t>755655A</t>
  </si>
  <si>
    <t>755704A</t>
  </si>
  <si>
    <t>755707A</t>
  </si>
  <si>
    <t>755744A</t>
  </si>
  <si>
    <t>755788A</t>
  </si>
  <si>
    <t>755779A</t>
  </si>
  <si>
    <t>762730A</t>
  </si>
  <si>
    <t>765394A</t>
  </si>
  <si>
    <t>765406A</t>
  </si>
  <si>
    <t>765425A</t>
  </si>
  <si>
    <t>MDG CR 756494</t>
  </si>
  <si>
    <t>771879A</t>
  </si>
  <si>
    <t>771972A</t>
  </si>
  <si>
    <t>771963A</t>
  </si>
  <si>
    <t>772285A</t>
  </si>
  <si>
    <t>772238A</t>
  </si>
  <si>
    <t>772340A</t>
  </si>
  <si>
    <t>772450A</t>
  </si>
  <si>
    <t>772464A</t>
  </si>
  <si>
    <t>772468A</t>
  </si>
  <si>
    <t>772471A</t>
  </si>
  <si>
    <t>772477A</t>
  </si>
  <si>
    <t>772513A</t>
  </si>
  <si>
    <t>772516A</t>
  </si>
  <si>
    <t>773147A</t>
  </si>
  <si>
    <t>772522A</t>
  </si>
  <si>
    <t>772523A</t>
  </si>
  <si>
    <t>775789A</t>
  </si>
  <si>
    <t>784478A</t>
  </si>
  <si>
    <t>554654A</t>
  </si>
  <si>
    <t>800255A</t>
  </si>
  <si>
    <t>MDG CR 188754</t>
  </si>
  <si>
    <t>799986A</t>
  </si>
  <si>
    <t>816372A</t>
  </si>
  <si>
    <t>MDG CR 772531</t>
  </si>
  <si>
    <t>A511 Create Recipe Notch CSC UPSM</t>
  </si>
  <si>
    <t>MDG CR 821639</t>
  </si>
  <si>
    <t>MDG CR 821639 (Saranya verified)</t>
  </si>
  <si>
    <t>A513: Prasi Batch Update</t>
  </si>
  <si>
    <t>A514 Add Ops Class NPPO Recipes</t>
  </si>
  <si>
    <t>MDG CR 789167</t>
  </si>
  <si>
    <t>Activate DPI MCDV2402A CSC CB</t>
  </si>
  <si>
    <t>A513: Pola/Prasi Harv Update Duration</t>
  </si>
  <si>
    <t>A511 Activate DPI MCDV2402A CSC CB</t>
  </si>
  <si>
    <t>A511 Create DPI NLRP1568A CPMF</t>
  </si>
  <si>
    <t>A514 Typ 40 NPPO Ops Rmv Rel to Cost</t>
  </si>
  <si>
    <t>A514 Update TNKase run rate</t>
  </si>
  <si>
    <t>A515 11032961 Update Recipe QE-162981</t>
  </si>
  <si>
    <t>A513: MRA G6 Create Stock Sol</t>
  </si>
  <si>
    <t>A513: Prasi Freeze 300L PV 1020 Create</t>
  </si>
  <si>
    <t>A513: DS Minncare BOM Qty Update</t>
  </si>
  <si>
    <t>A513: MRA G6 Create Recipe 11036355</t>
  </si>
  <si>
    <t>A515 Update 90043001 MMR Recipe ID</t>
  </si>
  <si>
    <t>A514 Update Activase reicpe durations</t>
  </si>
  <si>
    <t>A513: Tira 20L Update Operations</t>
  </si>
  <si>
    <t>A511 Activate DPI BFVT6654A CSC DNSM</t>
  </si>
  <si>
    <t>A514 Correct recipe status ALP-145340</t>
  </si>
  <si>
    <t>A513: MRA G6 BOM Update</t>
  </si>
  <si>
    <t>A513: Mat 17359 Update Resource</t>
  </si>
  <si>
    <t>A511 Revise DPI Notch CPMF</t>
  </si>
  <si>
    <t>A511 Create DPI MTOM5920A CSC UPSM</t>
  </si>
  <si>
    <t>A511 Activate DPI MTOM5920A CSC UPSM</t>
  </si>
  <si>
    <t>A514 Create/Update NPPO Recipes</t>
  </si>
  <si>
    <t>A511 Update DPI BFVT6654A CSC DNSM</t>
  </si>
  <si>
    <t>MDG CR 860952</t>
  </si>
  <si>
    <t>MDG CR 861692</t>
  </si>
  <si>
    <t>MDG CR 861751</t>
  </si>
  <si>
    <t xml:space="preserve">	MDG CR869893</t>
  </si>
  <si>
    <t>A511 Create DPI MPRR CSC DNSM</t>
  </si>
  <si>
    <t>A511 Mass Load/Activate/Edit sNRP1 CPMF</t>
  </si>
  <si>
    <t>MDG CR867747 Large</t>
  </si>
  <si>
    <t>MDG CR867747 Small</t>
  </si>
  <si>
    <t>A511 Recipe Cevostamab 104mg CPMF</t>
  </si>
  <si>
    <t>MDG CR# 870044</t>
  </si>
  <si>
    <t>A511 Revised NLRP1568A Dil CPMF</t>
  </si>
  <si>
    <t>A411 BoM &amp; Recipe</t>
  </si>
  <si>
    <t>A511 Update recipe Cevos 104 mg CPMF</t>
  </si>
  <si>
    <t>A511 Update DPI MTOM5920A CSC UPSM</t>
  </si>
  <si>
    <t>A513: MRA G6 Create MMR Resin/Cassette</t>
  </si>
  <si>
    <t>A511 Update Recipe Tron Resupply CPMF</t>
  </si>
  <si>
    <t>A511 Create DPI aCD5 CSC DNSM</t>
  </si>
  <si>
    <t>MDG CR 873135</t>
  </si>
  <si>
    <t>MDG CR 880361</t>
  </si>
  <si>
    <t>MDG CR 874544</t>
  </si>
  <si>
    <t>A514 Create Batch Conversion Recipe</t>
  </si>
  <si>
    <t>A514 Activate recipe 50014196  QE-169905</t>
  </si>
  <si>
    <t>A511 CT868 Empty Vial Recipe Load</t>
  </si>
  <si>
    <t>A511 Update Existing Hyaluronidase</t>
  </si>
  <si>
    <t>A513: Xolair 20L Recipe Update</t>
  </si>
  <si>
    <t>A513: US MMR Description/Duration Update</t>
  </si>
  <si>
    <t>A513: Avastin BOM Updates QE-164769</t>
  </si>
  <si>
    <t>A511 Recipe Update to Hyaluronidase</t>
  </si>
  <si>
    <t>A514 Update NPPO BOMs</t>
  </si>
  <si>
    <t>Create New Recipe</t>
  </si>
  <si>
    <t>A513: MRA G6 20L Solera Recipe Updates</t>
  </si>
  <si>
    <t>A514 Update unused NPPO PVs</t>
  </si>
  <si>
    <t>A514 Update Cathflo Planning recipes</t>
  </si>
  <si>
    <t>A511 Activate 1 recipe</t>
  </si>
  <si>
    <t>A511 Update DPI BOM Cevos 1.2MG</t>
  </si>
  <si>
    <t>A514 New Afimki Poly Prep recipe</t>
  </si>
  <si>
    <t>A517 Recipe Active GR DTOM4810A</t>
  </si>
  <si>
    <t>A511 Activate Recipes CD20 CSC CB</t>
  </si>
  <si>
    <t>A515 Create PPS recipe for 11037767</t>
  </si>
  <si>
    <t>A517 Link XSteps DTOM4810A RSDC</t>
  </si>
  <si>
    <t>A511 Cevos 1.2MG Recipe Update CPMF</t>
  </si>
  <si>
    <t>A511 Create DPI CIT Backbone CSC DNSM</t>
  </si>
  <si>
    <t>A514 Update Recipe 11007220</t>
  </si>
  <si>
    <t>A514 Update Planning recipes</t>
  </si>
  <si>
    <t>A513: DS Relationship Recipe Update 1</t>
  </si>
  <si>
    <t>A514 Update 10245872 Ops Desc</t>
  </si>
  <si>
    <t>A511 Activate DPI MTOM CSC DNSM</t>
  </si>
  <si>
    <t>A514 Create Afimki Clin BkPk Recipe</t>
  </si>
  <si>
    <t>A511 Recipe Update Mosun ReFrz</t>
  </si>
  <si>
    <t>A514 Create Afimki Fill Recipe</t>
  </si>
  <si>
    <t>A514 Update MOSUN Pool BOM</t>
  </si>
  <si>
    <t>A515 Update BOM for 11036589</t>
  </si>
  <si>
    <t>A511 Prasi Thaw Refrz</t>
  </si>
  <si>
    <t>A511 Create DPI MPCD1138A WCB CSC CB</t>
  </si>
  <si>
    <t>A513: DS Relationship Recipe Update 2</t>
  </si>
  <si>
    <t>A515 Update Xsteps parameter 11036589</t>
  </si>
  <si>
    <t>A513: MRA G6 DS Recipe Update</t>
  </si>
  <si>
    <t>A514 Update 10210048 TEC ACN 546400</t>
  </si>
  <si>
    <t>Reassign XStep Template-Matl 11026553</t>
  </si>
  <si>
    <t>Create new resource and recipe</t>
  </si>
  <si>
    <t>A513: MRA G6 Harvest MMR Status 3`</t>
  </si>
  <si>
    <t>MDG CR# 937609</t>
  </si>
  <si>
    <t>A514 Create 10219181 Planning recipe</t>
  </si>
  <si>
    <t>A514 Remove NPPO BOM Component</t>
  </si>
  <si>
    <t>A511 ZBUL Prasi 1512 BOM Update</t>
  </si>
  <si>
    <t>A514 Activate Recond Recipe CA-244260</t>
  </si>
  <si>
    <t>A513: MRA G6 MSS Spent Resin Update</t>
  </si>
  <si>
    <t>A513: MRA G6 CP_Buff Recipe Activate</t>
  </si>
  <si>
    <t>A513: Perjeta IV/MRA G6 Recipe Updates</t>
  </si>
  <si>
    <t>A513: Avastin Recipe Update</t>
  </si>
  <si>
    <t>Mass upload</t>
  </si>
  <si>
    <t>R10</t>
  </si>
  <si>
    <t>G15</t>
  </si>
  <si>
    <t>G37</t>
  </si>
  <si>
    <t>G50</t>
  </si>
  <si>
    <t>G25</t>
  </si>
  <si>
    <t>G41</t>
  </si>
  <si>
    <t>Make Deployment</t>
  </si>
  <si>
    <t>Make Verification</t>
  </si>
  <si>
    <t>Make Costing</t>
  </si>
  <si>
    <t>Make Rejection</t>
  </si>
  <si>
    <t>G23</t>
  </si>
  <si>
    <t>G12</t>
  </si>
  <si>
    <t>G45</t>
  </si>
  <si>
    <t>G21</t>
  </si>
  <si>
    <t>G43</t>
  </si>
  <si>
    <t>G24</t>
  </si>
  <si>
    <t>G36</t>
  </si>
  <si>
    <t>G31</t>
  </si>
  <si>
    <t>G35</t>
  </si>
  <si>
    <t>G16</t>
  </si>
  <si>
    <t>G46</t>
  </si>
  <si>
    <t>R92</t>
  </si>
  <si>
    <t>G33</t>
  </si>
  <si>
    <t>Row Labels</t>
  </si>
  <si>
    <t>Grand Total</t>
  </si>
  <si>
    <t>Count of Change Request</t>
  </si>
  <si>
    <t>2025</t>
  </si>
  <si>
    <t>Jul</t>
  </si>
  <si>
    <t>2024</t>
  </si>
  <si>
    <t>Dec</t>
  </si>
  <si>
    <t>Jan</t>
  </si>
  <si>
    <t>Feb</t>
  </si>
  <si>
    <t>Mar</t>
  </si>
  <si>
    <t>Apr</t>
  </si>
  <si>
    <t>May</t>
  </si>
  <si>
    <t>Jun</t>
  </si>
  <si>
    <t>Aug</t>
  </si>
  <si>
    <t>Sep</t>
  </si>
  <si>
    <t>Apr -2025</t>
  </si>
  <si>
    <t>Feb -2025</t>
  </si>
  <si>
    <t>Mar -2025</t>
  </si>
  <si>
    <t>May -2025</t>
  </si>
  <si>
    <t>Column Labels</t>
  </si>
  <si>
    <t>CR type</t>
  </si>
  <si>
    <t>MDG</t>
  </si>
  <si>
    <t>Make</t>
  </si>
  <si>
    <t>Change TSL and Material Type, see Notes</t>
  </si>
  <si>
    <t>Update safety days to 30 days</t>
  </si>
  <si>
    <t>TOLL_ZAPI_Ready for Execution_P30 (PAIP)_Plant 1001</t>
  </si>
  <si>
    <t>A513: MRA G6 HAP CP Batch Size Update</t>
  </si>
  <si>
    <t>CMO_ZAPI_Update Non-GMP_OMP_Update TLane</t>
  </si>
  <si>
    <t>A513: MRA G6 HAP Regen CP Buff Lot Size Update</t>
  </si>
  <si>
    <t>AFF_ZFIN_Execution-Ready_P30_ 2990_CGT_NoCosting</t>
  </si>
  <si>
    <t>AFF_ZFIN_Execution-Ready_P30_ 2980_CGT_NoCosting</t>
  </si>
  <si>
    <t>Execution Ready</t>
  </si>
  <si>
    <t>MM Updates</t>
  </si>
  <si>
    <t>A513 Used Leftover Resin P2</t>
  </si>
  <si>
    <t>A513: MRA G6 HAP CP Recipe Update</t>
  </si>
  <si>
    <t>A515 - Create NPPO APS BCMA recipe</t>
  </si>
  <si>
    <t>No.of WFs</t>
  </si>
  <si>
    <t>VERIFY FINP CR 970129</t>
  </si>
  <si>
    <t>VERIFY FINP CR 970158</t>
  </si>
  <si>
    <t>VERIFY FINP CR 970360</t>
  </si>
  <si>
    <t>Create FINP AU NMRMC0163464</t>
  </si>
  <si>
    <t>VERIFY FINP CR970340</t>
  </si>
  <si>
    <t>VERIFY FINP CR 969919</t>
  </si>
  <si>
    <t>VERIFY ZFIN CR970375</t>
  </si>
  <si>
    <t>VERIFY ZFIN CR 970587</t>
  </si>
  <si>
    <t>YMFG001</t>
  </si>
  <si>
    <t>A511 Load Planning IL33:IL6</t>
  </si>
  <si>
    <t>A511 Create DPI MCDV2402A CSC DNSM</t>
  </si>
  <si>
    <t>Make CRs</t>
  </si>
  <si>
    <t>MDG CRs</t>
  </si>
  <si>
    <t>Dec -2024</t>
  </si>
  <si>
    <t>Jan -2025</t>
  </si>
  <si>
    <t>Oct- 2025</t>
  </si>
  <si>
    <t>Total Month</t>
  </si>
  <si>
    <t>Average</t>
  </si>
  <si>
    <t>Monthly CRs</t>
  </si>
  <si>
    <t>Total WFs completed</t>
  </si>
  <si>
    <t>MDG process types</t>
  </si>
  <si>
    <t>MDG VS Make CRs</t>
  </si>
  <si>
    <t>WEEKLY CRs COMPARISION</t>
  </si>
  <si>
    <t>Weekly total</t>
  </si>
  <si>
    <t>Average WFs per month</t>
  </si>
  <si>
    <t>Total num of WFs</t>
  </si>
  <si>
    <t>WFs completed today</t>
  </si>
  <si>
    <t>PERFORMANCE DASHBOARD</t>
  </si>
  <si>
    <t>VERIFY ZBUL CR 972945</t>
  </si>
  <si>
    <t>PIR &amp; SL -15188 Prosep vA</t>
  </si>
  <si>
    <t>KAU_ZFIN_Update_P30_1001_Extend_S.org_1004</t>
  </si>
  <si>
    <t>Update Shelf Life Data field &amp; Storage Condition</t>
  </si>
  <si>
    <t>Update Rounding Rule &amp; Storage Condition</t>
  </si>
  <si>
    <t>Remove Safety Stock</t>
  </si>
  <si>
    <t>AFF_ZFIN_Update_P30_Plant_2645_MRPdata</t>
  </si>
  <si>
    <t>AFF_ZFIN_Update_P30_Plant_2655_PIR price</t>
  </si>
  <si>
    <t>Create SEMP NMRMC0163403</t>
  </si>
  <si>
    <t>Plant extension_F231</t>
  </si>
  <si>
    <t>Create SEMP UNLAB NMRMC0163576</t>
  </si>
  <si>
    <t>Create SEMP UNLAB NMRMC0163575</t>
  </si>
  <si>
    <t>INC15210295 Mtl 10147104 Create IP</t>
  </si>
  <si>
    <t>INC15210295 Mtl 10147104 A513 IP</t>
  </si>
  <si>
    <t>A521 mat 10224447 assign cert profile</t>
  </si>
  <si>
    <t>YG3</t>
  </si>
  <si>
    <t>YG8</t>
  </si>
  <si>
    <t>Fixed lot size / plant 1105</t>
  </si>
  <si>
    <t>Create PIR&amp;SL Enspryng&amp;Hemlibra</t>
  </si>
  <si>
    <t>YLDR Output records cleansing in P1S</t>
  </si>
  <si>
    <t>P30_plant 2910_extension</t>
  </si>
  <si>
    <t>Create SEMP UNLAB NMRMC0163579</t>
  </si>
  <si>
    <t>ZAPI_Update_Non_GMP_P55_plant_1105_Fixed_lot_size</t>
  </si>
  <si>
    <t xml:space="preserve">	TOLL_ZFIN_Ready for Execution_P30 (FINP)_Plant 1001</t>
  </si>
  <si>
    <t>VERIFY ZFIN CR981621</t>
  </si>
  <si>
    <t>TSL update - ACN 552653</t>
  </si>
  <si>
    <t>TSL Update - ACN 553811</t>
  </si>
  <si>
    <t>AFF_ZFIN_Update_P98_SalesText</t>
  </si>
  <si>
    <t>A931_DE_Grenzach_SalesText</t>
  </si>
  <si>
    <t>VERIFY FINP CR 984601</t>
  </si>
  <si>
    <t>DEPLOY ZSEM CR 982404</t>
  </si>
  <si>
    <t>Update_Company_usage_CR985400</t>
  </si>
  <si>
    <t>Create FINP BA NMRMC0163603</t>
  </si>
  <si>
    <t>Create FINP BA NMRMC0163609</t>
  </si>
  <si>
    <t>CMO_ZSEM_Update non-GMP_P30_SalesOrg1006_SalesText</t>
  </si>
  <si>
    <t>Update A731_CR 985132</t>
  </si>
  <si>
    <t>Create FINP AT NMRMC0163602</t>
  </si>
  <si>
    <t>deployment</t>
  </si>
  <si>
    <t>YMUX0035</t>
  </si>
  <si>
    <t>A511 Update Recipe TMR B2B RFRZ</t>
  </si>
  <si>
    <t>Create FINP AT NMRMC0163595</t>
  </si>
  <si>
    <t>Create FINP BY NMRMC0163600</t>
  </si>
  <si>
    <t>Create FINP UNI-36 NMRMC0163585</t>
  </si>
  <si>
    <t>CMO_ZSEC_P30_Plant_1001_PIR_SL</t>
  </si>
  <si>
    <t>CMO_ZSEM_Update non-GMP_P30_Plant 1001_BOM</t>
  </si>
  <si>
    <t>A511 Create DPI MCDV2402A CPMF</t>
  </si>
  <si>
    <t>A511 Update BOM FNAB Harvest CSC</t>
  </si>
  <si>
    <t>A511 Update CSC buffer</t>
  </si>
  <si>
    <t>A511 ZINT Update CSC buffer</t>
  </si>
  <si>
    <t>G14</t>
  </si>
  <si>
    <t>Create FINP UNI-36 NMRMC0163593</t>
  </si>
  <si>
    <t>Create FINP PL NMRMC0163637</t>
  </si>
  <si>
    <t>Create FINP PH NMRMC0163419</t>
  </si>
  <si>
    <t>VERIFY ZSEM CR 989977</t>
  </si>
  <si>
    <t>P30_plant 2990_extension</t>
  </si>
  <si>
    <t>Create FINP BR NMRMC0163672</t>
  </si>
  <si>
    <t>Comp PIR(Price) &amp; Upd. Plant Status C3</t>
  </si>
  <si>
    <t>Create FINP HK NMRMC0163124</t>
  </si>
  <si>
    <t>Create FINP TH NMRMC0163665</t>
  </si>
  <si>
    <t xml:space="preserve">A411 BoM &amp; Recipe </t>
  </si>
  <si>
    <t>A513: MRA G6 Harvest Duration Update</t>
  </si>
  <si>
    <t>A513: MRA G6/NPPO Recipe Updates</t>
  </si>
  <si>
    <t>A511 Update DPI BFVT CSC UPSM</t>
  </si>
  <si>
    <t>A511 Activate MCDV BUF CSC DNSM</t>
  </si>
  <si>
    <t>VERIFY FINP CR 996284</t>
  </si>
  <si>
    <t>Create FINP PE NMRMC0163668</t>
  </si>
  <si>
    <t>QE-129014 | CA-191350: Update DIR</t>
  </si>
  <si>
    <t>R4E_J431_SE_ACN554461_CC_1703</t>
  </si>
  <si>
    <t>VERIFY FINP CR996412</t>
  </si>
  <si>
    <t>Change planning lot size and costing lot size values</t>
  </si>
  <si>
    <t>R4E_J031_FR_ACN553366_CC_1614</t>
  </si>
  <si>
    <t>Create FINP BR NMRMC0163696</t>
  </si>
  <si>
    <t>Create FINP AR NMRMC0163694</t>
  </si>
  <si>
    <t>Update TSL, Temp, Storage, Insp. Type &amp; QMO</t>
  </si>
  <si>
    <t>VERIFY FINP CR1000142</t>
  </si>
  <si>
    <t>VERIFY ZFIN CR 1002124</t>
  </si>
  <si>
    <t>Update TSL and Temperature</t>
  </si>
  <si>
    <t>A514 Create HER2 Refreeze Recipe</t>
  </si>
  <si>
    <t>A513 Hemlibra Create Recipe 11038960 Kit</t>
  </si>
  <si>
    <t>A513 Hemlibra Create Recipe 11039049 Kit</t>
  </si>
  <si>
    <t>A513 Hemlibra Create Recipe 11038633 Kit</t>
  </si>
  <si>
    <t>A513: MRA G6 Freeze Max/Base Qty Update</t>
  </si>
  <si>
    <t>A513 Hemlibra Create Recipe 11038638 Kit</t>
  </si>
  <si>
    <t>A513 Hemlibra Create Recipe 11038672 Kit</t>
  </si>
  <si>
    <t>A514 Update Afimki Planning Recipes</t>
  </si>
  <si>
    <t>BCMA BOM Updates</t>
  </si>
  <si>
    <t>A513 Hemlibra Create Recipe 11038970 Kit</t>
  </si>
  <si>
    <t>R4E_J031_FR_ACN553877_CC_1614</t>
  </si>
  <si>
    <t>R4E_J031_FR_ACN553878_CC_1614</t>
  </si>
  <si>
    <t>Remove rounding rule for SLED &amp; InsTyp Y1701_15</t>
  </si>
  <si>
    <t>Create FINP FR NMRMC0163651</t>
  </si>
  <si>
    <t>VERIFY FINP CR 1002680</t>
  </si>
  <si>
    <t>VERIFY FINP CR1002311</t>
  </si>
  <si>
    <t>VERIFY FINP CR 1002770</t>
  </si>
  <si>
    <t>VERIFY FINP CR 1002758</t>
  </si>
  <si>
    <t>CA-238031: Update DIR version</t>
  </si>
  <si>
    <t>Create FINP CH NMRMC0163640</t>
  </si>
  <si>
    <t>R4E_F431_BE_ACN554107</t>
  </si>
  <si>
    <t>Create FINP GB NMRMC0163709</t>
  </si>
  <si>
    <t>Create FINP GR-CY NMRMC0163722</t>
  </si>
  <si>
    <t>Create FINP HR NMRMC0163723</t>
  </si>
  <si>
    <t>Create FINP AT NMRMC0163705</t>
  </si>
  <si>
    <t>Create FINP BE NMRMC0163707</t>
  </si>
  <si>
    <t>P98_Plant 1395_Extension_ERP_Mailbox</t>
  </si>
  <si>
    <t>P98_Plant 1395_Extension</t>
  </si>
  <si>
    <t>VERIFY FINP CR1007924</t>
  </si>
  <si>
    <t>A513: MRA G6 US Recipe Activate</t>
  </si>
  <si>
    <t>A513 Hemlibra Create Recipe 11039118 Kit</t>
  </si>
  <si>
    <t>VERIFY ZFIN CR 1009554</t>
  </si>
  <si>
    <t>VERIFY ZFIN CR 1008129</t>
  </si>
  <si>
    <t xml:space="preserve">ACN: 555001 Activate BOM </t>
  </si>
  <si>
    <t>ACN: 553540 Activate BOM</t>
  </si>
  <si>
    <t>ACN: 554955 Maintain Global ERP Master Data</t>
  </si>
  <si>
    <t xml:space="preserve"> ACN: 554720 Complete BoM</t>
  </si>
  <si>
    <t>Create FINP DK-IS NMRMC0163758</t>
  </si>
  <si>
    <t>Create FINP IE NMRMC0163648</t>
  </si>
  <si>
    <t>VERIFY ZFIN CR 1012308</t>
  </si>
  <si>
    <t>VERIFY FINP CR1012507</t>
  </si>
  <si>
    <t>Alpin</t>
  </si>
  <si>
    <t>Create FINP IE NMRMC0163742</t>
  </si>
  <si>
    <t>Create FINP GR-CY NMRMC0163762</t>
  </si>
  <si>
    <t>Create FINP IT-PU NMRMC0163764</t>
  </si>
  <si>
    <t>VERIFY FINP CR 1009153</t>
  </si>
  <si>
    <t>VERIFY ZFIN CR 1009335</t>
  </si>
  <si>
    <t>VERIFY ZFIN CR 1009310</t>
  </si>
  <si>
    <t>Update BoM - 11036114 at A223</t>
  </si>
  <si>
    <t>ACN: 555008 Activate BOM</t>
  </si>
  <si>
    <t>ACN: 555004  Complete BoM</t>
  </si>
  <si>
    <t>ACN: 554987 Complete BoM</t>
  </si>
  <si>
    <t>ACN: 553299 Activate BOM</t>
  </si>
  <si>
    <t>ACN: 553542  Activate BOM</t>
  </si>
  <si>
    <t>ACN: 552829 Maintain Global ERP Master Data - ACN: 552829</t>
  </si>
  <si>
    <t>ACN: 553792 Maintain Global ERP Master Data</t>
  </si>
  <si>
    <t>ACN: 552653 Maintain Global ERP Master Data</t>
  </si>
  <si>
    <t>ACN: 553808 Maintain Global ERP Master Data</t>
  </si>
  <si>
    <t>A511 Recipe Update OCR SC HC 924MG CPMF</t>
  </si>
  <si>
    <t>A513 Hemlibra Create Recipe 11038589 Sol</t>
  </si>
  <si>
    <t>A513 Hemlibra Create Recipe 11038631 Sol</t>
  </si>
  <si>
    <t>A511 Activate DPI MPCD1138A WCB CSC CB</t>
  </si>
  <si>
    <t>A511 Update DPI Various CSC Kits</t>
  </si>
  <si>
    <t>A513_Update 10222408 Relationships</t>
  </si>
  <si>
    <t>A514 Update Afimki Pool Planning Rcp</t>
  </si>
  <si>
    <t>A513: MRA G6 Media Qty Update</t>
  </si>
  <si>
    <t>VERIFY FINP CR 1013383</t>
  </si>
  <si>
    <t>Create FINP HR NMRMC0163763</t>
  </si>
  <si>
    <t>VERIFY ZFIN CR 1013588</t>
  </si>
  <si>
    <t>VERIFY ZFIN CR 1013589</t>
  </si>
  <si>
    <t>VERIFY ZFIN CR1015111</t>
  </si>
  <si>
    <t>VERIFY FINP CR1017974</t>
  </si>
  <si>
    <t>Create FINP RO-BG NMRMC0163747</t>
  </si>
  <si>
    <t>Create FINP IL NMRMC0163750</t>
  </si>
  <si>
    <t>AFF_ZFIN_Affiliate_Update PIR_plant 2670</t>
  </si>
  <si>
    <t>ACN: 555019  Complete BoM</t>
  </si>
  <si>
    <t>ACN: 555020 Complete BoM</t>
  </si>
  <si>
    <t>ACN: 555041 Activate BOM</t>
  </si>
  <si>
    <t>ACN: 554623  Complete BoM</t>
  </si>
  <si>
    <t>ACN: 554624 Complete BoM</t>
  </si>
  <si>
    <t>ACN: 554738  Complete BoM</t>
  </si>
  <si>
    <t>ACN: 554743  Complete BoM</t>
  </si>
  <si>
    <t>ACN: 554041 Activate BOM</t>
  </si>
  <si>
    <t>A513 Hemlibra Create Recipe 11038572 Kit</t>
  </si>
  <si>
    <t>A513 Hemlibra Create Recipe 11038640 Sol</t>
  </si>
  <si>
    <t>A514 Update Inspection Recipe Resource</t>
  </si>
  <si>
    <t>Update TSL &amp; Temperature</t>
  </si>
  <si>
    <t>Create FINP DE NMRMC0163821</t>
  </si>
  <si>
    <t>R4E_J031_FR_ACN552651_CC_1614</t>
  </si>
  <si>
    <t>R4E_J031_FR_ACN552032_CC_1614</t>
  </si>
  <si>
    <t>R4E_J031_FR_ACN554729_CC_1614</t>
  </si>
  <si>
    <t>Preliminary WF Qualification CONFIRM</t>
  </si>
  <si>
    <t>VERIFY ZFIN CR 1021266</t>
  </si>
  <si>
    <t>ACN: 555077 Complete BoM</t>
  </si>
  <si>
    <t>ACN: 555046 Activate BOM</t>
  </si>
  <si>
    <t>ACN: 555014 Activate BOM</t>
  </si>
  <si>
    <t>ACN: 555090 Activate BOM</t>
  </si>
  <si>
    <t>ACN: 555088 Activate BOM</t>
  </si>
  <si>
    <t>Customer master</t>
  </si>
  <si>
    <t>A513 Hemlibra Create Recipe 11038564 Kit</t>
  </si>
  <si>
    <t>A513 Hemlibra Create Recipe 11038534 Kit</t>
  </si>
  <si>
    <t>A513 Hemlibra Create Recipe 11038546 Kit</t>
  </si>
  <si>
    <t>A511 TMR19841 Creation for DP SMPS</t>
  </si>
  <si>
    <t>A511 Create DPI CD19 TCB CSC CB</t>
  </si>
  <si>
    <t>A513 Hemlibra Create Recipe 11038525 Kit</t>
  </si>
  <si>
    <t>A513 Hemlibra Create Recipe 11038555 Kit</t>
  </si>
  <si>
    <t>A513 Hemlibra Create Recipe 11038524 Kit</t>
  </si>
  <si>
    <t>G10</t>
  </si>
  <si>
    <t>A513 Hemlibra Create Recipe 11038578 Kit</t>
  </si>
  <si>
    <t>A513 Hemlibra Create Recipe 11038616 Kit</t>
  </si>
  <si>
    <t>A511 Update DPI MCDV CSC DNSM</t>
  </si>
  <si>
    <t>A513 Hemlibra Create Recipe 11038674 Buf</t>
  </si>
  <si>
    <t>A511 Update DPI BFVT CSC DNSM</t>
  </si>
  <si>
    <t>A511 TMR19841 Max Range/Base Qty</t>
  </si>
  <si>
    <t>VERIFY ZFIN CR 1025389</t>
  </si>
  <si>
    <t>VERIFY ZFIN CR 1025483</t>
  </si>
  <si>
    <t>QE-163780 update insp plan group 14811</t>
  </si>
  <si>
    <t>QE-163780 update insp plan group 14799</t>
  </si>
  <si>
    <t>VERIFY FINP CR 1032538</t>
  </si>
  <si>
    <t>MDS_Change/update Master Data</t>
  </si>
  <si>
    <t>VERIFY ZFIN CR 1033207</t>
  </si>
  <si>
    <t>Create FINP NO NMRMC0163856</t>
  </si>
  <si>
    <t>VERIFY ZFIN CR 1035007</t>
  </si>
  <si>
    <t>VERIFY FINP CR 1032596</t>
  </si>
  <si>
    <t>ACN554866</t>
  </si>
  <si>
    <t>VERIFY ZFIN CR 1032313</t>
  </si>
  <si>
    <t>Material extension to 1441</t>
  </si>
  <si>
    <t>P30 plant 1441 extension</t>
  </si>
  <si>
    <t>LCM Verification</t>
  </si>
  <si>
    <t>A513: MMR Update Minncare 10573 as Alt</t>
  </si>
  <si>
    <t>A513 Hemlibra Create Recipe 11038955 Buf</t>
  </si>
  <si>
    <t>A513 Hemlibra Create Recipe 11038757 Buf</t>
  </si>
  <si>
    <t>A513 Hemlibra Create Recipe 11038547 Buf</t>
  </si>
  <si>
    <t>A513 Hemlibra Create Recipe 11038559 Buf</t>
  </si>
  <si>
    <t>A513 Hemlibra Create Recipe 11038599 Buf</t>
  </si>
  <si>
    <t>A513 Hemlibra Create Recipe 11038539 Buf</t>
  </si>
  <si>
    <t>A513 Hemlibra Create Recipe 11038556 Buf</t>
  </si>
  <si>
    <t>P30 plant 2640 extension</t>
  </si>
  <si>
    <t>VERIFY ZFIN CR 1035439</t>
  </si>
  <si>
    <t>Create FINP US NMRMC0163865</t>
  </si>
  <si>
    <t>E132 update material 11039631 status to 30</t>
  </si>
  <si>
    <t>Maintain CTN in GTS P43</t>
  </si>
  <si>
    <t>VERIFY ZFIN CR 1035524</t>
  </si>
  <si>
    <t>Update lot size</t>
  </si>
  <si>
    <t>P98 plant 1393 extension</t>
  </si>
  <si>
    <t>P30 plant 2800 extension</t>
  </si>
  <si>
    <t>Oct</t>
  </si>
  <si>
    <t>MDS_Check &amp;/ update &amp;/ cancel WF</t>
  </si>
  <si>
    <t>Create FINP SE-FI NMRMC0163877</t>
  </si>
  <si>
    <t>CR1015898-Missed updating status to 40</t>
  </si>
  <si>
    <t>VERIFY ZFIN CR 1038784</t>
  </si>
  <si>
    <t>Update Non-GMP_P98_1300</t>
  </si>
  <si>
    <t>DIR Update</t>
  </si>
  <si>
    <t>A513 Hemlibra Create Recipe 11038963 Buf</t>
  </si>
  <si>
    <t>A513 Hemlibra Create Recipe 11038596 Buf</t>
  </si>
  <si>
    <t>A513: MRA G6 Bulk Recipe Updates</t>
  </si>
  <si>
    <t>A513 PER TFF Updates</t>
  </si>
  <si>
    <t>A513 Hemlibra Create Recipe 11039288 Wav</t>
  </si>
  <si>
    <t>A513 Hemlibra Create Recipe 11038591 Buf</t>
  </si>
  <si>
    <t>A511 Create GDC-7366 PH1 API B43 SMPS</t>
  </si>
  <si>
    <t>A511 Recipe Load/Update OCR SC HC</t>
  </si>
  <si>
    <t>A513 Update MR 17378</t>
  </si>
  <si>
    <t>A513: MRA G6 Freeze Recipe Stat 3</t>
  </si>
  <si>
    <t>G11</t>
  </si>
  <si>
    <t>P30 plant 2910 extension</t>
  </si>
  <si>
    <t>Activate BOM - ACN: 554902</t>
  </si>
  <si>
    <t>Activate BOM - ACN: 554901</t>
  </si>
  <si>
    <t>Create FINP GB NMRMC0163892</t>
  </si>
  <si>
    <t>R4E_F431_BE_ACN554208_CC_1610</t>
  </si>
  <si>
    <t>R4E_F431_BE_ACN554207_CC_1610</t>
  </si>
  <si>
    <t>YMUG002</t>
  </si>
  <si>
    <t>A513 Hemlibra Create Recipe 11038251 Har</t>
  </si>
  <si>
    <t>A513 Hemlibra Create Recipe 11038550 AFF</t>
  </si>
  <si>
    <t>A511 Activate ZBUL GDC-7366 SMPS B47</t>
  </si>
  <si>
    <t>A514 Remove recur material from BOM</t>
  </si>
  <si>
    <t>VERIFY FINP CR 1054006</t>
  </si>
  <si>
    <t>VERIFY FINP CR 1053983</t>
  </si>
  <si>
    <t>VERIFY FINP CR 1053986</t>
  </si>
  <si>
    <t>Update DIR 10000228012</t>
  </si>
  <si>
    <t>DIR: QE-170718 / CA-247791</t>
  </si>
  <si>
    <t>Create FINP BY NMRMC0163907</t>
  </si>
  <si>
    <t>P30_Plant_2910_Extension</t>
  </si>
  <si>
    <t>A515 Update INP for 11026428</t>
  </si>
  <si>
    <t>VERIFY ZFIN CR 1050947</t>
  </si>
  <si>
    <t>CMO_ZSEM_UpdateNonGMP_P30_Plant_1001</t>
  </si>
  <si>
    <t>VERIFY FINP CR1053199</t>
  </si>
  <si>
    <t>YG5</t>
  </si>
  <si>
    <t>VERIFY FINP CR 1057280</t>
  </si>
  <si>
    <t>VERIFY ZFIN CR 1057252</t>
  </si>
  <si>
    <t>Create FINP IR NMRMC0163916</t>
  </si>
  <si>
    <t>PZ INH Change TSL according to QE-158566</t>
  </si>
  <si>
    <t>Create SEMP UNLAB NMRMC0163919</t>
  </si>
  <si>
    <t>R4E_J231_NL_ACN546073_CC_1282</t>
  </si>
  <si>
    <t>KAU_ZSEM_UpdateGMP_P30_Plant_1001</t>
  </si>
  <si>
    <t>AFF_ZFIN_Update_P98_Plant_1341_MRPdata</t>
  </si>
  <si>
    <t>PIR price update_2910 Egypt</t>
  </si>
  <si>
    <t>A513: 10238481 Add MMR ID</t>
  </si>
  <si>
    <t>A513: MP 17378 MES CR_7981 BOM Update</t>
  </si>
  <si>
    <t>VERIFY ZFIN CR 1057312</t>
  </si>
  <si>
    <t>R4E_J231_NL_ACN552649_CC_1282</t>
  </si>
  <si>
    <t>R4E_J231_NL_ACN552650_CC_1282</t>
  </si>
  <si>
    <t>NZ PIR update</t>
  </si>
  <si>
    <t>SG PIR update</t>
  </si>
  <si>
    <t>Create FINP BA NMRMC0163910</t>
  </si>
  <si>
    <t>A514 Update 11039479 Rcp base qty</t>
  </si>
  <si>
    <t>12054849_POLOXAMER_PRS</t>
  </si>
  <si>
    <t>Update_TSL_ALPIN_TASK_129714</t>
  </si>
  <si>
    <t>CMO_ZSEM_UpdateNonGMP_P30_Plant_1001_MRPdata</t>
  </si>
  <si>
    <t>A513 Hemlibra Create Recipe 11040114 Kit</t>
  </si>
  <si>
    <t>A513 Hemlibra Create Recipe 11040255  Kit</t>
  </si>
  <si>
    <t>A511 Update DPI MTOM CSC DNSM</t>
  </si>
  <si>
    <t>RUSH A511 Update DPI MCDV CSC DNSM</t>
  </si>
  <si>
    <t>A511 Update/Activate DPI CD20 CSC UPSM</t>
  </si>
  <si>
    <t>A513: Add MMR Recipe ID</t>
  </si>
  <si>
    <t>A513_Update 10245551 MR BoM</t>
  </si>
  <si>
    <t>Update Cathflo Recipe ALP-150326</t>
  </si>
  <si>
    <t>A513 Hemlibra Create Recipe 11040098 Buf</t>
  </si>
  <si>
    <t>A514 Update Afimki Planning BOM</t>
  </si>
  <si>
    <t>VERIFY FINP CR 1081083</t>
  </si>
  <si>
    <t>CMO_ZFiN_UpdateNonGMP_P30_Plant_1001</t>
  </si>
  <si>
    <t>DIR QE-166930/CA-243793 per attachment</t>
  </si>
  <si>
    <t>CMO_ZFIN_Update non-GMP_P30_Plant 1001_BOM</t>
  </si>
  <si>
    <t>R4E_C231_UK_ACN554874_CC_2703</t>
  </si>
  <si>
    <t>CMO_ZFIN_UpdateNonGMP_P30_Plant_1001</t>
  </si>
  <si>
    <t>MDSC [10]</t>
  </si>
  <si>
    <t>R4E_B531_KR_ACN554588_CC_1709</t>
  </si>
  <si>
    <t>R4E_B531_KR_ACN554589_CC_1709</t>
  </si>
  <si>
    <t>Create SEMP US NMRMC0163951</t>
  </si>
  <si>
    <t>VERIFY ZFIN CR 1084224</t>
  </si>
  <si>
    <t>A513_Update MR 17378 BoM</t>
  </si>
  <si>
    <t>A514 Activate Cathflo PVs ALP-150326</t>
  </si>
  <si>
    <t>A514 New Kad 100 SVP Recipe</t>
  </si>
  <si>
    <t>A514 New Kad 160 SVP Recipe</t>
  </si>
  <si>
    <t>A514 Update Kad SVP Planning Recipes</t>
  </si>
  <si>
    <t>Update Process Hours  for HerSC-F6</t>
  </si>
  <si>
    <t>A513: MRA G6 BP Lot Size Update</t>
  </si>
  <si>
    <t>A513 New Resource for OSUT OCN B312</t>
  </si>
  <si>
    <t>A511 Create DPI CD20 CSC DNSM</t>
  </si>
  <si>
    <t>R50</t>
  </si>
  <si>
    <t>VERIFY ZFIN CR 1084199</t>
  </si>
  <si>
    <t>11036622: New IP and CP</t>
  </si>
  <si>
    <t>Create FINP GB NMRMC0163909</t>
  </si>
  <si>
    <t>MDS_Internal 4-eyes principle</t>
  </si>
  <si>
    <t>Cellbank WCB: Livca Operation</t>
  </si>
  <si>
    <t>Cellbank_FR: Bioburden MIC</t>
  </si>
  <si>
    <t>Create FINP DE NMRMC0164256</t>
  </si>
  <si>
    <t>VERIFY ZFIN CR 1087915</t>
  </si>
  <si>
    <t>VERIFY ZFIN CR 1091528</t>
  </si>
  <si>
    <t>AFF_ZFIN_Update_P98_Plant_1310</t>
  </si>
  <si>
    <t>Update Batch management flag at 1310</t>
  </si>
  <si>
    <t>A513: MRA G6 DS Buffer MMR Activate</t>
  </si>
  <si>
    <t>TOLL_ZSEC_Ready for Execution_P30 (SEMP)_Plant 1001</t>
  </si>
  <si>
    <t>Verify ZFIN CR 1090698</t>
  </si>
  <si>
    <t>AFF_ZFIN_Affiliate_Update_P30_Plant 2673, 2674 &amp; 2675</t>
  </si>
  <si>
    <t>Latam Exec ready Plant 1318</t>
  </si>
  <si>
    <t>AFF_ZFIN_Update_P57_Plant_1595_MRPdata</t>
  </si>
  <si>
    <t>P30_plant 2800_extension</t>
  </si>
  <si>
    <t>VERIFY ZFIN CR1103233</t>
  </si>
  <si>
    <t>AFF_ZFIN_Affiliate_Update_P30_Plant 2570</t>
  </si>
  <si>
    <t>ZFIN_Non GMP update_plant 1001</t>
  </si>
  <si>
    <t>Create SEMP NMRMC0164282</t>
  </si>
  <si>
    <t>VERIFY FINP CR 1101200</t>
  </si>
  <si>
    <t>11034915 CP Edits</t>
  </si>
  <si>
    <t>change unit of Measure</t>
  </si>
  <si>
    <t>Lot Size update_Plant 2645</t>
  </si>
  <si>
    <t>R4E_C231_UK_ACN555384_CC_2703</t>
  </si>
  <si>
    <t>Updating Safety stock</t>
  </si>
  <si>
    <t>A511 Create G4631 SM Linker Sol B43 SMPS</t>
  </si>
  <si>
    <t>A511 Create Planning Recipe CEA CPMF</t>
  </si>
  <si>
    <t>A517 Relabel Recipe Herceptin</t>
  </si>
  <si>
    <t>A511 Create DPI BUF CSC DNSM</t>
  </si>
  <si>
    <t>Verify ZFIN CR 1104441</t>
  </si>
  <si>
    <t>CMO_ZSEM_Update non-GMP_P30_Plant 1001</t>
  </si>
  <si>
    <t>R4E_A831_ACN549263_SG_CC 2701</t>
  </si>
  <si>
    <t>Create FINP LRP-Z9 NMRMC0164294</t>
  </si>
  <si>
    <t>TOLL_Non GMP update_plant 1001</t>
  </si>
  <si>
    <t>P57_plant 1510_extension as per email</t>
  </si>
  <si>
    <t>Activate BOM - ACN: 555492  FG: 10233018</t>
  </si>
  <si>
    <t>Data_transfer_P57_plant_ext_CR 1110089</t>
  </si>
  <si>
    <t>Create FINP LRP-Z9 NMRMC0164305</t>
  </si>
  <si>
    <t>PZ_Update Safety Stock 10132721 Filter</t>
  </si>
  <si>
    <t>Correction of CR1112328</t>
  </si>
  <si>
    <t>CMO_Update Non-GMP_Plant 1001</t>
  </si>
  <si>
    <t>Verify ZFIN CR 1103935</t>
  </si>
  <si>
    <t>VERIFY ZFIN CR 1104431</t>
  </si>
  <si>
    <t>R4E_C231_UK_ACN555385_CC_2703</t>
  </si>
  <si>
    <t>R4E_A831_Redress_Singapore 2701</t>
  </si>
  <si>
    <t>Create FINP AU NMRMC0164296</t>
  </si>
  <si>
    <t>Create FINP BD NMRMC0164304</t>
  </si>
  <si>
    <t>A513: MRA G6 Bulk/Freeze Recipe Activate</t>
  </si>
  <si>
    <t>A511 Recipe Update to Refrz Multi</t>
  </si>
  <si>
    <t>A511 Refreeze Recipe Update Multi</t>
  </si>
  <si>
    <t>A511 Hyaluronidase Refrz Operatio Update</t>
  </si>
  <si>
    <t>VERIFY FINP CR 1116866</t>
  </si>
  <si>
    <t>R4E_J231_NL_ACN552265_CC_1282</t>
  </si>
  <si>
    <t>R4E_J231_NL_ACN552266_CC_1282</t>
  </si>
  <si>
    <t>R4E_J231_NL_ACN552264_CC_1282</t>
  </si>
  <si>
    <t>R4E_J331_ACN555414_AT_CC 1283</t>
  </si>
  <si>
    <t>R4E_J331_ACN555415_AT_CC 1283</t>
  </si>
  <si>
    <t>Create new DIRS: QE-168173 / CA-248861</t>
  </si>
  <si>
    <t>MH_ZPAK_10227077_LPAD TECENTR 1200MG VIAL TR_correc. NP code</t>
  </si>
  <si>
    <t>MH_ZPAK_11024962 FBPR MIR 100MCG/0.3ML 1 US-WDY_cor. NP code</t>
  </si>
  <si>
    <t>MH_ZPAK_11024947 FBPR MIR 30MCG/0.3ML 1 US-WDY_cor. NP code</t>
  </si>
  <si>
    <t>R4E_A731_ACN 552230_Philippines 2700</t>
  </si>
  <si>
    <t>R4E_A731_ACN 553991_Philippines 2700</t>
  </si>
  <si>
    <t>R4E_A731_PH_ACN554575_CC_2700</t>
  </si>
  <si>
    <t>R4E_A731_PH_ACN554082_CC_2700</t>
  </si>
  <si>
    <t>R4E_A731_PH_ACN554081_CC_2700</t>
  </si>
  <si>
    <t>PZ Add Inspectype Y89_05 f. manual Insp.Lot creation</t>
  </si>
  <si>
    <t>AFF_ZFIN_Update_P30_Plant_2671_MRPdata</t>
  </si>
  <si>
    <t>KAU_ZFIN_UpdateNonGMP_P30_SalesOrgExtension</t>
  </si>
  <si>
    <t>CMO_ZBUL_UpdateNonGMP_P30_ClassCH0</t>
  </si>
  <si>
    <t>Create FINP US NMRMC0164314</t>
  </si>
  <si>
    <t>A517 DPI Relabel Recipe Kadcyla RSDC</t>
  </si>
  <si>
    <t>A511 Update TMR CSC DNSM</t>
  </si>
  <si>
    <t>A513: NPPO Resource/Desc Update</t>
  </si>
  <si>
    <t>A511 Activate DPI CD20 CSC DNSM</t>
  </si>
  <si>
    <t>PZ: Lot Size Anpassung</t>
  </si>
  <si>
    <t>DIR: QE-160052 / CA-250046</t>
  </si>
  <si>
    <t>Create FINP US NMRMC0164315</t>
  </si>
  <si>
    <t>VERIFY ZFIN CR 1103252</t>
  </si>
  <si>
    <t>CMO_ZFIN_Update non-GMP_P30_Plant 1001_ACNdate</t>
  </si>
  <si>
    <t>Create FINP LRP-Z9 NMRMC0164292</t>
  </si>
  <si>
    <t>VERIFY ZFIN CR 1130103</t>
  </si>
  <si>
    <t>QE-171217 CA-250033 v7.0 sam-0111550</t>
  </si>
  <si>
    <t>TOLL_ZFIN_UpdateNonGMP_P30_Plant1001_PIR</t>
  </si>
  <si>
    <t>VERIFY ZFIN CR 1134124</t>
  </si>
  <si>
    <t>R4E_C131_ACN555382_CC_1694</t>
  </si>
  <si>
    <t>R4E_C131_ACN555271_CC_1694</t>
  </si>
  <si>
    <t>R4E_C131_ACN555383_CC_1694</t>
  </si>
  <si>
    <t>A511 Recipe Update Tron 50MG</t>
  </si>
  <si>
    <t>A513 Hemlibra Recipes to status 3 Kits</t>
  </si>
  <si>
    <t>A517 Recipe creation/activation RSDC GR</t>
  </si>
  <si>
    <t>MDG CR# 1134124</t>
  </si>
  <si>
    <t>A514 Add PPM to DIR ALP195561</t>
  </si>
  <si>
    <t>AFF_ZFIN_Execution-Ready_P30_Plant 1490</t>
  </si>
  <si>
    <t>Create FINP US NMRMC0164280</t>
  </si>
  <si>
    <t>Update Plant Status to RF</t>
  </si>
  <si>
    <t>VERIFY SEMP CR1145588</t>
  </si>
  <si>
    <t>11036019: New IP and CP</t>
  </si>
  <si>
    <t>R4E_C131_DK_ACN554052_CC_1694</t>
  </si>
  <si>
    <t>R4E_C131_DK_ACN554051_CC_1694</t>
  </si>
  <si>
    <t>C101_Sales_Org_Extension</t>
  </si>
  <si>
    <t>A513 Hemlibra Recipes to Status 3 Kits</t>
  </si>
  <si>
    <t>A511 DP CD20 CIT NMP Recipe Activation</t>
  </si>
  <si>
    <t>Nov</t>
  </si>
  <si>
    <t>Nov-2025</t>
  </si>
  <si>
    <t>A511 Update DPI CD20 CSC DNSM</t>
  </si>
  <si>
    <t>A513 Hemlibra Recipe Status 3 Wave</t>
  </si>
  <si>
    <t>A513 Hemlibra Create PV B020 11036160</t>
  </si>
  <si>
    <t>R4E_A731_ACN 551876_Philippines 2700</t>
  </si>
  <si>
    <t>R4E_A631_ACN 541073_Taiwan 2730</t>
  </si>
  <si>
    <t>R4E_A731_ACN 554884_Philippines 2700</t>
  </si>
  <si>
    <t>R4E_A731_ACN 554572_Philippines 2700</t>
  </si>
  <si>
    <t>R4E_A731_ACN 551204_Philippines 2700</t>
  </si>
  <si>
    <t>CMO_ZFiN_UpdateNonGMP_P30_Plant_1001_PIR</t>
  </si>
  <si>
    <t>TOLL_ZSEM_UpdateNonGMP_P30_Plant_1001</t>
  </si>
  <si>
    <t>Change of Lot sizing Procedure to 24 weeks</t>
  </si>
  <si>
    <t>AFF_ZFIN_Execution-Ready_P30_Plant 2640</t>
  </si>
  <si>
    <t>P30_Plant 2640_Extension</t>
  </si>
  <si>
    <t>A511 Update CD20 TCB RO7845860 NMP</t>
  </si>
  <si>
    <t>A514 Update NPPO BOM</t>
  </si>
  <si>
    <t>A526 Assign CNP-102 DS to CMO Recipe/BOM</t>
  </si>
  <si>
    <t>MDG CR 1168611</t>
  </si>
  <si>
    <t>A513 Hemlibra Create Recip 11039261 Thaw</t>
  </si>
  <si>
    <t>AFF_ZFIN_Execution-Ready_P30_Plant 2665</t>
  </si>
  <si>
    <t>PZ Change QM Order in inspection types</t>
  </si>
  <si>
    <t>PZ Update Lot Size 11028831 ZINT PZ Clinical Generic MediaPl</t>
  </si>
  <si>
    <t>Create FINP US NMRMC0165523</t>
  </si>
  <si>
    <t>Create FINP US NMRMC0165525</t>
  </si>
  <si>
    <t>Updates related to CR 1168614</t>
  </si>
  <si>
    <t>VERIFY ZAPI CR 1163466</t>
  </si>
  <si>
    <t>VERIFY ZFIN CR 1168614</t>
  </si>
  <si>
    <t>Assign INP &amp; update Confi CR1136281</t>
  </si>
  <si>
    <t>Update 11537 (CA-248814, QE-173439)</t>
  </si>
  <si>
    <t>Create FINP RO-BG NMRMC0165515</t>
  </si>
  <si>
    <t>A514 Activate HER LNH Rcps CA-253975</t>
  </si>
  <si>
    <t>A513 Hemlibra Create Recipe 11039209 Med</t>
  </si>
  <si>
    <t>A513 Hemlibra Create Recipe 11039330 Fla</t>
  </si>
  <si>
    <t>A513 Hemlibra Create Recipe 11039331 Fl2</t>
  </si>
  <si>
    <t>Create FINP NZ-STA NMRMC0165534</t>
  </si>
  <si>
    <t>VERIFY FINP CR 1162976</t>
  </si>
  <si>
    <t>VERIFY FINP CR 1163531</t>
  </si>
  <si>
    <t>R4E_J331_AT_ACN555634_CC_1283</t>
  </si>
  <si>
    <t>L641_BA_MRP data</t>
  </si>
  <si>
    <t>Update Derivation rule per _INC15666031</t>
  </si>
  <si>
    <t>VERIFY SEMP CR1173643</t>
  </si>
  <si>
    <t>Create FINP SA NMRMC0165545</t>
  </si>
  <si>
    <t>A511 Create DPI VA2IL6 CSC CB</t>
  </si>
  <si>
    <t>QE-160531, assign mat to group 15081</t>
  </si>
  <si>
    <t>QE-165276, assign mat to group 15081</t>
  </si>
  <si>
    <t>CA-249174 Q20016 Mtl IP Updates</t>
  </si>
  <si>
    <t>Create Recipe for API 11040377</t>
  </si>
  <si>
    <t>A514 Update Recipe Duration &amp; VPM</t>
  </si>
  <si>
    <t>A513 Recipe update to Execution 4 Kits</t>
  </si>
  <si>
    <t>G22</t>
  </si>
  <si>
    <t>A511 Mass DS Recipe Sort String Update</t>
  </si>
  <si>
    <t>TSL Actemra 80mg FOC Update</t>
  </si>
  <si>
    <t>TSL Actemra 80mg Update</t>
  </si>
  <si>
    <t>YMP30_06</t>
  </si>
  <si>
    <t>CMO_ZFiN_UpdateNonGMP_P30_Plant_SpecialSLEDtable</t>
  </si>
  <si>
    <t>TOLL_ZSEM_UpdateNonGMP_P30_SalesOrgExtension</t>
  </si>
  <si>
    <t>A511 Recipe Activation BFVT6654A</t>
  </si>
  <si>
    <t>A511 Mass DP Recipe Sort String Update</t>
  </si>
  <si>
    <t>A513 Hemlibra Recipes Status 3 Media&amp;Sol</t>
  </si>
  <si>
    <t xml:space="preserve">G25 </t>
  </si>
  <si>
    <t>A513 Hemlibra Recipes Status 3 Buffer</t>
  </si>
  <si>
    <t>Create FINP LRP-Z9 NMRMC0165503</t>
  </si>
  <si>
    <t>Activate Batch Derivation Rule</t>
  </si>
  <si>
    <t>Updates Related to CR 810402</t>
  </si>
  <si>
    <t>A514 PIR/SL for 10225803 ZAPI</t>
  </si>
  <si>
    <t>Create FINP EEU NMRMC0165560</t>
  </si>
  <si>
    <t>Insp Plan update per CA-254849</t>
  </si>
  <si>
    <t>YQ1</t>
  </si>
  <si>
    <t>VERIFY ZFIN CR 1197766</t>
  </si>
  <si>
    <t>A501/A511 Create Text Tool</t>
  </si>
  <si>
    <t>Create FINP SA NMRMC0165493</t>
  </si>
  <si>
    <t>Update KAU_GMP fields_CR 987072</t>
  </si>
  <si>
    <t>AFF_ZFIN_Update_P57_Plant_1595_LotSize</t>
  </si>
  <si>
    <t>QE-173490 modify IP and create IP</t>
  </si>
  <si>
    <t>IC</t>
  </si>
  <si>
    <t>INC15711274 PV, BOM, Recipe Updates</t>
  </si>
  <si>
    <t>A514 Update Pool RecipeID QE-084855</t>
  </si>
  <si>
    <t>A511 Update PISHPAR Table B43/B47 SMPS</t>
  </si>
  <si>
    <t>A511 IL33-IL6 Bag2bag Update</t>
  </si>
  <si>
    <t>R4E_A131_ACN 554104_Malaysia 2702</t>
  </si>
  <si>
    <t>R4E_J031_FR_ACN552359_CC_1614</t>
  </si>
  <si>
    <t>R4E_J231_NL_ACN552262_CC_1282</t>
  </si>
  <si>
    <t>QE-173490 modify IP and create</t>
  </si>
  <si>
    <t>PZ M EXT ZRAW Update Site Extention REF-0304673 10236546</t>
  </si>
  <si>
    <t>VERIFY SEMP CR 1204162</t>
  </si>
  <si>
    <t>PZ M EXT ZRAW Update REF-0304537_10236544 MES System</t>
  </si>
  <si>
    <t>PZ M EXT ZRAW UpdateREF-0304624 - 11013801_ASSY TPE Spinsert</t>
  </si>
  <si>
    <t>VERIFY ZAPI CR1202953</t>
  </si>
  <si>
    <t>VERIFY PACP CR1199229</t>
  </si>
  <si>
    <t>CMO_Update BoM ACN_P30_1001</t>
  </si>
  <si>
    <t>Insp.plan updates</t>
  </si>
  <si>
    <t>550564 ALT1 PULMOZYME change</t>
  </si>
  <si>
    <t>CR1</t>
  </si>
  <si>
    <t>A511 Recipe Update IL33-IL6 CPMF</t>
  </si>
  <si>
    <t>A514 Create and Activate NPPO PVs</t>
  </si>
  <si>
    <t>A514 Update Insp Rcp Gcode</t>
  </si>
  <si>
    <t>IDQ error fix P98</t>
  </si>
  <si>
    <t>TOLL_Update Non-GMP_Plant_1001_D_chain status</t>
  </si>
  <si>
    <t>Verify ZFIN CR 1213382</t>
  </si>
  <si>
    <t>R4E_B731_ACN 551581_Hong Kong 2726</t>
  </si>
  <si>
    <t>R4E_B731_Redress_Hong Kong 2726</t>
  </si>
  <si>
    <t>AFF_ZFIN_Execution-Ready_P30_Plant 2665 DECENTRAL</t>
  </si>
  <si>
    <t>CA-249174 Mtl 10130 Plants A513 and A525</t>
  </si>
  <si>
    <t>Update 11546 (CA-255561, QE-178700)</t>
  </si>
  <si>
    <t>12039578_NORDAZEPAM IRS</t>
  </si>
  <si>
    <t>A513 Hemlibra Recipe Status 3 Shake&amp;Wave</t>
  </si>
  <si>
    <t>Update 10221764 lot size</t>
  </si>
  <si>
    <t>A513 Hemlibra Recipes Status 3 Freeze</t>
  </si>
  <si>
    <t>A515 - Load OpRegen Planning recipe</t>
  </si>
  <si>
    <t>A513 Recipe update Execution 4 Buffers</t>
  </si>
  <si>
    <t>R4E_J031_FR_ACN551956_CC_1614</t>
  </si>
  <si>
    <t>Update 11008147 replenishment frequency for plant 1321</t>
  </si>
  <si>
    <t>Deletion flag cust15200369 &amp; mtl10086693</t>
  </si>
  <si>
    <t>Create Source List company 2648</t>
  </si>
  <si>
    <t>Mass update</t>
  </si>
  <si>
    <t>Sourse list company 2747 ZPAK</t>
  </si>
  <si>
    <t>Perjeta QE-164229</t>
  </si>
  <si>
    <t>Quality Leel Update request</t>
  </si>
  <si>
    <t>Update INP 21053 (CA-257091, QE-114924)</t>
  </si>
  <si>
    <t>Create FINP CZ NMRMC0165609</t>
  </si>
  <si>
    <t>Create FINP HR NMRMC0165593</t>
  </si>
  <si>
    <t>AFF_ZFIN_Update_P30_SalesOrg1402</t>
  </si>
  <si>
    <t>AFF_ZFIN_Update_P30_Local_EAN</t>
  </si>
  <si>
    <t>Create FINP FR-CLIN NMRMC0165604</t>
  </si>
  <si>
    <t>Update_EAN&amp;UPC-Category_J031_ CR_1229117</t>
  </si>
  <si>
    <t>Update Insp. Plan 15728</t>
  </si>
  <si>
    <t>Create FINP DE NMRMC0165608</t>
  </si>
  <si>
    <t>Mass</t>
  </si>
  <si>
    <t>Create SEMP UNLAB NMRMC0165557</t>
  </si>
  <si>
    <t>CA-247916 Create DIR update</t>
  </si>
  <si>
    <t>A515 - Update AOQ kit BOM CA-260655</t>
  </si>
  <si>
    <t>A513 Recipe update Execution 4 Solutions</t>
  </si>
  <si>
    <t>G44</t>
  </si>
  <si>
    <t>A513_Update MR 10222409</t>
  </si>
  <si>
    <t>A513 Hemlibra Recipes Status 3 Buffers</t>
  </si>
  <si>
    <t>A513 Hemlibra Update Recipe Buffers</t>
  </si>
  <si>
    <t>Verify ZFIN CR 1225469</t>
  </si>
  <si>
    <t>VERIFY ZFIN CR 1229767</t>
  </si>
  <si>
    <t>VERIFY ZFIN CR 1227227</t>
  </si>
  <si>
    <t>QE-171098 assign material to group 15081</t>
  </si>
  <si>
    <t>MH_CA-257534_updates for MOSCA</t>
  </si>
  <si>
    <t>YQG</t>
  </si>
  <si>
    <t>Delete AMPL 511 -MPN 91013859 status 60</t>
  </si>
  <si>
    <t xml:space="preserve"> </t>
  </si>
  <si>
    <t>PIR Update A131</t>
  </si>
  <si>
    <t>Kadcyla CN - Sales Org Extension</t>
  </si>
  <si>
    <t>R4E_A831_ACN 555964_Singapore 2701</t>
  </si>
  <si>
    <t>Quality level 10021026 - 10011272</t>
  </si>
  <si>
    <t>Quality level 10013178 - 10012511</t>
  </si>
  <si>
    <t>R4E_J231_NL_ACN552498_CC_1282</t>
  </si>
  <si>
    <t>CMO_BoM Update_1001</t>
  </si>
  <si>
    <t>AFF_ZFIN_Lot Size update_Plant 1370</t>
  </si>
  <si>
    <t>AFF_ZFIN_Lot Size Update_Plant 1310</t>
  </si>
  <si>
    <t>AFF_ZFIN_NonGMP update_Plant 2665</t>
  </si>
  <si>
    <t>Change of PIR</t>
  </si>
  <si>
    <t>A511 DPI Create CEACAM CPMF</t>
  </si>
  <si>
    <t>550564 PULMOZYM 2.5MG-2.5ML_CHANGE</t>
  </si>
  <si>
    <t>A513 Hemlibra Recipes Status 3 Thaw</t>
  </si>
  <si>
    <t>A511 Update Buffers CSC</t>
  </si>
  <si>
    <t>A511 Update DPI CEACAM CPMF</t>
  </si>
  <si>
    <t>A511 Activate DPI VA2IL6 CSC CB</t>
  </si>
  <si>
    <t>Update new PIR Hemilbra</t>
  </si>
  <si>
    <t>QE-071731 - group 15001</t>
  </si>
  <si>
    <t>PZ_CB_WCB_SAM_0111440_Delete_MAN_REPORT</t>
  </si>
  <si>
    <t>PZ_QC_MCB_SAM_0111440_Delete_RAW_MAT</t>
  </si>
  <si>
    <t>Update A511 Mat 10194638 &amp; 10194650</t>
  </si>
  <si>
    <t>Customer master creation</t>
  </si>
  <si>
    <t>CMO_ZAPI_Update non-GMP_P30_Plant 1001 - extend sales org</t>
  </si>
  <si>
    <t>Create Sourse List Plant L931</t>
  </si>
  <si>
    <t>ALECENSA 150mg change</t>
  </si>
  <si>
    <t>Create PIR /SL  plant M731</t>
  </si>
  <si>
    <t>New TP for Ocrevus SC SG</t>
  </si>
  <si>
    <t>Update INP11599/11600(Ma.No.11036877)</t>
  </si>
  <si>
    <t>ZAPI_TSL update_1001 &amp; 1105</t>
  </si>
  <si>
    <t>VERIFY FINP CR 1252630</t>
  </si>
  <si>
    <t>Update Material 11038517 &amp; 11004894</t>
  </si>
  <si>
    <t>Change PP1 CoCode 2647</t>
  </si>
  <si>
    <t>550568 ACTEMRA 162MG Change</t>
  </si>
  <si>
    <t>Alt 1, 2 and 3_Rocephin 1000mg IV_Change</t>
  </si>
  <si>
    <t>GAZYVA Change</t>
  </si>
  <si>
    <t>Upd Trans grp and Temp Conditions</t>
  </si>
  <si>
    <t>Extd SLOC-Whse for Peru P98</t>
  </si>
  <si>
    <t>AFF_ZFIN_Affiliate_Update_P98_Plant_1321</t>
  </si>
  <si>
    <t>A513: MRA G6 DS Recipe Updates</t>
  </si>
  <si>
    <t>A513 11022580 Buf WFI in a Bag 50kg BOM</t>
  </si>
  <si>
    <t>PZ Change Haltbarkeit 11025481 CA-258569</t>
  </si>
  <si>
    <t>PZ Change Haltbarkeit 11025456 CA-258569</t>
  </si>
  <si>
    <t>PZ Change Haltbarkeit 11025471 CA-258569</t>
  </si>
  <si>
    <t>PZ Change Haltbarkeit 11025480 CA-258569</t>
  </si>
  <si>
    <t>PZ INT M Update QM Material Auth. &amp; QBS Status 11024155</t>
  </si>
  <si>
    <t>PZ INT M Update QM Material Auth.&amp; QBS 11024153</t>
  </si>
  <si>
    <t>CA-241620 New MPN Cupric Sulfate Pentah</t>
  </si>
  <si>
    <t>Update Delivery Unit_L231</t>
  </si>
  <si>
    <t>Update inspection setup</t>
  </si>
  <si>
    <t>Delivery unit to be maintained/updated</t>
  </si>
  <si>
    <t>Avastin INP, QCP and softconfig</t>
  </si>
  <si>
    <t>AFF_ZFIN_Execution-Ready_P30_Plant 1441</t>
  </si>
  <si>
    <t>CA-234779 /  QE-152779</t>
  </si>
  <si>
    <t>F111 Intramaterial Expiry Update</t>
  </si>
  <si>
    <t>F111 Intramaterial Expiry Update 2</t>
  </si>
  <si>
    <t>DSTC_ZAPI_Update non-GMP_P55_Plant 1105 MRP data</t>
  </si>
  <si>
    <t>New PIRs and SLs needed</t>
  </si>
  <si>
    <t>A513 Hemlibra Recipes Status 3 Col-Pack</t>
  </si>
  <si>
    <t>Create 2 New KIT Recipes-HerSC v2.0</t>
  </si>
  <si>
    <t>R90</t>
  </si>
  <si>
    <t>Update PV L931 Hemlibra 105</t>
  </si>
  <si>
    <t>M731_555027_Alt2_Ocrevus 920mg_create</t>
  </si>
  <si>
    <t>L931_Alt4_Hemlibra 30mg create</t>
  </si>
  <si>
    <t>L931 ALT1 PV deactivation Hemlibra 30</t>
  </si>
  <si>
    <t>A513 Hemlibra Recipe Buffers Act-Type</t>
  </si>
  <si>
    <t>A511_Create Source Lists</t>
  </si>
  <si>
    <t>Ref. Product for Packaging Building</t>
  </si>
  <si>
    <t>AFF_ZFIN_Update_P30_Plant_2671_PlannedPrice2026JAN01</t>
  </si>
  <si>
    <t>CMO_ZBUL_Non GMP updates_P30_1001</t>
  </si>
  <si>
    <t>CMO_ZFIN_ACN Update_P30_1001</t>
  </si>
  <si>
    <t>542549 Prolopa_Change</t>
  </si>
  <si>
    <t>544576 Mircera 75mg_Change</t>
  </si>
  <si>
    <t>L931_AVASTIN 100MG,create</t>
  </si>
  <si>
    <t>A514 Cathflo Recipe Update QE-140513</t>
  </si>
  <si>
    <t>VABYSMO 6MG/0.05ML</t>
  </si>
  <si>
    <t>L931_PHESGO VIAL 600/600MG/10ML</t>
  </si>
  <si>
    <t>L931_Pulmozyme_Create</t>
  </si>
  <si>
    <t>A513 Recipe update Execution 4 Med Exch</t>
  </si>
  <si>
    <t>A513 Recipe update Execution 4 Flask 500</t>
  </si>
  <si>
    <t>M731_Alt 1, 2, 3 and 4_CELLCEPT 500MG</t>
  </si>
  <si>
    <t>F431_Belgium_PIRprice_2026JAN01</t>
  </si>
  <si>
    <t>Assign  "ZAPI_IMP_05" Batch Certificate</t>
  </si>
  <si>
    <t>Lot Size update_1310_P98</t>
  </si>
  <si>
    <t>A831_Singapore_PriceUpdate_2026</t>
  </si>
  <si>
    <t>create source list L931 - 10170502</t>
  </si>
  <si>
    <t>AFF_ZFIN_Update_P30_Plant 4030</t>
  </si>
  <si>
    <t>Change inspection plan group 15138</t>
  </si>
  <si>
    <t>CA-262978 - QIR update 92003712</t>
  </si>
  <si>
    <t>Update TSL for mtl 81427419 P98</t>
  </si>
  <si>
    <t>P98_Plant_1362_ R4E</t>
  </si>
  <si>
    <t>TSL Update for P98</t>
  </si>
  <si>
    <t>CMO_ZSEM_Update non-GMP_P30_Plant 1001 - BOM comp qty</t>
  </si>
  <si>
    <t>Update valid to in PV M731</t>
  </si>
  <si>
    <t>Lot Size Update_F531</t>
  </si>
  <si>
    <t>L931 ALT3 PROLOPA_create</t>
  </si>
  <si>
    <t>M731_Alt 1 and 2_Ropolivy 30mg_change</t>
  </si>
  <si>
    <t>L931_552206_KADCYLA 160MG_Change</t>
  </si>
  <si>
    <t>M731_Alt 1 and 2_PULMOZYM 2.5MG-2.5ML</t>
  </si>
  <si>
    <t>M731_AVASTIN 100MG/4ML_Change</t>
  </si>
  <si>
    <t>L931_TAMIFLU_Change</t>
  </si>
  <si>
    <t>l931 Alt1 542843 Ropolivy 30mg create</t>
  </si>
  <si>
    <t>L931_Tecentriq Status Release</t>
  </si>
  <si>
    <t>M731_Actemra200mg_PV1 Deactivation</t>
  </si>
  <si>
    <t>Remove Goods receipt based IV L931 PIR</t>
  </si>
  <si>
    <t>10013178_Control Indicator</t>
  </si>
  <si>
    <t>Insp Plan update per CA-265341</t>
  </si>
  <si>
    <t>J331_Austria_PIRprice_2026JAN01</t>
  </si>
  <si>
    <t>Add TRM41205 to material 10195155</t>
  </si>
  <si>
    <t>Change the price in PIR L931</t>
  </si>
  <si>
    <t>change cost in PIR L931 / 11026204</t>
  </si>
  <si>
    <t>Create FINP FR NMRMC0165731</t>
  </si>
  <si>
    <t>Create FINP GB NMRMC0165736</t>
  </si>
  <si>
    <t>AFF_ZFIN_Affiliate_Update_P98_Plant 1362</t>
  </si>
  <si>
    <t>TOLL_ZAPI_Update GMP_P30_Plant 1001</t>
  </si>
  <si>
    <t>L931_Alt 1_ROPOLIVY 140MG_change</t>
  </si>
  <si>
    <t>M731_Actemra80mg</t>
  </si>
  <si>
    <t>Update MRs PV 9010</t>
  </si>
  <si>
    <t>A514 Create Swab Kit planning recipe</t>
  </si>
  <si>
    <t>Update MR PV1020 and 1030</t>
  </si>
  <si>
    <t>L931 Alt 1 y 2 Ocrevus 920 create</t>
  </si>
  <si>
    <t>VERIFY ZFIN CR 1305587</t>
  </si>
  <si>
    <t>VERIFY ZFIN CR 1302357</t>
  </si>
  <si>
    <t>VERIFY ZFIN CR 1309716</t>
  </si>
  <si>
    <t>VERIFY ZFIN CR 1309660</t>
  </si>
  <si>
    <t>VERIFY ZFIN CR1309408</t>
  </si>
  <si>
    <t>VERIFY ZFIN CR 1309976</t>
  </si>
  <si>
    <t>Planning readiness correction_CR1309408</t>
  </si>
  <si>
    <t>VERIFY ZFIN CR1309490</t>
  </si>
  <si>
    <t>A511 Recipe Update BTRC ST FITL PV2010</t>
  </si>
  <si>
    <t>Alt 1, 2 and 3_Cellcept 250mg_Change</t>
  </si>
  <si>
    <t>L931_Alt 1_ROPOLIVY 30MG_Create</t>
  </si>
  <si>
    <t>A511 Update DPI CSC BUF</t>
  </si>
  <si>
    <t>M731_Alt 1_ACN 539965_Ropolivy 140mg</t>
  </si>
  <si>
    <t>M731_Herceptin 440mg_Change and Create</t>
  </si>
  <si>
    <t>M731_ALT1_ALT2_Evrysdi_Change</t>
  </si>
  <si>
    <t>A511 Create DPI FZD4 CSC CB</t>
  </si>
  <si>
    <t>VERIFY ZFIN CR 1313971</t>
  </si>
  <si>
    <t>VERIFY ZFIN CR 1314024</t>
  </si>
  <si>
    <t>KAU_ZBUL_Update non-GMP_P30_Plant 1001 - ext sales org</t>
  </si>
  <si>
    <t>VERIFY ZFIN CR 1315761</t>
  </si>
  <si>
    <t>VERIFY ZFIN CR1310501</t>
  </si>
  <si>
    <t>Verify ZFIN CR 1309584</t>
  </si>
  <si>
    <t>VERIFY ZFIN CR 1320390</t>
  </si>
  <si>
    <t>VERIFY ZFIN CR 1312731</t>
  </si>
  <si>
    <t>VERIFY ZSEM CR 1309596</t>
  </si>
  <si>
    <t>VERIFY ZFIN CR 1312743</t>
  </si>
  <si>
    <t>Assign Certificate Type YCOB</t>
  </si>
  <si>
    <t>MH_10188981_Update_Gross_weight</t>
  </si>
  <si>
    <t>MH_10189014_Update_Gross_weight</t>
  </si>
  <si>
    <t>MH_11021218_Update_Gross_weight</t>
  </si>
  <si>
    <t>MH_11020872_Update_Gross_weight</t>
  </si>
  <si>
    <t>11035099, 11035180 Assign CP and SpecID</t>
  </si>
  <si>
    <t>L541_Serbia_PlannedPrice1</t>
  </si>
  <si>
    <t>VERIFY FINP CR 1313767</t>
  </si>
  <si>
    <t>VERIFY ZFIN CR 1314932</t>
  </si>
  <si>
    <t>KAU_ZBUL_UpdateGMP_P30_Plant_1001</t>
  </si>
  <si>
    <t>Verify ZFIN CR 1359043</t>
  </si>
  <si>
    <t>VERIFY ZFIN CR 1322377</t>
  </si>
  <si>
    <t>J531_Finland_PIRupdates_2026JAN01</t>
  </si>
  <si>
    <t>L831_Canada_PIRupdates_2026JAN01</t>
  </si>
  <si>
    <t>create PIR L931 packaging material</t>
  </si>
  <si>
    <t>Update Rounding Rule SLED to blank in P30</t>
  </si>
  <si>
    <t>Activate BOM - ACN: 555554</t>
  </si>
  <si>
    <t>Activate BOM - ACN: 555464</t>
  </si>
  <si>
    <t>Activate BOM - ACN: 555332</t>
  </si>
  <si>
    <t>Activate BOM - ACN: 555331</t>
  </si>
  <si>
    <t>ZAPI_Update non-GMP_OMP tlane creation</t>
  </si>
  <si>
    <t>M731_Mircera 200mcg_Change</t>
  </si>
  <si>
    <t>A511 Update DPI NME UPSTREAM</t>
  </si>
  <si>
    <t>Update Variable Data - ACN: 555692</t>
  </si>
  <si>
    <t>Update Variable Data - ACN: 555693</t>
  </si>
  <si>
    <t>AFF_ZFIN_Update_P30_Plant 4040</t>
  </si>
  <si>
    <t>Update Variable Data - ACN: 555748</t>
  </si>
  <si>
    <t>Update Variable Data - ACN: 555749</t>
  </si>
  <si>
    <t>Update X-pl status &amp; TSL_F431</t>
  </si>
  <si>
    <t>DIR 10000289020 QE-170490/CA-242270</t>
  </si>
  <si>
    <t>Verify ZFIN CR 1361520</t>
  </si>
  <si>
    <t>Planning readiness update_CR1361520</t>
  </si>
  <si>
    <t>VERIFY ZFIN CR 1316181</t>
  </si>
  <si>
    <t>Update Insp.plan 15720</t>
  </si>
  <si>
    <t>VAMIKIBART DP - Inspection Plan Update</t>
  </si>
  <si>
    <t>De-assign all insp. Types</t>
  </si>
  <si>
    <t>TOLL_ZAPI_Update non-GMP_P30_Plant 1001</t>
  </si>
  <si>
    <t>ZAPI_Update non-GMP_Plant 1001_MRP Area</t>
  </si>
  <si>
    <t>MDG CR 1361520</t>
  </si>
  <si>
    <t>L931_Hemlibra 105mg_ALT3_Create</t>
  </si>
  <si>
    <t>10203799_TECENTRIQ_DEACTIVATION_CHANGE</t>
  </si>
  <si>
    <t>L931_554587_ALt3_Ropolivy_create</t>
  </si>
  <si>
    <t>M731_554587_ALt3_Ropolivy_create</t>
  </si>
  <si>
    <t>A513 Hemlibra Recipe 11038532 EMI BFS</t>
  </si>
  <si>
    <t>A513: MRA G6 Bulk MES CR_8127</t>
  </si>
  <si>
    <t>Verify ZFIN CR 1462056</t>
  </si>
  <si>
    <t>VERIFY ZSEM CR 1364985</t>
  </si>
  <si>
    <t>Verify ZFIN CR 1463525</t>
  </si>
  <si>
    <t>VERIFY ZFIN CR 1412501</t>
  </si>
  <si>
    <t>VERIFY ZFIN CR 1348587</t>
  </si>
  <si>
    <t>VERIFY ZFIN CR 1419458</t>
  </si>
  <si>
    <t>Update MRP view during code creation</t>
  </si>
  <si>
    <t>VERIFY FINP CR 1418962</t>
  </si>
  <si>
    <t>C031_Ireland_PIR_10213406</t>
  </si>
  <si>
    <t>ZFIN_Non GMP update_plant 1400</t>
  </si>
  <si>
    <t>Assign YCOB to mat#10183311 for A511</t>
  </si>
  <si>
    <t>CA-228885 MRA G6 IV 11035244 IP Update</t>
  </si>
  <si>
    <t>Activate BOM - ACN: 556800</t>
  </si>
  <si>
    <t>VERIFY ZFIN CR 1405468</t>
  </si>
  <si>
    <t>VERIFY FINP CR 1461079</t>
  </si>
  <si>
    <t>VERIFY ZFIN CR 1636252</t>
  </si>
  <si>
    <t>VERIFY ZFIN CR 1465006</t>
  </si>
  <si>
    <t>VERIFY FINP CR 1465014</t>
  </si>
  <si>
    <t>VERIFY ZFIN CR 1465005</t>
  </si>
  <si>
    <t>AFF_ZFIN_Update_P30_Plant_1490_RemovePP1</t>
  </si>
  <si>
    <t>Update Spec ID and effective date HerIV</t>
  </si>
  <si>
    <t>11042416, 11042406 Assign CP and SpecID</t>
  </si>
  <si>
    <t>INC15860983 Inspection Type Update</t>
  </si>
  <si>
    <t>C031_Ireland_PIR_DeletionFlag</t>
  </si>
  <si>
    <t>I731_NewZealand_PIRupdate_2026</t>
  </si>
  <si>
    <t>A513 Hemlibra Recipe 11039288/89 update</t>
  </si>
  <si>
    <t>A513: EMI DS Kit 11043585 MMR Create</t>
  </si>
  <si>
    <t>A513: EMI DS Kit 11043563 MMR Create</t>
  </si>
  <si>
    <t>Update MRP data plant 1105</t>
  </si>
  <si>
    <t>Create FINP GCC-36 NMRMC0165850</t>
  </si>
  <si>
    <t>AFF_ZFIN_Update_P30_Plant_2645_PIRpriceD0</t>
  </si>
  <si>
    <t>AFF_ZFIN_Update_P30_Plant_2645_Revert_D1_status</t>
  </si>
  <si>
    <t>BOM Change(Evrysdi 0.75MG Sample)</t>
  </si>
  <si>
    <t>2026</t>
  </si>
  <si>
    <t>Dec-2025</t>
  </si>
  <si>
    <t>Jan-2026</t>
  </si>
  <si>
    <t>AFF_ZFIN_Execution-Ready_P30_Plant 2645</t>
  </si>
  <si>
    <t>AFF_ZFIN_Affiliate_Update_P98_Plant 1310</t>
  </si>
  <si>
    <t>VERIFY FINP CR 2143155</t>
  </si>
  <si>
    <t>A514 ACT50 Recipe Update ALP193423</t>
  </si>
  <si>
    <t>CMO_ZBUL_UpdateNonGMP_P30_CH0</t>
  </si>
  <si>
    <t>VERIFY FINP CR 2143270</t>
  </si>
  <si>
    <t>Create FINP MAK-36 NMRMC0165851</t>
  </si>
  <si>
    <t>A511 Update DPI DTOM CSC DNSM</t>
  </si>
  <si>
    <t>A514 Move recipes to status 3</t>
  </si>
  <si>
    <t>530701_RECORMON 4000IU/0.3ML_Change</t>
  </si>
  <si>
    <t>A513 Hemlibra Recipe BOM Update Buffers</t>
  </si>
  <si>
    <t>A511 Activate/Update CD19 Harvest Recipt</t>
  </si>
  <si>
    <t>Testing for INC15891947</t>
  </si>
  <si>
    <t xml:space="preserve">P50 </t>
  </si>
  <si>
    <t>Prolopa Change Request</t>
  </si>
  <si>
    <t>A513 Hemlibra Recipe BOM Update BFS</t>
  </si>
  <si>
    <t>2145427</t>
  </si>
  <si>
    <t>Check data &amp; Update Material to Z2/RF</t>
  </si>
  <si>
    <t>2145416</t>
  </si>
  <si>
    <t>2145433</t>
  </si>
  <si>
    <t>2145461</t>
  </si>
  <si>
    <t>2145376</t>
  </si>
  <si>
    <t>2145431</t>
  </si>
  <si>
    <t>2145422</t>
  </si>
  <si>
    <t>2145310</t>
  </si>
  <si>
    <t>Create Decentral_L731_CR 2144320</t>
  </si>
  <si>
    <t>YMCG001</t>
  </si>
  <si>
    <t>P30_2830_Ghana_PIRupdate_2026</t>
  </si>
  <si>
    <t>CR999</t>
  </si>
  <si>
    <t>AFF_ZFIN_Execution Ready_P30_Plant 1441</t>
  </si>
  <si>
    <t>Create FINP BE NMRMC0165863</t>
  </si>
  <si>
    <t>A516_US Hub Louisville_PIRprice</t>
  </si>
  <si>
    <t>Create FINP DK-NO-IS NMRMC0165871</t>
  </si>
  <si>
    <t>10246402_VABYSMO 6MG-0.05ML_CHANGE</t>
  </si>
  <si>
    <t>A515 - Create BCMA FG Planning recipe</t>
  </si>
  <si>
    <t>L931 Alt3 Cellcept 250_create</t>
  </si>
  <si>
    <t>A517 RSDC Mass GR Recipe Creation</t>
  </si>
  <si>
    <t>A514 Update Media Fill Pool Recipes</t>
  </si>
  <si>
    <t>A513 Hemlibra UFDF New Memb 11038673 BOM</t>
  </si>
  <si>
    <t>M731_Mabthera 1400mg_Change</t>
  </si>
  <si>
    <t>M731_Hemlibra 105mg_Change</t>
  </si>
  <si>
    <t>VERIFY FINP CR 2148049</t>
  </si>
  <si>
    <t>VERIFY FINP CR 2147995</t>
  </si>
  <si>
    <t>Planning ready_CR_2148997</t>
  </si>
  <si>
    <t>Create FINP ELL NMRMC0165864</t>
  </si>
  <si>
    <t>Create FINP ES NMRMC0165867</t>
  </si>
  <si>
    <t>VERIFY ZFIN CR 2149637</t>
  </si>
  <si>
    <t>Create FINP PL NMRMC0165876</t>
  </si>
  <si>
    <t>VERIFY FINP CR 2152559</t>
  </si>
  <si>
    <t>Create FINP CZ-SK NMRMC0165884</t>
  </si>
  <si>
    <t>Update DIR 10000129182 for PPM CA-251867</t>
  </si>
  <si>
    <t>DIR</t>
  </si>
  <si>
    <t>Update DIR 10000134584 for PPM CA-251867</t>
  </si>
  <si>
    <t>Update DIR 10000249204 for PPM CA-251867</t>
  </si>
  <si>
    <t>L931_552425_Actemra200mg</t>
  </si>
  <si>
    <t>A513: MRA G6 DS BP 30258 MMR Update</t>
  </si>
  <si>
    <t>A513 Recipe update Execution 4 11038532</t>
  </si>
  <si>
    <t>P30_plant2990_extension</t>
  </si>
  <si>
    <t>Create FINP HU NMRMC0165869</t>
  </si>
  <si>
    <t>Create FINP BR NMRMC0165917</t>
  </si>
  <si>
    <t>Create FINP MAK-24 NMRMC0165903</t>
  </si>
  <si>
    <t>P30_Plant 2655_Extension</t>
  </si>
  <si>
    <t>AFF_ZFIN_Execution-Ready_P30_Plant 4030 4040</t>
  </si>
  <si>
    <t>QE-114924 CA-244364</t>
  </si>
  <si>
    <t>Update DIR 10000129179 for PPM CA-251867</t>
  </si>
  <si>
    <t>Update DIR 10000129183 for PPM CA-251867</t>
  </si>
  <si>
    <t>Create FINP EEU NMRMC0165918</t>
  </si>
  <si>
    <t>AFF_ZFIN_Execution-Ready_P30_Plant 2675</t>
  </si>
  <si>
    <t>AFF_ZFIN_Execution-Ready_P30_Plant 2665_Decentral</t>
  </si>
  <si>
    <t>Create FINP TR NMRMC0165926</t>
  </si>
  <si>
    <t>R4E_I731_ACN556077_NZ_CC 2704</t>
  </si>
  <si>
    <t>R4E_I731_ACN556075_NZ_CC 2704</t>
  </si>
  <si>
    <t>R4E_F231_CH_ACN541470_CC_1208</t>
  </si>
  <si>
    <t>R4E_F231_CH_ACN548776_CC_1208</t>
  </si>
  <si>
    <t>VERIFY ZFIN CR 2150118</t>
  </si>
  <si>
    <t>Create FINP UA NMRMC0165919</t>
  </si>
  <si>
    <t>R4E_J031_FR_ACN551735_CC_1614</t>
  </si>
  <si>
    <t>AFF_ZFIN_Update_P30_Plant 2665</t>
  </si>
  <si>
    <t>AFF_ZFIN_Update_P30_Plant 2655</t>
  </si>
  <si>
    <t>AFF_ZFIN_Update_P30_Plant 2645</t>
  </si>
  <si>
    <t>AFF_ZFIN_Update_P30_Plant 2673, 2674, 2675</t>
  </si>
  <si>
    <t>MRP update_B731</t>
  </si>
  <si>
    <t>R4E_J031_FR_ACN552652_CC_1614</t>
  </si>
  <si>
    <t>Create FINP DZ NMRMC0165922</t>
  </si>
  <si>
    <t>AFF_ZFIN_Update_P30_Plant 2800</t>
  </si>
  <si>
    <t>AFF_ZFIN_Update_P30_Plant 1441</t>
  </si>
  <si>
    <t>A514 Create/Activate NPPO Media Pool PV</t>
  </si>
  <si>
    <t>A514 Update NPPO Ops and Relationships</t>
  </si>
  <si>
    <t>A514 Update Swab Kit Recipe QE-180022</t>
  </si>
  <si>
    <t>A514 Update Media Pool BOM Manually</t>
  </si>
  <si>
    <t>A514 Create/Activate NPPO PV</t>
  </si>
  <si>
    <t>A513 Hemlibra Update Recipe BOM 11038251</t>
  </si>
  <si>
    <t>A513 Hemlibra Recipe 11038608 BOM update</t>
  </si>
  <si>
    <t>L931 Several materials update</t>
  </si>
  <si>
    <t>GB MRP Data; Safety Stock</t>
  </si>
  <si>
    <t>GB MRP Data; Lot Size</t>
  </si>
  <si>
    <t>GB MRP Data; Lot Size C231</t>
  </si>
  <si>
    <t>Create FINP UY-BO-PY NMRMC0165924</t>
  </si>
  <si>
    <t>Extend FINP_P30_2665</t>
  </si>
  <si>
    <t>Create FINP GB NMRMC0165937</t>
  </si>
  <si>
    <t>R4E_ZFIN_plant 2665</t>
  </si>
  <si>
    <t>Non-GMP update_J531</t>
  </si>
  <si>
    <t>F111 QE Update 11025615</t>
  </si>
  <si>
    <t>F111 QE Update 11026052</t>
  </si>
  <si>
    <t>F111 QE Update 11026053</t>
  </si>
  <si>
    <t>Create FINP GB NMRMC0165936</t>
  </si>
  <si>
    <t>Create FINP BD NMRMC0165925</t>
  </si>
  <si>
    <t>R4E_I731_ACN 553612_NZ_CC 2704</t>
  </si>
  <si>
    <t>R4E_I731_ACN 553613_NZ_CC 2704</t>
  </si>
  <si>
    <t>CMO_ZSEM_UpdateNonGMP_P30_Plant1001_MRPdata</t>
  </si>
  <si>
    <t>2168189</t>
  </si>
  <si>
    <t>2165654</t>
  </si>
  <si>
    <t>Extend FINP_P98_1310</t>
  </si>
  <si>
    <t>Create SEMP IN NMRMC0165843</t>
  </si>
  <si>
    <t>R4E_P98_plant_1310</t>
  </si>
  <si>
    <t>L931_Mircera 100mcg_ALT2_ALT3_Create</t>
  </si>
  <si>
    <t>11006561_TECENTRIQ 1875MG-15ML_CHANGE</t>
  </si>
  <si>
    <t>M731_Alt 1, 2 and 3_Roaccutane 20mg</t>
  </si>
  <si>
    <t>10227742_ROZLYTREK 200MG_CHANGE</t>
  </si>
  <si>
    <t>M731 Alt 2_3 Kadcyla 160 obsolete</t>
  </si>
  <si>
    <t>540020_TECENTRI 840MG-14ML_CU_Change</t>
  </si>
  <si>
    <t>SVT Flag Update in Q1S</t>
  </si>
  <si>
    <t>Q1S</t>
  </si>
  <si>
    <t>VERIFY ZFIN CR 2165053</t>
  </si>
  <si>
    <t>CMO_ZBUL_UpdateNonGMP_P30_Plant_1001</t>
  </si>
  <si>
    <t>TOLL_ZFIN_UpdateNonGMP_P30_Plant1001_MRPdata</t>
  </si>
  <si>
    <t>TOLL_ZBUL_UpdateNonGMP_P30_SalesOrgExtension</t>
  </si>
  <si>
    <t>GB C231 SALES TEXT</t>
  </si>
  <si>
    <t>CMO_ZBUL_UpdateNonGMP_P30_SalesOrgExtension</t>
  </si>
  <si>
    <t>R4E_J531_FI_ACN551059_CC_1708</t>
  </si>
  <si>
    <t>R4E_J531_FI_ACN552930_CC_1708</t>
  </si>
  <si>
    <t>R4E_J531_FI_ACN553463_CC_1708</t>
  </si>
  <si>
    <t>R4E_J631_NO_ACN552027_CC_1710</t>
  </si>
  <si>
    <t>CMO_ZFIN_PIR Price update_1001</t>
  </si>
  <si>
    <t>Update MRP Type to Y0 at Plant 1001</t>
  </si>
  <si>
    <t>A514 Update Swab Kit recipe qty</t>
  </si>
  <si>
    <t xml:space="preserve"> Avastin Recipe BOM update PROA CP</t>
  </si>
  <si>
    <t>A513 Hemlibra Downstream Kits Add MLB002</t>
  </si>
  <si>
    <t>M731_Alt 3_Roaccutane 20mg_change</t>
  </si>
  <si>
    <t>A511 MM WBS Update VEGF CPMF</t>
  </si>
  <si>
    <t>Moncton_PhaseOut</t>
  </si>
  <si>
    <t>A511 Update ZSEM CPMF</t>
  </si>
  <si>
    <t>A514 Update Media Pool BOM</t>
  </si>
  <si>
    <t>A514 Extend 10237421 to Plant A514</t>
  </si>
  <si>
    <t>Mass verification</t>
  </si>
  <si>
    <t>Mass Rejection</t>
  </si>
  <si>
    <t>A514 Update BOM fixed qty</t>
  </si>
  <si>
    <t>M731_552233_ Alt5_Mircera100_Create</t>
  </si>
  <si>
    <t>A513 Hemlibra Update Recipe 11039288/289</t>
  </si>
  <si>
    <t>Mass deployment</t>
  </si>
  <si>
    <t>QE-154894/CA-248562: DIR Update</t>
  </si>
  <si>
    <t>CA-270930: Update DIR</t>
  </si>
  <si>
    <t>DIR QE-179221/ CA-256501</t>
  </si>
  <si>
    <t>Please create new DIR and link 11043551</t>
  </si>
  <si>
    <t>Create PIR &amp; SL_11039542</t>
  </si>
  <si>
    <t>A501 Create Text Tool Y022 ID's</t>
  </si>
  <si>
    <t>Updating MRP controller</t>
  </si>
  <si>
    <t>AFF_ZFIN_Update_P30_Plant 2673_PIRprice</t>
  </si>
  <si>
    <t>AFF_ZFIN_Update_P30_LocalEAN</t>
  </si>
  <si>
    <t>AFF_ZFIN_Update_P30_Plant 1441_Price</t>
  </si>
  <si>
    <t>R4E_J531_FI_ACN551201_CC_1708</t>
  </si>
  <si>
    <t>VERIFY ZFIN CR 2180792</t>
  </si>
  <si>
    <t>LT update</t>
  </si>
  <si>
    <t>KAU_ZSEC_UpdateNonGMP_P30_SalesOrgExtension</t>
  </si>
  <si>
    <t>create Info Record L931</t>
  </si>
  <si>
    <t>10198659_ROACCUTANE 10MG_CHANGE</t>
  </si>
  <si>
    <t>Make deployment</t>
  </si>
  <si>
    <t>A511 Activate DP Cevos 70MG</t>
  </si>
  <si>
    <t>DM-Update Safety Stock for Plant A514</t>
  </si>
  <si>
    <t>Mass Verification</t>
  </si>
  <si>
    <t>L931_Cotellic_10191646</t>
  </si>
  <si>
    <t>M731_Cotellic_10191646_Change</t>
  </si>
  <si>
    <t>CMO_ZBUL_PIR Price update_P30_1001</t>
  </si>
  <si>
    <t>R4E_A731_ACN 555077_Philippines 2700</t>
  </si>
  <si>
    <t>R4E_B531_ACN 557133_KR_CC 1709</t>
  </si>
  <si>
    <t>AFF_ZFIN_Update_P30_Plant 4030 4040</t>
  </si>
  <si>
    <t>DSTC_ZAPI_Update non-GMP_P30_Plant_1001</t>
  </si>
  <si>
    <t>Y019 Create Text Tool</t>
  </si>
  <si>
    <t>A511 Activate ZSEC VEGF CPMF</t>
  </si>
  <si>
    <t>YMUCR01</t>
  </si>
  <si>
    <t>Certificate Assignment YCOB</t>
  </si>
  <si>
    <t>Plant L431_extension</t>
  </si>
  <si>
    <t>Mass Deployment</t>
  </si>
  <si>
    <t>Change product description_TDM1</t>
  </si>
  <si>
    <t>A511 Recipe Activation and Edit Existing</t>
  </si>
  <si>
    <t>A513 Recipe update Execution 4 11036160</t>
  </si>
  <si>
    <t>Request to update NDC Friendly Name</t>
  </si>
  <si>
    <t>P1S_L431_Bulgaria_ZFIN Extension</t>
  </si>
  <si>
    <t>Mass CRs</t>
  </si>
  <si>
    <t>P1S_A411_CostingLotSize</t>
  </si>
  <si>
    <t>AFF_ZFIN_Affiliate_Update P30_Plant 2673</t>
  </si>
  <si>
    <t>P1S_J431_SLoc_for_EP</t>
  </si>
  <si>
    <t>A513: MRA G6 &amp; EMI Recipe Updates</t>
  </si>
  <si>
    <t>P30_ClassGR0_Greece_Mass</t>
  </si>
  <si>
    <t>Create local Material M731</t>
  </si>
  <si>
    <t>TOLL_ZSEM_UpdateNonGMP_P30_SalesOrgCreation</t>
  </si>
  <si>
    <t>TOLL_ZFIN_UpdateNonGMP_P30_ClassCH0</t>
  </si>
  <si>
    <t>Moncton_Phaseout_GLB-12820</t>
  </si>
  <si>
    <t>QE-185897 CA-273382 update DIR</t>
  </si>
  <si>
    <t>L231_PIR Price update</t>
  </si>
  <si>
    <t>A511 Changes for Q20046 per CA-249177</t>
  </si>
  <si>
    <t>A511 Changes for Q20025 per CA-249177</t>
  </si>
  <si>
    <t>ZAPI_Maintain DG info_P30</t>
  </si>
  <si>
    <t>VERIFY ZPAK CR 2183723</t>
  </si>
  <si>
    <t>VERIFY ZPAK CR 2183722</t>
  </si>
  <si>
    <t>extend material 81429258 to MOP</t>
  </si>
  <si>
    <t>Update the sales text to "1 vial" per VCPL and FST input</t>
  </si>
  <si>
    <t>PT - Change name</t>
  </si>
  <si>
    <t>Sales Text EN/ES</t>
  </si>
  <si>
    <t>please add a Unit of measure</t>
  </si>
  <si>
    <t>Removal of Safety Stock</t>
  </si>
  <si>
    <t>Update already deleted material to D2</t>
  </si>
  <si>
    <t>MRP Type update_C231</t>
  </si>
  <si>
    <t>A511 Activate DPI VEGF CPMF</t>
  </si>
  <si>
    <t>Update NT &amp; Gross Wt and unit of Wt</t>
  </si>
  <si>
    <t>update sales text in ZPRM 91102081</t>
  </si>
  <si>
    <t>MH_UPDATE_WAREHOUSE_DATA</t>
  </si>
  <si>
    <t>R4E_A831_ACN 555305_Singapore 2701</t>
  </si>
  <si>
    <t>Material 11038617 correction to PIR</t>
  </si>
  <si>
    <t>Material 11038621 to be udpated (PIR)</t>
  </si>
  <si>
    <t>TOLL_ZFIN_Update MRP data_P30</t>
  </si>
  <si>
    <t>TOLL_ZSEM_UpdateNonGMP_P30_Plant 1001</t>
  </si>
  <si>
    <t>AFF_ZFIN_Execution-Ready_P30_Plant 4060</t>
  </si>
  <si>
    <t>A511 Update DPI VEGF CPMF</t>
  </si>
  <si>
    <t>A511 Update WBS VEGF CPMF</t>
  </si>
  <si>
    <t>A511 Update Desc VEGF CPMF</t>
  </si>
  <si>
    <t>M731_Alt 4_Hemlibra 105mg-0.7mL_Change</t>
  </si>
  <si>
    <t>A514 Update ZRAW GR and AID</t>
  </si>
  <si>
    <t>A411_Mannheim_AltBoMcorrection</t>
  </si>
  <si>
    <t>update abc indicator - Brazil</t>
  </si>
  <si>
    <t>CA-253143 CN Data cleansing-Local MARA#2</t>
  </si>
  <si>
    <t>A511 Update DPI DTOM CSC</t>
  </si>
  <si>
    <t>DM-Prch grp and MRP controller update</t>
  </si>
  <si>
    <t>R4E_F331_F342_ES_ACN554623_CC_1609</t>
  </si>
  <si>
    <t>R4E_J431_SE_ACN551059_CC_1703</t>
  </si>
  <si>
    <t>ZFIN_R4E_plant_1321_P98</t>
  </si>
  <si>
    <t>C231_UK_DChain-spec status</t>
  </si>
  <si>
    <t>R4E_A223_CMO_CC_3100</t>
  </si>
  <si>
    <t>Create FINP MX NMRMC0166981</t>
  </si>
  <si>
    <t>Create FINP MX NMRMC0166984</t>
  </si>
  <si>
    <t>CMO_ZSEM_UpdateNonGMP_P30</t>
  </si>
  <si>
    <t xml:space="preserve">Extende from M731 to L931 </t>
  </si>
  <si>
    <t xml:space="preserve">Change BOM for Columvi 10mg. </t>
  </si>
  <si>
    <t xml:space="preserve">P30_1001_BoM_Corrections </t>
  </si>
  <si>
    <t xml:space="preserve">P30_1001_Recipe_BoM_PV_FR </t>
  </si>
  <si>
    <t xml:space="preserve">P30_1001_Recipe_BoM_PV_ES </t>
  </si>
  <si>
    <t xml:space="preserve">P30_1001_Recipe_MatlAssignment </t>
  </si>
  <si>
    <t>SSF Cell Bank Pricing Condition Update</t>
  </si>
  <si>
    <t>PZ Add missing Gen. Item Categroy NORM</t>
  </si>
  <si>
    <t>PZ Add missing GenItem Cat Norm</t>
  </si>
  <si>
    <t>Planning Ready L231 CR 2206668</t>
  </si>
  <si>
    <t>R4E_A131_ACN 555405_Malaysia 2702</t>
  </si>
  <si>
    <t>Update Vendor number in Inspection plan</t>
  </si>
  <si>
    <t>Update INP 11456 (CA-269641)</t>
  </si>
  <si>
    <t>11043087: update inspection plan</t>
  </si>
  <si>
    <t>P30_1001_Recipe_BoM_PV_FR</t>
  </si>
  <si>
    <t>A514 Activate TNK25CA Rcp QE-090428</t>
  </si>
  <si>
    <t>G34</t>
  </si>
  <si>
    <t>P30_1001_Recipe_MatlAssignment</t>
  </si>
  <si>
    <t>A514 Extend 11044987 to Plant A514</t>
  </si>
  <si>
    <t>A514 Extend 11044988 to Plant A514</t>
  </si>
  <si>
    <t>Feb -2026</t>
  </si>
  <si>
    <t>CMO_ZBUL_UpdateNonGMP_P30_SalesOrgCreation</t>
  </si>
  <si>
    <t>CMO_ZSEM_UpdateNonGMP_P30_Plant 1001</t>
  </si>
  <si>
    <t>QE-133588, update IP group 15003</t>
  </si>
  <si>
    <t>12059987_Inavolisib IRS</t>
  </si>
  <si>
    <t>HS-code update in P43</t>
  </si>
  <si>
    <t>CMO_ZSEM_PIR price update_1001</t>
  </si>
  <si>
    <t>Verify ZFIN CR 2208580</t>
  </si>
  <si>
    <t>A514 Extend 11045005 to Plant A514</t>
  </si>
  <si>
    <t>A511 DS CD19 Recipe Update</t>
  </si>
  <si>
    <t>A515-Update AOQ kits and MFG CA-270141</t>
  </si>
  <si>
    <t>M731_555264_Tecentriq1875mg_CREATE</t>
  </si>
  <si>
    <t>Verify ZFIN CR 2209549</t>
  </si>
  <si>
    <t>AFF_ZFIN_Update_P30_SalesOrg2802</t>
  </si>
  <si>
    <t>PZ A412 Delete Class YMM_SPWHLABEL_A412</t>
  </si>
  <si>
    <t>A511 Update DPI VA2IL6 CSC UPSM</t>
  </si>
  <si>
    <t>A511 Update Recipe BOM Cevos and BSCD</t>
  </si>
  <si>
    <t>A513: MRA G6 Form Bulk Filter Update</t>
  </si>
  <si>
    <t>MH_Update NPPO values</t>
  </si>
  <si>
    <t>TL deletion and set Phase out for status</t>
  </si>
  <si>
    <t xml:space="preserve">G15 </t>
  </si>
  <si>
    <t>A514 Create/Activate NPPO MF Insp PVs</t>
  </si>
  <si>
    <t>A513 Hemlibra MM &amp; Recipe Lot Size chang</t>
  </si>
  <si>
    <t>DM-Update Safety Stock for plant A514</t>
  </si>
  <si>
    <t>DM - PDT &amp; PTF Update</t>
  </si>
  <si>
    <t>R4E_F331_F342_ES_ACN553462_CC_1609</t>
  </si>
  <si>
    <t>CMO_ZFIN_Update non-GMP_P30_Plant 1001_CLS</t>
  </si>
  <si>
    <t>PZ Del Class YMM_SPWHLABEL_A412 acc. to POL-0300104 /p. 22</t>
  </si>
  <si>
    <t>ZPAL_Remove_del_flag_P30_1001</t>
  </si>
  <si>
    <t>A501/A511 Update Text Tool</t>
  </si>
  <si>
    <t>VERIFY ZFIN CR 2212499</t>
  </si>
  <si>
    <t>VERIFY ZPAK CR 2215747</t>
  </si>
  <si>
    <t>VERIFY ZPAK CR 2215689</t>
  </si>
  <si>
    <t>VERIFY ZPAK CR 2215781</t>
  </si>
  <si>
    <t>VERIFY ZPAK CR 2214977</t>
  </si>
  <si>
    <t>Update tax classification fr 11008348</t>
  </si>
  <si>
    <t>A513 Hemlibra MM/Recipe Lot Size change</t>
  </si>
  <si>
    <t>F111 MRP Controller Update</t>
  </si>
  <si>
    <t>A511 Create VEG Buf Pln Recipes CSC DWNS</t>
  </si>
  <si>
    <t>R4E_A731_PH_ACN555133_CC_2700</t>
  </si>
  <si>
    <t>R4E_J231_NL_ACN556030_CC_1282</t>
  </si>
  <si>
    <t>R4E_A631_ACN 556079_TW_CC 2730</t>
  </si>
  <si>
    <t>5% custom duty for several products</t>
  </si>
  <si>
    <t>Create FINP DE NMRMC0167323</t>
  </si>
  <si>
    <t>Create FINP FR NMRMC0167324</t>
  </si>
  <si>
    <t>Create FINP IE NMRMC0167325</t>
  </si>
  <si>
    <t>P30_1001_VabSEMP1_11042702_AT-DE</t>
  </si>
  <si>
    <t>change status M731</t>
  </si>
  <si>
    <t>A511 Load and Active DP VA2IL6 Diluent</t>
  </si>
  <si>
    <t>A511 Update PV GDC-7366 5MG TAB B47 SMPS</t>
  </si>
  <si>
    <t>A514 Activate TEC US recipe ALP174787</t>
  </si>
  <si>
    <t>A514 Update NPPO remove cost relevancy</t>
  </si>
  <si>
    <t>A511 Update VEGF CSC mega plan recipes</t>
  </si>
  <si>
    <t>A513 Hemlibra Update Recipe BOM Kits</t>
  </si>
  <si>
    <t>A514 Activate Afimki Insp-BkPk QE-163105</t>
  </si>
  <si>
    <t>PZ Mass Update total Shelf Life</t>
  </si>
  <si>
    <t>Material 11020637 / MRP 1 update</t>
  </si>
  <si>
    <t>add YMM_RSDC class to 3 matls</t>
  </si>
  <si>
    <t>Extend ZFIN to I931</t>
  </si>
  <si>
    <t>R4E_A731_ACN 554274_Philippines 2700</t>
  </si>
  <si>
    <t>CMO_ZSEM_UpdateNonGMP_P30_SalesOrgCreation</t>
  </si>
  <si>
    <t>CR900006291 PZ Add missing Business Scen Templates</t>
  </si>
  <si>
    <t>ZPAK_Retire_P30_1001</t>
  </si>
  <si>
    <t>Planning ready_CR_2215518</t>
  </si>
  <si>
    <t>Deletion flag_900006269</t>
  </si>
  <si>
    <t>P30_1001_VabSEMP1_11042668_ES</t>
  </si>
  <si>
    <t>P30_1001_VabSEMP1_11042733_IT-CLIN</t>
  </si>
  <si>
    <t>P30_1001_VabSEMP1_11045617_GB</t>
  </si>
  <si>
    <t>P30_1001_VabSEMP1_11042666_FR</t>
  </si>
  <si>
    <t>P30_1001_VabSEMP1_11042696_US</t>
  </si>
  <si>
    <t>P30_1001_VabSEMP1_11042739_ES</t>
  </si>
  <si>
    <t>P30_1001_VabSEMP1_11042780_IT-CLIN</t>
  </si>
  <si>
    <t>Create PIR &amp; SL material 11034433</t>
  </si>
  <si>
    <t>P30_1001_VabSEMP1_11042719_GB</t>
  </si>
  <si>
    <t>P30_1001_VabSEMP1_11042697_FR</t>
  </si>
  <si>
    <t>P30_1001_VabSEMP1_11042717_US</t>
  </si>
  <si>
    <t>R4E_I731_ACN 556854_NZ _CC 2704</t>
  </si>
  <si>
    <t>ZFIN_P98_Update_plt_status_plant_1300</t>
  </si>
  <si>
    <t>R4E_ZFIN_P98_plant_1394</t>
  </si>
  <si>
    <t>A511 create DPI MTGF Header pln recipes</t>
  </si>
  <si>
    <t>Create new BOM</t>
  </si>
  <si>
    <t>Material retirement QE-176523</t>
  </si>
  <si>
    <t>RSTO - Amend TSL per QE-175868</t>
  </si>
  <si>
    <t>Extend from M731 to L931</t>
  </si>
  <si>
    <t>L931_552425_Change local code</t>
  </si>
  <si>
    <t xml:space="preserve">CR1 </t>
  </si>
  <si>
    <t>Add 2 missing classes to Pharma matls</t>
  </si>
  <si>
    <t>MH_Creation of TMPs in Q1S</t>
  </si>
  <si>
    <t xml:space="preserve">G14 </t>
  </si>
  <si>
    <t>10203799_TECENTRIQ1200MG-20ML_ALT8</t>
  </si>
  <si>
    <t>10203799_TECENTRIQ1200MG-20ML_CHANGE</t>
  </si>
  <si>
    <t>Vabysmo Max lot size update</t>
  </si>
  <si>
    <t>A511 Update PISHPAR Table B47 SMPS</t>
  </si>
  <si>
    <t>ZRAW_TSL_Update_RSTO</t>
  </si>
  <si>
    <t>ZRAW_TSL_Update_RSTO_CR_900006392</t>
  </si>
  <si>
    <t>Create Transfer price material 10236546</t>
  </si>
  <si>
    <t>F231_Switzerland_PIRprice_CostingTicket</t>
  </si>
  <si>
    <t>P30_plant 2660_extension</t>
  </si>
  <si>
    <t>L831_Canada _ZFIN_Plant extension</t>
  </si>
  <si>
    <t>Ocrevus SC KO description &amp; TP update</t>
  </si>
  <si>
    <t>ZFIN_DESCRIPTION_Update_B531</t>
  </si>
  <si>
    <t>ZFIN_Update_Max_lot_size_plant_B531</t>
  </si>
  <si>
    <t>A513: Hemlibra CIT/COL Batch Update</t>
  </si>
  <si>
    <t>A513: Hemlibra CIT/Col Batch Size Update</t>
  </si>
  <si>
    <t>3100 price condition Mat#10162</t>
  </si>
  <si>
    <t>A513: Hemlibra Batch Size Update</t>
  </si>
  <si>
    <t>A511 Update to QTY of UOM for CD19 TCB Inspect</t>
  </si>
  <si>
    <t>A511 A517 ZNVL Class Update REF FG Anti-GSDMD 0.5mL</t>
  </si>
  <si>
    <t>A511 Update CD19 Buffer DWNSM</t>
  </si>
  <si>
    <t>MH_Mircera_100_DK-NO_10234383_UpdateWeight</t>
  </si>
  <si>
    <t>MH_Mircera_100_PT_10186601_UpdateWeight</t>
  </si>
  <si>
    <t>MH_Mircera_100_ID_10226380_UpdateWeight</t>
  </si>
  <si>
    <t>MH_Mircera_100_IN-ENT_10232204_UpdateWeight</t>
  </si>
  <si>
    <t>A511 Update MRP ZBUL GDC-7366 5MG TAB B47 SMPS</t>
  </si>
  <si>
    <t>Update Total Shelf Life Data</t>
  </si>
  <si>
    <t>ZFIN_Mtl_phase_out_plant_C242</t>
  </si>
  <si>
    <t>Change alt. unit of measure</t>
  </si>
  <si>
    <t>PZ Update CA-277239 Total shelf life Mat no 11029541</t>
  </si>
  <si>
    <t>PZ Update CA-271240 Total shelf life Mat no 11009436</t>
  </si>
  <si>
    <t>PZ Update CA-271240 Total shelf life Mat no 11009444</t>
  </si>
  <si>
    <t>PZ Update CA-271240 Total shelf life Mat no 11009445</t>
  </si>
  <si>
    <t>PZ Update CA-271240 Total shelf life Mat no 11009446</t>
  </si>
  <si>
    <t>PZ Update CA-271240 Total shelf life Mat no 11009435</t>
  </si>
  <si>
    <t>PZ Update CA-271240 Total shelf life Mat no 11009437</t>
  </si>
  <si>
    <t>VERIFY ZSEM CR 2226533</t>
  </si>
  <si>
    <t>VERIFY ZSEM CR 2226590</t>
  </si>
  <si>
    <t>A513 10190303 10231897 17399 Alternates</t>
  </si>
  <si>
    <t>A513 Hemlibra MM&amp;Recipe Lot Size change</t>
  </si>
  <si>
    <t>M731_556162_Kadcyla100MG_CREATE</t>
  </si>
  <si>
    <t>11006561_TECENTRI1875MG-15ML_ALT4-CREATE</t>
  </si>
  <si>
    <t>A513 Hemlibra Update Recipe BOM Buffers</t>
  </si>
  <si>
    <t>A511 ZNVL Cell Bank A501 Update</t>
  </si>
  <si>
    <t>OpRegen Description Update</t>
  </si>
  <si>
    <t>A511 Update MRP ZBUL GDC-7366 PL 100MG TAB B47 SMPS</t>
  </si>
  <si>
    <t>DM- Safety Stock Change</t>
  </si>
  <si>
    <t>CA-269630 Update Inspection Type for Mtl 10221102 for A513</t>
  </si>
  <si>
    <t>MH_Mircera_100_CO_10186580_UpdateWeight</t>
  </si>
  <si>
    <t>CA-269630 Update Inspection Type for Mtl 10197801 for A513</t>
  </si>
  <si>
    <t>CA-269630 Update Inspection Type for Mtl 10191070 for A513</t>
  </si>
  <si>
    <t>CA-269630 Update Inspection Type for Mtl 11032909 for Plant</t>
  </si>
  <si>
    <t>CA-269630 Update Inspection Type for Mtl 11032983 for A513</t>
  </si>
  <si>
    <t>PZ Update CA-271240 Total shelf life Mat no 11009443</t>
  </si>
  <si>
    <t>CMO_ZFIN_Weight update_1001</t>
  </si>
  <si>
    <t>ZPAK_Weight update_1001</t>
  </si>
  <si>
    <t>Verify ZSEM CR 2231007</t>
  </si>
  <si>
    <t>VERIFY ZFIN CR2228886</t>
  </si>
  <si>
    <t>Update PIR material 11003339</t>
  </si>
  <si>
    <t>Update PIR material 11045883</t>
  </si>
  <si>
    <t>VERIFY ZSEM CR 2157545</t>
  </si>
  <si>
    <t>VERIFY ZAPI CR 2237420</t>
  </si>
  <si>
    <t>M731_KADCYLA100mg_chance</t>
  </si>
  <si>
    <t>A514 Update HER440 Insp Gcode WI1231</t>
  </si>
  <si>
    <t>A514 Activate TNK25CA Rcp  QE-090428</t>
  </si>
  <si>
    <t>SWIFI Min Lot &amp; RV Update</t>
  </si>
  <si>
    <t>A514 Activate Afimki Fill Rcps QE-163105</t>
  </si>
  <si>
    <t>CA-269630 Update Inspection Type for Mtl 10227097 for A513</t>
  </si>
  <si>
    <t>CA-269630 Update Inspection Type for Mtl 10227098 for A513</t>
  </si>
  <si>
    <t>CA-269630 Update Inspection Type for Mtl 10227095 for A513</t>
  </si>
  <si>
    <t>CA-269630 Update Inspection Type for Mtl 10227096 for A513</t>
  </si>
  <si>
    <t>CA-269630 Update Inspection Type for Mtl 10208184 for A513</t>
  </si>
  <si>
    <t>CA-269630 Update Inspection Type for Mtl 10208231 for A513</t>
  </si>
  <si>
    <t>A511/A517 ZNVL MM Plant Specific Activation</t>
  </si>
  <si>
    <t>CA-269630 Update Inspection Type for Mtl 10249275 for A513</t>
  </si>
  <si>
    <t>Updating Plant status CR 2246646</t>
  </si>
  <si>
    <t>Phaseout_900006326</t>
  </si>
  <si>
    <t>Update X-pl status_11032086</t>
  </si>
  <si>
    <t>DM SUT PTF &amp; PDT Update</t>
  </si>
  <si>
    <t>Extend material 11036099 to plant L931</t>
  </si>
  <si>
    <t>L931_TECENTRIQ 1200_ALT4_CREATE</t>
  </si>
  <si>
    <t>A511 Update to Buf Form VEGF-IL6 30KG CP</t>
  </si>
  <si>
    <t>Updating plant status Cr 2236883</t>
  </si>
  <si>
    <t>Update Insp Type for A511</t>
  </si>
  <si>
    <t>R4E_F331_F342_ES_ACN557129_CC_1609</t>
  </si>
  <si>
    <t>Update Total Shelf Life</t>
  </si>
  <si>
    <t>add DC test</t>
  </si>
  <si>
    <t>DEPLOY ZAPI CA-275318</t>
  </si>
  <si>
    <t>P30_data_transfer_CR 2251185</t>
  </si>
  <si>
    <t xml:space="preserve">	P30_data_transfer_CR_2251195</t>
  </si>
  <si>
    <t>P30_data_transfer_CR_2251169</t>
  </si>
  <si>
    <t xml:space="preserve">	P30_data_transfer_CR_2251184</t>
  </si>
  <si>
    <t>correct inspection type</t>
  </si>
  <si>
    <t>Add Insp Type for A511</t>
  </si>
  <si>
    <t>VERIFY ZSEM CR 2231411</t>
  </si>
  <si>
    <t>VERIFY ZFIN CR2249417</t>
  </si>
  <si>
    <t>Create FINP SG NMRMC0167413</t>
  </si>
  <si>
    <t>L931_Panama_PriceUpdate</t>
  </si>
  <si>
    <t>Create PIR and SL for material 10246852</t>
  </si>
  <si>
    <t>Create PIR / SL material 10231377</t>
  </si>
  <si>
    <t>A513: Prasi Harvest Op Duration Update</t>
  </si>
  <si>
    <t>A513: Hemlibra Harvest GR Flag</t>
  </si>
  <si>
    <t>J431_J531_SE_FI_Post to Insp Stock</t>
  </si>
  <si>
    <t>SE Setup new material codes</t>
  </si>
  <si>
    <t>P30_1001_VabSEMP2_BOM&amp;PV_11042895</t>
  </si>
  <si>
    <t>R4E_B531_ACN557775_KR_CC_1709</t>
  </si>
  <si>
    <t>A501/A511 ZNVL Update Sales Text and HERKL</t>
  </si>
  <si>
    <t>YMUX002</t>
  </si>
  <si>
    <t>A501/A511 Update Sales Text and HERKL</t>
  </si>
  <si>
    <t>PZ Update CA-267878 Total shelf life Mat no 11030129</t>
  </si>
  <si>
    <t>ZFIN_p30_Update_plant _status_plant_1001</t>
  </si>
  <si>
    <t>Main CR 2247870 Follow Up 1</t>
  </si>
  <si>
    <t>YMUER01</t>
  </si>
  <si>
    <t>Main CR 2229110 Follow Up 1</t>
  </si>
  <si>
    <t>Main CR 2253471 Follow Up 1</t>
  </si>
  <si>
    <t>Moncton phase out_900006326</t>
  </si>
  <si>
    <t>Update Inspection Type per REF-0303478</t>
  </si>
  <si>
    <t>Change the status L931</t>
  </si>
  <si>
    <t>MH_REC_Vetter_Retirement</t>
  </si>
  <si>
    <t>M731_550568_Alt2_Actemra162mg,change</t>
  </si>
  <si>
    <t>Q1S HIT recipe</t>
  </si>
  <si>
    <t>A514 Add BI Tank to Recipe QE-180141</t>
  </si>
  <si>
    <t>Change name M731</t>
  </si>
  <si>
    <t>Create a new local code</t>
  </si>
  <si>
    <t>VERIFY ZFIN CR 2244418</t>
  </si>
  <si>
    <t>New Record: 5 materials of Process 26030</t>
  </si>
  <si>
    <t>YMMASS2</t>
  </si>
  <si>
    <t>New Record: 2 materials of Process 26030</t>
  </si>
  <si>
    <t>DIR QE-174311/CA-278495</t>
  </si>
  <si>
    <t>Main CR 2269124 Follow Up 1</t>
  </si>
  <si>
    <t>YMMASSF1</t>
  </si>
  <si>
    <t>A511 Recipe Activation CD19 TCB</t>
  </si>
  <si>
    <t>A511 CSC Solutions BOM LTO Updates</t>
  </si>
  <si>
    <t>Update ES and ES Sales text</t>
  </si>
  <si>
    <t>Remove MES Sys. Dist if Plant not exist</t>
  </si>
  <si>
    <t>DM - Update Safety Stock A513</t>
  </si>
  <si>
    <t>A513: Pola Harvest MMR Updates</t>
  </si>
  <si>
    <t>R4E_J231_ACN556897_NL_CC 1282</t>
  </si>
  <si>
    <t>Main CR 2245093 Follow Up 1</t>
  </si>
  <si>
    <t>Main CR 2212969 Follow Up 1</t>
  </si>
  <si>
    <t>P30 TSL update</t>
  </si>
  <si>
    <t>TOPAS_TW_TP change</t>
  </si>
  <si>
    <t>Minimum Lot Size to 1 and Rounding Value to 0</t>
  </si>
  <si>
    <t>CMO_ZFIN_BoM update_1001</t>
  </si>
  <si>
    <t>R4E_M731_ACN551084_CR_CC_2647</t>
  </si>
  <si>
    <t>ACN 551084 CU and DO PV Block</t>
  </si>
  <si>
    <t>Inactivation of Roaccutane PV-BOMs</t>
  </si>
  <si>
    <t>A513: Prasi Freeze 120L SS Tank Removal</t>
  </si>
  <si>
    <t>A515-Update BCMA recipes CA-270687</t>
  </si>
  <si>
    <t>Moncton_PhaseOut_9Feb26</t>
  </si>
  <si>
    <t>QE-184874 ACT-158811 Update Storage Cond</t>
  </si>
  <si>
    <t>Update CoO - CR2266686</t>
  </si>
  <si>
    <t>Main CR 2145436 Follow Up 1</t>
  </si>
  <si>
    <t>R4E_C031_IE_Ireland_CC_2804</t>
  </si>
  <si>
    <t>R4E_F331_F342_ES_Spain_CC_1609</t>
  </si>
  <si>
    <t>R4E_C031_IE_ACN554902_CC_2804</t>
  </si>
  <si>
    <t>R4E_A931_DE_ACN557114_CC_1298</t>
  </si>
  <si>
    <t>Main CR 2266686 Follow Up 1</t>
  </si>
  <si>
    <t>Update CoO &amp; ZPRM- CR 2266615</t>
  </si>
  <si>
    <t>R4E_L931_ACN552425_PA_CC 2648</t>
  </si>
  <si>
    <t>Main CR 2266615 Follow Up 1</t>
  </si>
  <si>
    <t>Update ZPRM- CR 2266615</t>
  </si>
  <si>
    <t>A511 Update CSC MCB ATGFB2 recipe ID</t>
  </si>
  <si>
    <t>Update CoO as per TMP19019</t>
  </si>
  <si>
    <t>Update Material freight grp to retire</t>
  </si>
  <si>
    <t>Update the rounding value of 10157696 at A511</t>
  </si>
  <si>
    <t>PZ Update Safety Time 10021073 TFA</t>
  </si>
  <si>
    <t>Main CR 2145553 Follow Up 1</t>
  </si>
  <si>
    <t>Main CR 2262505 Follow Up 1</t>
  </si>
  <si>
    <t>Main CR 2272890 Follow Up 1</t>
  </si>
  <si>
    <t>Update CoO_L931</t>
  </si>
  <si>
    <t>Deletion flag</t>
  </si>
  <si>
    <t>C231_UK_PIRprice_TOPAS</t>
  </si>
  <si>
    <t>PZ Update M EXT ZRAW REF-0304207_11037821_Methotrexate Steri</t>
  </si>
  <si>
    <t xml:space="preserve">	ZFIN_Update_Temp&amp;Stor_conditions_CR_200003346</t>
  </si>
  <si>
    <t>DM - SS update in A511</t>
  </si>
  <si>
    <t>DM-SS Change</t>
  </si>
  <si>
    <t>Main CR 2275300 Follow Up 1</t>
  </si>
  <si>
    <t>Main CR 2275340 Follow Up 1</t>
  </si>
  <si>
    <t>A515-BCMA Harvest kit DP CA-270687</t>
  </si>
  <si>
    <t>A513: Hemlibra Kit LT Offset 3</t>
  </si>
  <si>
    <t>A516_US_TransferPrice_ACA_OCR</t>
  </si>
  <si>
    <t>Update Avg inspection duration - A131</t>
  </si>
  <si>
    <t>Plant extension 10190713 - A411</t>
  </si>
  <si>
    <t>change the safety stock from 10K to 20k</t>
  </si>
  <si>
    <t>Change the safety stock qty from 5K to 7K</t>
  </si>
  <si>
    <t>change the safety stock from 30K to 60k</t>
  </si>
  <si>
    <t>R4E_J231_NL_ACN557098_CC_1282</t>
  </si>
  <si>
    <t>TOLL_ZSEM_Update GMP_P30_Plant_1001</t>
  </si>
  <si>
    <t>VERIFY FINP CR 2267173</t>
  </si>
  <si>
    <t>Create FINP DE NMRMC0167463</t>
  </si>
  <si>
    <t>Create FINP DE NMRMC0167465</t>
  </si>
  <si>
    <t>Create FINP DE NMRMC0167464</t>
  </si>
  <si>
    <t>Create FINP DE NMRMC0167477</t>
  </si>
  <si>
    <t>Create FINP DE NMRMC0167450</t>
  </si>
  <si>
    <t>Create FINP DE NMRMC0167449</t>
  </si>
  <si>
    <t>Main CR 2175679 Follow Up 1</t>
  </si>
  <si>
    <t>Main CR 2145758 Follow Up 1</t>
  </si>
  <si>
    <t>Update the Special Procurement field</t>
  </si>
  <si>
    <t>A515- Update MM desc OpRegen CA-270103</t>
  </si>
  <si>
    <t>A515-OpRegen NPPO ER updates</t>
  </si>
  <si>
    <t>Update Expiry of 11021882 (Refer to PE Action: CA-279664)</t>
  </si>
  <si>
    <t>Update Expiry of 11021869 (Refer to PE Action: CA-279664)</t>
  </si>
  <si>
    <t>Update planning paremeters and temp cond.</t>
  </si>
  <si>
    <t>PZ Update Lead Time 10098310 NOVASEPTUM PROBEBEUTEL 250 ML 1</t>
  </si>
  <si>
    <t>PZ Update Lead Time 10099801 Filter Millistak Typ 50 DE</t>
  </si>
  <si>
    <t>Main CR 2275249 Follow Up 1</t>
  </si>
  <si>
    <t>Assign Inspection plan</t>
  </si>
  <si>
    <t>VERIFY_ZFIN_CR 2278903</t>
  </si>
  <si>
    <t>R4E_M731_ZPAK_CR_CC_2647</t>
  </si>
  <si>
    <t>Main CR 2295022 Follow Up 1</t>
  </si>
  <si>
    <t>A901_Grenzach_UpdatePRM</t>
  </si>
  <si>
    <t>Update GRPT and AID for HIT Materials</t>
  </si>
  <si>
    <t>DM-Update Safety Stock</t>
  </si>
  <si>
    <t>A513 Hemlibra Update Recipe BOM 11038598</t>
  </si>
  <si>
    <t>A514 recipe updates</t>
  </si>
  <si>
    <t>Update planning parameters</t>
  </si>
  <si>
    <t>Update mat freight group to retire the code</t>
  </si>
  <si>
    <t>Deletion flag_A931</t>
  </si>
  <si>
    <t>Main CR 2175834 Follow Up 1</t>
  </si>
  <si>
    <t>Main CR 2249858 Follow Up 1</t>
  </si>
  <si>
    <t>Main CR 2175919 Follow Up 1</t>
  </si>
  <si>
    <t>Main CR 2180734 Follow Up 1</t>
  </si>
  <si>
    <t>Main CR 2175915 Follow Up 1</t>
  </si>
  <si>
    <t>CA-273265 CN Data cleansing-1510 shared</t>
  </si>
  <si>
    <t>Main CR 2295531 Follow Up 1</t>
  </si>
  <si>
    <t>ZFIN_PLANNING_READY_UPDATE_A411_CR_2278903</t>
  </si>
  <si>
    <t>Delete sales org_L901</t>
  </si>
  <si>
    <t>Main CR 2301191 Follow Up 1</t>
  </si>
  <si>
    <t>Main CR 2301631 Follow Up 1</t>
  </si>
  <si>
    <t>Main CR 2298757 Follow Up 1</t>
  </si>
  <si>
    <t>Main CR 2301069 Follow Up 1</t>
  </si>
  <si>
    <t>Main CR 2301342 Follow Up 1</t>
  </si>
  <si>
    <t>Main CR 2301343 Follow Up 1</t>
  </si>
  <si>
    <t xml:space="preserve">	Update MRP contrl and P.grp_900006634</t>
  </si>
  <si>
    <t>Main CR 2300940 Follow Up 1</t>
  </si>
  <si>
    <t>Main CR 2302060 Follow Up 1</t>
  </si>
  <si>
    <t>Main CR 2302134 Follow Up 1</t>
  </si>
  <si>
    <t>Main CR 2302195 Follow Up 1</t>
  </si>
  <si>
    <t>VERIFY ZFIN CR 2297954</t>
  </si>
  <si>
    <t>Update PIR - material 11045850</t>
  </si>
  <si>
    <t>DM-Update GR Processing times</t>
  </si>
  <si>
    <t>A511 Recipe Update DS CD19</t>
  </si>
  <si>
    <t>All Plants ZFIN Activate QE-191402</t>
  </si>
  <si>
    <t>Main CR 2298039 Follow Up 1</t>
  </si>
  <si>
    <t>Main CR 2305392 Follow Up 1</t>
  </si>
  <si>
    <t>Main CR 2305366 Follow Up 1</t>
  </si>
  <si>
    <t>Main CR 2305322 Follow Up 1</t>
  </si>
  <si>
    <t>CMO_ZSEM_UpdateNonGMP_P30_MRPdata</t>
  </si>
  <si>
    <t>Create FINP IE NMRMC0167706</t>
  </si>
  <si>
    <t>Create FINP PE NMRMC0167709</t>
  </si>
  <si>
    <t>Create FINP ES NMRMC0167701</t>
  </si>
  <si>
    <t>Update Material Pricing Group 11046295</t>
  </si>
  <si>
    <t>R4E_B831_Redress_VN_CC_2816</t>
  </si>
  <si>
    <t>R4E_L431_BG_ACN532893_CC_1394</t>
  </si>
  <si>
    <t>R4E_L431_BG_ACN553871_CC_1394</t>
  </si>
  <si>
    <t>Main CR 2308320 Follow Up 1</t>
  </si>
  <si>
    <t>Main CR 2308415 Follow Up 1</t>
  </si>
  <si>
    <t>A511 Update/Activate Buff CSC VEGF DWNSM</t>
  </si>
  <si>
    <t>A511 Update/Activate VEGF DWSM headrs</t>
  </si>
  <si>
    <t>VERIFY ZFIN CR 2302050</t>
  </si>
  <si>
    <t>Update max lot size</t>
  </si>
  <si>
    <t>PZ Update Lead Time 10010167 N-Acetylglucosamine, pharma gra</t>
  </si>
  <si>
    <t>PZ Update Lead Time 10020906 Morpholino-ethansulfonicacid Fr</t>
  </si>
  <si>
    <t>RSTO_Amend Safety Stock for TK2 box 11021156</t>
  </si>
  <si>
    <t>RSTO_Amend Safety Stock for EPS Insert 11022001</t>
  </si>
  <si>
    <t>PZ Update Lead Time 10074131 Hygromycin B solution</t>
  </si>
  <si>
    <t>RSTO_Amend Safety Stock for Dry Ice Tray 11021999</t>
  </si>
  <si>
    <t>PZ Update Lead Time 10074888 Morpholino-ethansulfonicacid So</t>
  </si>
  <si>
    <t>PZ Update Lead Time 11033013 EndoCleave rec. GMP grade, AOF</t>
  </si>
  <si>
    <t>PZ Update Lead Time 11032951 EndoCleave rec. GMP grade, AOF</t>
  </si>
  <si>
    <t>PZ Update Lead Time 11032887 EndoCleave rec. GMP grade, AOF</t>
  </si>
  <si>
    <t>Main CR 2159242 Follow Up 1</t>
  </si>
  <si>
    <t>Main CR 2308801 Follow Up 1</t>
  </si>
  <si>
    <t>Main CR 2159243 Follow Up 1</t>
  </si>
  <si>
    <t>ZFIN_Extend_WS_view_P30_plant_1001</t>
  </si>
  <si>
    <t>ZFIN_PLANNING_READY_UPDATE_C031_CR_2305653</t>
  </si>
  <si>
    <t>R4E_M731_ZPAK_CC 2647</t>
  </si>
  <si>
    <t>Main CR 2308052 Follow Up 1</t>
  </si>
  <si>
    <t>A511 ZNVL Activate Tox FG MABT7895A Vehicle</t>
  </si>
  <si>
    <t>Update Tax indicator C031_CR_2305653</t>
  </si>
  <si>
    <t>Change PIR for ITOVEBI</t>
  </si>
  <si>
    <t>MH Plant Extension for materials, att.</t>
  </si>
  <si>
    <t>CR_2305653_Load_Tax_ind_C031</t>
  </si>
  <si>
    <t>Add of Product Hierarchy</t>
  </si>
  <si>
    <t>P131 Ghana Plant Extensions</t>
  </si>
  <si>
    <t>Update BOM_ITOBEVI 3MG PSP to Sample use</t>
  </si>
  <si>
    <t>Updating roformis to delete material</t>
  </si>
  <si>
    <t>J331 update Safty Stock</t>
  </si>
  <si>
    <t>RSTO_Amend MOQ for 10091</t>
  </si>
  <si>
    <t>Main CR 2145555 Follow Up 1</t>
  </si>
  <si>
    <t>DM - Purchasing Group Update</t>
  </si>
  <si>
    <t>Update MRs 11034284, 11034313, 11014728</t>
  </si>
  <si>
    <t>A513_Update 11033811 and 11033812 MRs</t>
  </si>
  <si>
    <t>Testing PI18 Q1s</t>
  </si>
  <si>
    <t>A511 ZVL Tox FG Anti-C3bBb (RCTB6598A) Vehicle</t>
  </si>
  <si>
    <t>A511 ZNVL REF FG Anti-C3bBb (RCTB6598A)</t>
  </si>
  <si>
    <t>A511 Buf Form 265KG HisAce Suc CPMF Uupdate</t>
  </si>
  <si>
    <t>A511 ZNVL Description Update FG Anti-C3bBb</t>
  </si>
  <si>
    <t>Customer master update- search term</t>
  </si>
  <si>
    <t>Customer master update- Acct at Cust</t>
  </si>
  <si>
    <t>RSTO_ICO Transfer Price 10477</t>
  </si>
  <si>
    <t>Update PIR &amp; SL por material 11039720</t>
  </si>
  <si>
    <t>update the TP on the code 11012002</t>
  </si>
  <si>
    <t>A515-Update Nic and Gel kit QE-185708</t>
  </si>
  <si>
    <t>Missing AMPL - Update plant status</t>
  </si>
  <si>
    <t>P331 Saudi Plant Extension ex-KAU</t>
  </si>
  <si>
    <t>M731 Costa Rica Plant Extension</t>
  </si>
  <si>
    <t>A513 Hemlibra Update 11038532 11038599</t>
  </si>
  <si>
    <t>N631_CZ_Plant extension</t>
  </si>
  <si>
    <t>N931 Croatia Plant Extensions ex-CMO</t>
  </si>
  <si>
    <t>R4E_B631_ACN 557889_TH</t>
  </si>
  <si>
    <t>Update CS description_CR 900006679</t>
  </si>
  <si>
    <t>R4E_P531_AE_ACN556929_CC_2944</t>
  </si>
  <si>
    <t>Main CR 2326390 Follow Up 1</t>
  </si>
  <si>
    <t>Main CR 2326573 Follow Up 1</t>
  </si>
  <si>
    <t>Update lot size for new product launch</t>
  </si>
  <si>
    <t>Update Sales Text</t>
  </si>
  <si>
    <t>BOM Change(ITOVEBI)</t>
  </si>
  <si>
    <t>N631 Slovakia Plant Extensions XOF</t>
  </si>
  <si>
    <t>A511 Update CSC VEGF Frozen</t>
  </si>
  <si>
    <t>A511 Update VEGF DilCon</t>
  </si>
  <si>
    <t>A511 Activate Anti-Abeta Prep Freeze Cryobags MCB CSC</t>
  </si>
  <si>
    <t>A511 Activate Anti-Abeta Prep Freeze Ampoules MCB CSC</t>
  </si>
  <si>
    <t>R4E_J031_FR_ACN557106_CC_1614</t>
  </si>
  <si>
    <t>R4E_P531_PT_ACN557105_CC_1698</t>
  </si>
  <si>
    <t>R4E_C131_DK_ACN557032_CC_1694</t>
  </si>
  <si>
    <t>R4E_C131_DK_ACN557033_CC_1694</t>
  </si>
  <si>
    <t>R4E_B731_ACN557760_HK_CC 2726</t>
  </si>
  <si>
    <t>R4E_B731_ACN557761_HK_CC 2726</t>
  </si>
  <si>
    <t>R4E_M731_CR_ACN551084_CC_2647</t>
  </si>
  <si>
    <t>Main CR 2334292 Follow Up 1</t>
  </si>
  <si>
    <t>Customer master update - search term</t>
  </si>
  <si>
    <t xml:space="preserve">Customer master </t>
  </si>
  <si>
    <t>SPK for 11043194</t>
  </si>
  <si>
    <t>A511 Update CSC Dilcon Recipe</t>
  </si>
  <si>
    <t>N731 Slovakia Plant Extensions ex-KAU</t>
  </si>
  <si>
    <t>A511 Update VEGF BFS</t>
  </si>
  <si>
    <t>P331 Plant Extension_11046514_11046576</t>
  </si>
  <si>
    <t>P531 UAE Plant Exensions</t>
  </si>
  <si>
    <t>Main CR 2298257 Follow Up 1</t>
  </si>
  <si>
    <t>R4E_F231_CH_ACN557240_CC_1208</t>
  </si>
  <si>
    <t>A511 Activate ZINT FZD4 CSC DNSM</t>
  </si>
  <si>
    <t>CR_900006717_Update_description_N931</t>
  </si>
  <si>
    <t>Updates Related to CR 2343665</t>
  </si>
  <si>
    <t>A511 Create anti-Abeta planning recipes</t>
  </si>
  <si>
    <t>A513: Create Herceptin IV Recipe</t>
  </si>
  <si>
    <t>N931 Croatia Plant Extension</t>
  </si>
  <si>
    <t>A511 Recipe Update/execution MCB Anti-aB</t>
  </si>
  <si>
    <t>P431 Egypt Plant Extension</t>
  </si>
  <si>
    <t>DM - Change of PGR</t>
  </si>
  <si>
    <t>N931 Croatia Plant Extensions ex-KAU</t>
  </si>
  <si>
    <t>N831 Slovenia Plant Extensions ex-CMO</t>
  </si>
  <si>
    <t>Rocephin1gIV_Alt4_Create</t>
  </si>
  <si>
    <t>A513: MRA G6 &amp; Ocrevus Recipe Updates</t>
  </si>
  <si>
    <t>Update International Name CONTIVUE</t>
  </si>
  <si>
    <t>A514 Retire recipe SUS Copack CA-267755</t>
  </si>
  <si>
    <t>Cellcept 250 mg correction M731</t>
  </si>
  <si>
    <t>555375_VABYSMO 6MG_CREATE</t>
  </si>
  <si>
    <t>Enspryng Lot Size Update P1S Affiliates</t>
  </si>
  <si>
    <t>A514 Update AUoM for ZSEM</t>
  </si>
  <si>
    <t>New TP update as of Mar 18, 2026</t>
  </si>
  <si>
    <t>Update PIR - material 11045920</t>
  </si>
  <si>
    <t>Update PIR price for Peru</t>
  </si>
  <si>
    <t>R4E_C031_IE_ACN552972_CC_2804</t>
  </si>
  <si>
    <t>Main CR 2334421 Follow Up 1</t>
  </si>
  <si>
    <t>Main CR 2334354 Follow Up 1</t>
  </si>
  <si>
    <t>Main CR 2333908 Follow Up 1</t>
  </si>
  <si>
    <t>CR_900006804_upd_RV_p331</t>
  </si>
  <si>
    <t>Lot size to be adjusted upon the CSM request</t>
  </si>
  <si>
    <t>L801 sales text update</t>
  </si>
  <si>
    <t>CMO_ZSEM_Ready for Execution_P30 (FINP)_Plant 1001</t>
  </si>
  <si>
    <t>Customer master update - payment term</t>
  </si>
  <si>
    <t>R4E_J031_FR_ACN551736_CC_1614</t>
  </si>
  <si>
    <t>R4E_F231_CH_ACN557283_CC_1208</t>
  </si>
  <si>
    <t>R4E_F231_CH_ACN557092_CC_1208</t>
  </si>
  <si>
    <t>R4E_F231_CH_ACN557239_CC_1208</t>
  </si>
  <si>
    <t>R4E_F231_CH_ACN557677_CC_1208</t>
  </si>
  <si>
    <t>PZ Update Safety Strategy 11042319</t>
  </si>
  <si>
    <t>PZ Update Safety Strategy 11012092</t>
  </si>
  <si>
    <t>PZ Update Safety Strategy 11014030</t>
  </si>
  <si>
    <t>PZ Update Safety Strategy 11014031</t>
  </si>
  <si>
    <t>Main CR 2346457 Follow Up 1</t>
  </si>
  <si>
    <t>Main CR 2346854 Follow Up 1</t>
  </si>
  <si>
    <t>All Plants ZFIN Activate QE-188380</t>
  </si>
  <si>
    <t>10216718 Ready for Costing &amp; Move to status 50</t>
  </si>
  <si>
    <t>Create FINP BR NMRMC0167794</t>
  </si>
  <si>
    <t>CMO_ZFIN_P30_Update_Classification_1001</t>
  </si>
  <si>
    <t>Check on PLD status for Madopar codes</t>
  </si>
  <si>
    <t>Main CR 2329050 Follow Up 1</t>
  </si>
  <si>
    <t>Main CR 2329082 Follow Up 1</t>
  </si>
  <si>
    <t>Change status L931 fron 30 to 50</t>
  </si>
  <si>
    <t>J331 Austria TOPAS 10000133</t>
  </si>
  <si>
    <t>Data transfer to P98 CR 2342863</t>
  </si>
  <si>
    <t>Main CR 2305624 Follow Up 1</t>
  </si>
  <si>
    <t>Update status to cancel PO's</t>
  </si>
  <si>
    <t>A513: Xolair Harvest Recipe Updates</t>
  </si>
  <si>
    <t>A511 Create Planning Recipe CPMF</t>
  </si>
  <si>
    <t>Add CRD code for NPPO 11003692</t>
  </si>
  <si>
    <t>a514 Deactivate planning recipe Actemra</t>
  </si>
  <si>
    <t>A514 Update Perjeta Recipe</t>
  </si>
  <si>
    <t>Update JCC_BSDS_P55 legacy_P1S</t>
  </si>
  <si>
    <t>PZ IC Maintain "old material number"</t>
  </si>
  <si>
    <t>Update PLIFZ A412 Cytiva</t>
  </si>
  <si>
    <t>L931_556162_Kadcyla100MG_CREATE</t>
  </si>
  <si>
    <t>R4E_L931_ZPAK_PA_CC 2648</t>
  </si>
  <si>
    <t>R4E_L931_PA_ACN556051_CC_2648</t>
  </si>
  <si>
    <t>L931_Panama MRP data</t>
  </si>
  <si>
    <t>Main CR 2350685 Follow Up 1</t>
  </si>
  <si>
    <t>Main CR 2350686 Follow Up 1</t>
  </si>
  <si>
    <t>ZFIN_UpdateNonGMP_P30_Plant1001_Class_data</t>
  </si>
  <si>
    <t>Main CR 2351043 Follow Up 1</t>
  </si>
  <si>
    <t>Delete TRY AUOM - 100005731</t>
  </si>
  <si>
    <t>YMMASS1</t>
  </si>
  <si>
    <t>Create FINP UA NMRMC0167808</t>
  </si>
  <si>
    <t>Create FINP TW NMRMC0167807</t>
  </si>
  <si>
    <t>Create FINP BE NMRMC0167812</t>
  </si>
  <si>
    <t>A514 Update AUoM ZSEM 10246006</t>
  </si>
  <si>
    <t>A514 Update AUoM ZSEM 10246007</t>
  </si>
  <si>
    <t>ZFIN_UpdateNonGMP_P30_Plant2800_plt_status</t>
  </si>
  <si>
    <t>Main CR 2324108 Follow Up 1</t>
  </si>
  <si>
    <t>Main CR 2324109 Follow Up 1</t>
  </si>
  <si>
    <t>Main CR 2324173 Follow Up 1</t>
  </si>
  <si>
    <t>Main CR 2324175 Follow Up 1</t>
  </si>
  <si>
    <t>Main CR 2324176 Follow Up 1</t>
  </si>
  <si>
    <t>Main CR 2324009 Follow Up 1</t>
  </si>
  <si>
    <t>Main CR 2324006 Follow Up 1</t>
  </si>
  <si>
    <t>Main CR 2324010 Follow Up 1</t>
  </si>
  <si>
    <t>Main CR 2324105 Follow Up 1</t>
  </si>
  <si>
    <t>Main CR 2324107 Follow Up 1</t>
  </si>
  <si>
    <t>Main CR 2350245 Follow Up 1</t>
  </si>
  <si>
    <t>Main CR 2350165 Follow Up 1</t>
  </si>
  <si>
    <t>Main CR 2324177 Follow Up 1</t>
  </si>
  <si>
    <t>Main CR 2324184 Follow Up 1</t>
  </si>
  <si>
    <t>Main CR 2324195 Follow Up 1</t>
  </si>
  <si>
    <t>Main CR 2324193 Follow Up 1</t>
  </si>
  <si>
    <t>Main CR 2324196 Follow Up 1</t>
  </si>
  <si>
    <t>Change lot size for E132</t>
  </si>
  <si>
    <t>Update min, max and rounding value</t>
  </si>
  <si>
    <t>Alt2_Alt3 Hemlibra 30mg Change</t>
  </si>
  <si>
    <t>M731 Alt3_Alt4 Hemlibra 30mg  Change</t>
  </si>
  <si>
    <t>Change Base Qty, Max Qty &amp; BOM Qty</t>
  </si>
  <si>
    <t>Update APLFZ PIR A412 Cytiva</t>
  </si>
  <si>
    <t>M731 535818 Alt2 Gazyva Change</t>
  </si>
  <si>
    <t>M731 550981 Alt4 Hemlibra 105mg Change</t>
  </si>
  <si>
    <t>A513 Hemlibra Update Recipe BOM 11038528</t>
  </si>
  <si>
    <t>Release XStep Template New Ver. in P1S</t>
  </si>
  <si>
    <t>R91</t>
  </si>
  <si>
    <t>A513: Herceptin LNH Recipe Activate</t>
  </si>
  <si>
    <t>Change planned delivery time</t>
  </si>
  <si>
    <t>Cr999</t>
  </si>
  <si>
    <t>M731_Alt3_Rocephin1g_Change</t>
  </si>
  <si>
    <t>A514 RIT Recipes to Execution QE-187168</t>
  </si>
  <si>
    <t>Update BOM component</t>
  </si>
  <si>
    <t>Change Lot Size for material 11022918</t>
  </si>
  <si>
    <t>R31</t>
  </si>
  <si>
    <t>L931 556001 Alecensa</t>
  </si>
  <si>
    <t>M731 and L931_Alt 7_Ocrevus_Create</t>
  </si>
  <si>
    <t>Plant Extension - J431 - 10190125</t>
  </si>
  <si>
    <t>Plant Extension - L231 - 10190124</t>
  </si>
  <si>
    <t>MH_10083183_ZPAK_maintain Bus.Sc.Template</t>
  </si>
  <si>
    <t>MH_11015365_ZPAK_maintain Bus.Sc.Template</t>
  </si>
  <si>
    <t>MH_10186868_ZPAK_maintain Bus.Sc.Template</t>
  </si>
  <si>
    <t>Main CR 2324241 Follow Up 1</t>
  </si>
  <si>
    <t>Main CR 2324242 Follow Up 1</t>
  </si>
  <si>
    <t>Main CR 2324199 Follow Up 1</t>
  </si>
  <si>
    <t>Main CR 2324220 Follow Up 1</t>
  </si>
  <si>
    <t>R4E_B631_Redress_TH</t>
  </si>
  <si>
    <t>R4E_A631_ACN 557838_TW_CC 2730</t>
  </si>
  <si>
    <t>RSTO_ICO Transfer Price 11014589</t>
  </si>
  <si>
    <t>RSTO_Update/Create Transfer price</t>
  </si>
  <si>
    <t>Change TP (11024538 Hercepti 440)</t>
  </si>
  <si>
    <t>B631 Thailand TOPAS 10001000</t>
  </si>
  <si>
    <t>RSTO_Create ICO PIR/SL for 40000004282</t>
  </si>
  <si>
    <t>AFF_ZFIN_Affiliate_Update_P98_Plant 1300</t>
  </si>
  <si>
    <t>QE-163105 update max # F/T cycles</t>
  </si>
  <si>
    <t>QE-163105 update Inspection type and F/T cycles</t>
  </si>
  <si>
    <t>Up-date AUOM 1ea = 100g for GENE # 10408</t>
  </si>
  <si>
    <t>PZ Update M EXT ZCNT 1011125 QE-183210 plant-Stat + MRP-Type</t>
  </si>
  <si>
    <t>Main CR 2353895 Follow Up 1</t>
  </si>
  <si>
    <t>DE description update_CR900006866</t>
  </si>
  <si>
    <t>A514 Update AUoM 10234481</t>
  </si>
  <si>
    <t>A514 Update AUoM 11029545</t>
  </si>
  <si>
    <t>A514 Update AUoM 10234479</t>
  </si>
  <si>
    <t>M731_Alt 5 and 6_Ocrevus 300mg_change</t>
  </si>
  <si>
    <t>A514 Update Afimki Rcp QE-163105</t>
  </si>
  <si>
    <t>A514 Update Afimki Fill Cap</t>
  </si>
  <si>
    <t>A511 Activate DPI CPMF CSC</t>
  </si>
  <si>
    <t>A514 Extend Material 11010945</t>
  </si>
  <si>
    <t>Update AID and GRPT Data</t>
  </si>
  <si>
    <t>Plant Extension - J331 (3 Materials)</t>
  </si>
  <si>
    <t>A513: MRA G6 Form Bulk IV Lot Procedure Update FX</t>
  </si>
  <si>
    <t>A513: MRA G6 Stock Solution Lot Size Proc to FX #1</t>
  </si>
  <si>
    <t>A513: MRA G6 Stock Solution Lot Size Proc to FX #2</t>
  </si>
  <si>
    <t>Update Inspection Types for Plant A511</t>
  </si>
  <si>
    <t>A511 ZSEC Descr Change VL MTGF9221A DIL 13ML INSP CPMF</t>
  </si>
  <si>
    <t>A513: MRA G6 Form Bulk SC Lot Procedure Update FX</t>
  </si>
  <si>
    <t>A511 ZSEC Descrp Update VL MTGF9221A 26mg 0.2ML INSP CPMF</t>
  </si>
  <si>
    <t>Delete Inspection type</t>
  </si>
  <si>
    <t>MH 11045176 ZPAK Anpassung CLS</t>
  </si>
  <si>
    <t>MH_11032915_FIN_REC_10k_UpdateUoM</t>
  </si>
  <si>
    <t>PZ Change Material Status to 40, see WF2 CR2318401</t>
  </si>
  <si>
    <t>MH_11032915_FIN_CER_120_UpdateWeight</t>
  </si>
  <si>
    <t>PZ Update Safety Stock &amp; Time 10038538 Acetic Acid 30% Ph</t>
  </si>
  <si>
    <t>PZ Change Material Status to 50, see WF2 CR2318396</t>
  </si>
  <si>
    <t>SAP EN Material Description Change</t>
  </si>
  <si>
    <t>New Record: 5 materials of Process 27965</t>
  </si>
  <si>
    <t>ZAPI_Update_P55_Plant_1105</t>
  </si>
  <si>
    <t>11028112 PIR change</t>
  </si>
  <si>
    <t>A501/A511 create text tool</t>
  </si>
  <si>
    <t>A514 Update Safety Stock ZINT 11026462</t>
  </si>
  <si>
    <t>L931 556001 Alecensa create</t>
  </si>
  <si>
    <t>A514 Cathflo Recipe Update ACN: 557978</t>
  </si>
  <si>
    <t>A514 Update Avastin Planning Rcp</t>
  </si>
  <si>
    <t>Change BOM Comonent Qty</t>
  </si>
  <si>
    <t>Change Base Qty and Max Qty</t>
  </si>
  <si>
    <t>L931_554343_Alt4_Tecentriq1200_change</t>
  </si>
  <si>
    <t>DM - Resin - Extend to GNE</t>
  </si>
  <si>
    <t>F331 Spain SLoc for EP</t>
  </si>
  <si>
    <t>DM SUT A514 SS Change</t>
  </si>
  <si>
    <t>Plant Extension - 10214180 - L431</t>
  </si>
  <si>
    <t>A513 Hemlibra Update Recipe BOM Medias</t>
  </si>
  <si>
    <t>M731_Mircera50mg_change</t>
  </si>
  <si>
    <t>TMP11016 Update with Plants Sales Org</t>
  </si>
  <si>
    <t>ZFIN_update_trans_grp_J431</t>
  </si>
  <si>
    <t>ZFIN_Delete_Plant_A511</t>
  </si>
  <si>
    <t>Deletion flag_A511</t>
  </si>
  <si>
    <t>Retire as per 900006973</t>
  </si>
  <si>
    <t>Retire M731_CR 900007019</t>
  </si>
  <si>
    <t>HR_MRP type change</t>
  </si>
  <si>
    <t>MH Change UOM</t>
  </si>
  <si>
    <t>Change UOM</t>
  </si>
  <si>
    <t>MH_10248460_ZPAK_MRP type (VI)</t>
  </si>
  <si>
    <t>MH_10249159_ZPAK_MRP type (VI)</t>
  </si>
  <si>
    <t>A513: Herceptin Prod Storage Location Update</t>
  </si>
  <si>
    <t>VERIFY ZFIN CR 2362180</t>
  </si>
  <si>
    <t>M731_Mircera75mg_change</t>
  </si>
  <si>
    <t>Plant Extension - 11046576 - P431</t>
  </si>
  <si>
    <t>Plant Extension - F431 (2 Materials)</t>
  </si>
  <si>
    <t>M731_Mircera100mg_change</t>
  </si>
  <si>
    <t>M731_Tecentriq1875mg_change</t>
  </si>
  <si>
    <t>A513: Prasi Harvest Recipe Update</t>
  </si>
  <si>
    <t>557164_Kadcyla160_create</t>
  </si>
  <si>
    <t>A511 Activate DPI FZD4 CSC Buf</t>
  </si>
  <si>
    <t>A511 Activate DPI FZD4 CSC DNSM</t>
  </si>
  <si>
    <t>A511 Update DPI FZD4 CSC DNSM</t>
  </si>
  <si>
    <t>A515-Update BCMA BOM CA-278065</t>
  </si>
  <si>
    <t>A526 Assign Rimiducid DP to CMO Recipe</t>
  </si>
  <si>
    <t>A511 Update CRD GDC-7366 100MG B47 SMPS</t>
  </si>
  <si>
    <t>NL_BOM change needed</t>
  </si>
  <si>
    <t>CH ZAPI 11042351 Extend to Plant A526</t>
  </si>
  <si>
    <t>ZFIN_Update_l231_class_data</t>
  </si>
  <si>
    <t>R4E_F331_F342_ES_ACN531403_CC_1609</t>
  </si>
  <si>
    <t>R4E_F331_F342_ES_ACN557482_CC_1609</t>
  </si>
  <si>
    <t>VERIFY FINP CR 2365446</t>
  </si>
  <si>
    <t>VERIFY FINP CR 2365534</t>
  </si>
  <si>
    <t>Retire at client level</t>
  </si>
  <si>
    <t>VERIFY ZFIN CR 2363533</t>
  </si>
  <si>
    <t>VERIFY ZFIN CR 2363538</t>
  </si>
  <si>
    <t>VERIFY ZFIN CR 2362881</t>
  </si>
  <si>
    <t>Retire at client level_900007054</t>
  </si>
  <si>
    <t>Create FINP TE-BR NMRMC0168125</t>
  </si>
  <si>
    <t>Retire_CR 900007083</t>
  </si>
  <si>
    <t>Retire at client level_900007083</t>
  </si>
  <si>
    <t>MP2C - P1S Output maintenance</t>
  </si>
  <si>
    <t>Main CR 2371232 Follow Up 1</t>
  </si>
  <si>
    <t>A514 Move DP code to status 70 per CA-271996</t>
  </si>
  <si>
    <t>A513: OCV MMAEX Pre-Use Add AFS1 SLOC</t>
  </si>
  <si>
    <t>A501/A511 Update sales text</t>
  </si>
  <si>
    <t>Remove Inspection Setup (Ref:INC1669021)</t>
  </si>
  <si>
    <t>Change Rounding Value, Max &amp; Costing Lot Size</t>
  </si>
  <si>
    <t>A514 Update Routing for Herceptin Recipe</t>
  </si>
  <si>
    <t>M731 and L931_557333_Alt5_Phesgo</t>
  </si>
  <si>
    <t>TECENTRIQ 1200MG-20ML_Change</t>
  </si>
  <si>
    <t>For Q1S: A515 Update PISHPAR Table</t>
  </si>
  <si>
    <t>Q1S A515 Update OpRegen PISHPAR</t>
  </si>
  <si>
    <t>China MAKE Changes</t>
  </si>
  <si>
    <t>PPM Extension to Plant A411</t>
  </si>
  <si>
    <t>Update Product Hierarchy for FR ZFGC</t>
  </si>
  <si>
    <t>F111 11029699 DS Deviation Changes</t>
  </si>
  <si>
    <t>Update Table Ref CR  100004528</t>
  </si>
  <si>
    <t>Remove Mtl Default TRIC  INC16737098</t>
  </si>
  <si>
    <t>PZ Update Lot size 10223038 Filter</t>
  </si>
  <si>
    <t>PZ Update Safety Stock Filter 11037815</t>
  </si>
  <si>
    <t>PZ Update Business Scenario TMP</t>
  </si>
  <si>
    <t>MH_10248581_ZPAK_MRP type (VI)</t>
  </si>
  <si>
    <t>MH_10219314_ZPAK_MRP type (VI)</t>
  </si>
  <si>
    <t>AFF_ZFIN_Update_P30_Plant 2673 PIRprice &amp; Costing</t>
  </si>
  <si>
    <t>A513 Hemlibra Remove BOM demand 11038959</t>
  </si>
  <si>
    <t>F111 11030909 BOM Update</t>
  </si>
  <si>
    <t>M731_Alt 1_541004-541005_Columvi</t>
  </si>
  <si>
    <t>M731_557333_Alt5_Phesgo</t>
  </si>
  <si>
    <t>Mass update costing lot size</t>
  </si>
  <si>
    <t>MNH Creation IM Materials</t>
  </si>
  <si>
    <t>A513: XOL Harv/Perjeta SC Refilt Updates</t>
  </si>
  <si>
    <t>Update BOM Component for 11023688</t>
  </si>
  <si>
    <t>RUSH A511 Update DPI FZD4 CSC DNSM</t>
  </si>
  <si>
    <t>A514 Phase out DP code per CA-271996</t>
  </si>
  <si>
    <t>Update inspection type per REF-0303478</t>
  </si>
  <si>
    <t>Retire at A411_CR 900007010</t>
  </si>
  <si>
    <t>AFF_ZFIN_Update_P30_Description EL</t>
  </si>
  <si>
    <t>Update Roche Number to mtls  QE-191294</t>
  </si>
  <si>
    <t>VERIFY ZFIN CR2383680</t>
  </si>
  <si>
    <t>A514 Activate ZFIN 11010945 QE-127787</t>
  </si>
  <si>
    <t>Main CR 2391989 Follow Up 1</t>
  </si>
  <si>
    <t>M731_555027_Ocrevus 920 Change</t>
  </si>
  <si>
    <t>A511 Recipe Load C3bBb</t>
  </si>
  <si>
    <t>A514 Thaw Cycle Update</t>
  </si>
  <si>
    <t>Change Lot Size &amp; BOM Comp. Qty</t>
  </si>
  <si>
    <t>MH_10252703_ZSEM_ELV</t>
  </si>
  <si>
    <t>ML39823 Tecentriq semi product code</t>
  </si>
  <si>
    <t>A513 Hemlibra Update 11038598/9288/8532</t>
  </si>
  <si>
    <t>Main CR 2383766 Follow Up 1</t>
  </si>
  <si>
    <t>Gross &amp; Net Weight CR 900007078</t>
  </si>
  <si>
    <t>VERIFY FINP CR 2388100</t>
  </si>
  <si>
    <t>Update J231 plant status</t>
  </si>
  <si>
    <t>VERIFY FINP CR 2383559</t>
  </si>
  <si>
    <t>TMP Updates</t>
  </si>
  <si>
    <t>VERIFY FINP CR 2388423</t>
  </si>
  <si>
    <t>VERIFY FINP CR 2390972</t>
  </si>
  <si>
    <t>VERIFY FINP CR 2383761</t>
  </si>
  <si>
    <t>VERIFY FINP CR 2390973</t>
  </si>
  <si>
    <t>Update material status to 40</t>
  </si>
  <si>
    <t>YMFL002</t>
  </si>
  <si>
    <t>M731_551084_Alt1_Evrysdi_0.75</t>
  </si>
  <si>
    <t>A513 Perjeta Harvest Process 10245500</t>
  </si>
  <si>
    <t>A513 POLATUZUMA Harvest Process 10231918</t>
  </si>
  <si>
    <t>Change BOM Comp. Qty</t>
  </si>
  <si>
    <t>A514 Extend 11048298 to Plant A514</t>
  </si>
  <si>
    <t>Remove Mtl Default TRIC INC16737098</t>
  </si>
  <si>
    <t>L931_556162_Kadcyla100MG_CHANGE</t>
  </si>
  <si>
    <t>Update recipe status to 4</t>
  </si>
  <si>
    <t>Update Roche Number to mtls QE-191294</t>
  </si>
  <si>
    <t>Activate new xStep versions</t>
  </si>
  <si>
    <t>P95</t>
  </si>
  <si>
    <t>missing loading group</t>
  </si>
  <si>
    <t>Update F531 plant status</t>
  </si>
  <si>
    <t>Update C031 plant status</t>
  </si>
  <si>
    <t>CHANGE STATUT</t>
  </si>
  <si>
    <t>Inspection Setup-Inspection Type Y04_01</t>
  </si>
  <si>
    <t>VERIFY FINP CR 2387619</t>
  </si>
  <si>
    <t>VERIFY FINP CR 2387356</t>
  </si>
  <si>
    <t>VERIFY FINP CR 2387331</t>
  </si>
  <si>
    <t>VERIFY FINP CR 2387228</t>
  </si>
  <si>
    <t>Update inspection type for Plant A511</t>
  </si>
  <si>
    <t>Update Inspection Type for A511</t>
  </si>
  <si>
    <t>Updated shelf life per QE-192725 (CA-285766)</t>
  </si>
  <si>
    <t>Update J331 DE descripton</t>
  </si>
  <si>
    <t>Update J331 DE description</t>
  </si>
  <si>
    <t>Unit of Measure, Minimum Lot Size &amp; Rounding Value change</t>
  </si>
  <si>
    <t>PZ Update AUOM 11047482 300 mM Na_Ac, 200 mM Na_Su, pH 5.50</t>
  </si>
  <si>
    <t>PZ Update AUOM 11047464 29 mM His_Acetat, pH 5.35 +/-0.10</t>
  </si>
  <si>
    <t>PZ Update AUOM 11047437 20mMHis_Ac,1.6MSuc,250mMMe,0.6%P8,pH</t>
  </si>
  <si>
    <t>PZ Update AUOM 11047505 20mMHis_Ac,160mMSu,25mMMe,0.06%P8,pH</t>
  </si>
  <si>
    <t>Main CR 2411129 Follow Up 1</t>
  </si>
  <si>
    <t>VERIFY ZFIN CR 2366152</t>
  </si>
  <si>
    <t>VERIFY ZFIN CR 2366149</t>
  </si>
  <si>
    <t>Main CR 2384374 Follow Up 1</t>
  </si>
  <si>
    <t>Main CR 2391024 Follow Up 1</t>
  </si>
  <si>
    <t>R4E_J231_NL_ACN556894_CC_1282</t>
  </si>
  <si>
    <t>R4E_J231_NL_ACN556893_CC_1282</t>
  </si>
  <si>
    <t>R4E_J231_NL_ACN556898_CC_1282</t>
  </si>
  <si>
    <t>R4E_J231_NL_ACN556908_CC_1282</t>
  </si>
  <si>
    <t>R4E_J231_NL_ACN556892_CC_1282</t>
  </si>
  <si>
    <t>R4E_J231_NL_ACN556896_CC_1282</t>
  </si>
  <si>
    <t>R4E_J231_NL_ACN556895_CC_1282</t>
  </si>
  <si>
    <t>CR900007146 QE-191858</t>
  </si>
  <si>
    <t>MH ZSEM 11026961 Change of Costing PV</t>
  </si>
  <si>
    <t>A511 Activate DPI MTGF CSC DNSM</t>
  </si>
  <si>
    <t>Main CR 2411201 Follow Up 1</t>
  </si>
  <si>
    <t>Main CR 2395318 Follow Up 1</t>
  </si>
  <si>
    <t>10188657 (ZPAK Shipping Box) Update Rounding Value</t>
  </si>
  <si>
    <t>Adjust sales text</t>
  </si>
  <si>
    <t>A513 Execution 50 11033213 BFVT6654A Prep/Freeze Ampoules MC</t>
  </si>
  <si>
    <t>A513 Execution 50 11037811 MPCD1138A Prep/Freeze Cryobags WC</t>
  </si>
  <si>
    <t>A513 Execution 50 11036862 T183 CD20 TCB Prep/FreezeAmpoules</t>
  </si>
  <si>
    <t>A513 Execution 50 11043129 FZD4-LRP6 TsAb Prep Frze Amples M</t>
  </si>
  <si>
    <t>A513 Execution 50 11042416 VA2IL6 RO7840534 PrepFrzeAmples M</t>
  </si>
  <si>
    <t>A513 Execution 50 11035533 MCDV2402A Prep/Freeze Ampoules MC</t>
  </si>
  <si>
    <t>A513 Execution 50 11039446 CD19 TCB RO7871996 PrepFrzeAmples</t>
  </si>
  <si>
    <t>A513 Execution 50 11043437 Anti-TGFB2 Prep Freeze Ampoules M</t>
  </si>
  <si>
    <t>Plant Extension Turkey P30 Plant 1400</t>
  </si>
  <si>
    <t>A513 Execution 50 11027245 BCDB5859A Prep Freeze Ampoules</t>
  </si>
  <si>
    <t>Change SS/SD</t>
  </si>
  <si>
    <t>A511 Update DPI MTGF CSC DNSM</t>
  </si>
  <si>
    <t>TMP updates</t>
  </si>
  <si>
    <t>Main CR 2413963 Follow Up 1</t>
  </si>
  <si>
    <t>VERIFY FINP CR 2420944</t>
  </si>
  <si>
    <t>PZ Update Dispo Data Filter 10107013</t>
  </si>
  <si>
    <t>VERIFY FINP CR 2420123</t>
  </si>
  <si>
    <t>Reactivate Material as per PCM</t>
  </si>
  <si>
    <t>Create FINP NL NMRMC0168212</t>
  </si>
  <si>
    <t>VERIFY ZFIN CR 2418111</t>
  </si>
  <si>
    <t>VERIFY ZFIN CR 2418086</t>
  </si>
  <si>
    <t>Main CR 2417999 Follow Up 1</t>
  </si>
  <si>
    <t>R4E_L231_PL_ACN542262_CC_1291</t>
  </si>
  <si>
    <t>R4E_J331_AT_ACN551587_CC_1283</t>
  </si>
  <si>
    <t>R4E_J331_AT_ACN543221_CC_1283</t>
  </si>
  <si>
    <t>R4E_J331_AT_ACN543223_CC_1283</t>
  </si>
  <si>
    <t>update Transferprice in PIR</t>
  </si>
  <si>
    <t>Costing material 11044959</t>
  </si>
  <si>
    <t>R4E_M731_CR_ACN556001_CC_2647</t>
  </si>
  <si>
    <t>A513 Execution 50 11025437 FLRP1383A Prep and FreezeAmpoules</t>
  </si>
  <si>
    <t>A513 Execution 50 11035099 MTOM5920A Prep/Freeze Ampoules MC</t>
  </si>
  <si>
    <t>Update PPMs to RF</t>
  </si>
  <si>
    <t>A513 Polatuzmab Harvest BOM 10231918</t>
  </si>
  <si>
    <t>M731_551084_Alt1_Evrysdi_0.75_change</t>
  </si>
  <si>
    <t>Change Lot Size to 32.12 KG</t>
  </si>
  <si>
    <t>Update FIN/ZFGC Company Usage INC16836182</t>
  </si>
  <si>
    <t>PZ Change Sales Text</t>
  </si>
  <si>
    <t>R4E_N831_SI_ACN551251_CC_1393</t>
  </si>
  <si>
    <t>R4E_L931_PA_ZPAK_CC_2648</t>
  </si>
  <si>
    <t>R4E_M731_CR_ZPAK_CC_2647</t>
  </si>
  <si>
    <t>Main CR 2426957 Follow Up 1</t>
  </si>
  <si>
    <t>Main CR 2427305 Follow Up 1</t>
  </si>
  <si>
    <t>Main CR 2427341 Follow Up 1</t>
  </si>
  <si>
    <t>R4E_R331_MA_ACN554590_CC_1611</t>
  </si>
  <si>
    <t>Main CR 2421038 Follow Up 1</t>
  </si>
  <si>
    <t>R4E_A931_DE_ACN557115_CC_1298</t>
  </si>
  <si>
    <t>R4E_J431_SE_ACN548780_CC_1703</t>
  </si>
  <si>
    <t>R4E_F431_BE_ACN557428_CC_1610</t>
  </si>
  <si>
    <t>R4E_F431_BE_ACN557429_CC_1610</t>
  </si>
  <si>
    <t>4 Eyes &amp; Update Material Status_P30_Plant 1001</t>
  </si>
  <si>
    <t>R4E_F531_PT_ACN552972_CC_1698</t>
  </si>
  <si>
    <t>Initiate WF2 M731 &amp; l931_CR_100005967</t>
  </si>
  <si>
    <t>Change Base Qty &amp; BOM Comp. Qty</t>
  </si>
  <si>
    <t xml:space="preserve">R50 </t>
  </si>
  <si>
    <t>100005997</t>
  </si>
  <si>
    <t>ELEVIDYS HK MATERIAL UPDATES</t>
  </si>
  <si>
    <t>M731/ L931_556046_Alt1_Itovebi3</t>
  </si>
  <si>
    <t>Update SCCO to DP for L541 decentral</t>
  </si>
  <si>
    <t>Change Lot Size to 42</t>
  </si>
  <si>
    <t>A514 Update Sales Text</t>
  </si>
  <si>
    <t>PZ Update Safety Stock Filter 10203356</t>
  </si>
  <si>
    <t>Create SL for active mtls with PIR_1001</t>
  </si>
  <si>
    <t>A515_Desc Update_QE-186404</t>
  </si>
  <si>
    <t>change status to 50 L931</t>
  </si>
  <si>
    <t>Main CR 2427875 Follow Up 1</t>
  </si>
  <si>
    <t>Main CR 2427861 Follow Up 1</t>
  </si>
  <si>
    <t>Main CR 2427804 Follow Up 1</t>
  </si>
  <si>
    <t>change status M731 - 11045935</t>
  </si>
  <si>
    <t>R4E_L931_CR_ACN556051_CC_2648</t>
  </si>
  <si>
    <t>YMMCR01</t>
  </si>
  <si>
    <t>R4E_M731_CR_ACN556051_CC_2647</t>
  </si>
  <si>
    <t>Alecensa_556001_M731andL931_Create</t>
  </si>
  <si>
    <t>A517 Status UPdate to 11048745</t>
  </si>
  <si>
    <t>R4E_M731_ACN541004,541005_CR_CC 2647</t>
  </si>
  <si>
    <t>A513: MRA G6 MES CR_8300 Batch Size Update</t>
  </si>
  <si>
    <t>MH 10219327 ZPAK Anpassung MRP Group</t>
  </si>
  <si>
    <t>PZ Update ABC Indicator  10191368</t>
  </si>
  <si>
    <t>CMO_ZSEM_Update GMP_P30_Plant 1001 - TSL per Valdam</t>
  </si>
  <si>
    <t>R4E_J631_NO_ACN557716_CC_1710</t>
  </si>
  <si>
    <t>R4E_A931_DE_ACN556040_CC_1298</t>
  </si>
  <si>
    <t>R4E_A931_DE_ACN556041_CC_1298</t>
  </si>
  <si>
    <t>LATAM EXEC READY 1341</t>
  </si>
  <si>
    <t>Main CR 2417181 Follow Up 1</t>
  </si>
  <si>
    <t>YMMER01</t>
  </si>
  <si>
    <t>ACT-165075 - Update QBS Responsible Plan</t>
  </si>
  <si>
    <t>Ticket RITM6202524 for CWP</t>
  </si>
  <si>
    <t>M731_547600_Alt3_Roaccutan20mg,change</t>
  </si>
  <si>
    <t>M731_547597_Alt3_Roaccutan10mg,change</t>
  </si>
  <si>
    <t xml:space="preserve"> Change BOM Component Qty</t>
  </si>
  <si>
    <t>A513: MRA G6 BOM Updates MES CR_8300</t>
  </si>
  <si>
    <t>A511 A517 ZNVL Material Freight Update 12059966</t>
  </si>
  <si>
    <t>A511 A517 ZNVL Material Freight Update</t>
  </si>
  <si>
    <t>A511/A517 ZNVL Material Freight Group Update</t>
  </si>
  <si>
    <t>A511 A517 material freight update 12059978</t>
  </si>
  <si>
    <t>A511 A517 Material Freight update 12059981</t>
  </si>
  <si>
    <t>A511 A517 Material Freght Update 12059970</t>
  </si>
  <si>
    <t>A511 A517 Material Freght Update 12059971</t>
  </si>
  <si>
    <t>A511 A517 Material Freight update 12059728</t>
  </si>
  <si>
    <t>A511 A517 Material Freight update 12059996</t>
  </si>
  <si>
    <t>R4E_J231_NL_ACN556896_CC_1282_CR_2414403</t>
  </si>
  <si>
    <t>Update 10 Material Master-F6</t>
  </si>
  <si>
    <t>QE-189699 Change PCY, UMREN, UMREZ</t>
  </si>
  <si>
    <t>Request for 10 New Material Numbers</t>
  </si>
  <si>
    <t>Create 2 New Material Number-HerSC v2.0</t>
  </si>
  <si>
    <t>11027410 -Update Material Master</t>
  </si>
  <si>
    <t>Main CR 2435935 Follow Up 1</t>
  </si>
  <si>
    <t>Insp lot summary to 1-Y1704_01 M731</t>
  </si>
  <si>
    <t>Main CR 2436437 Follow Up 1</t>
  </si>
  <si>
    <t>CR900007239 WF2 M731 Redress</t>
  </si>
  <si>
    <t>552206_KADCYLA_PA_ALT5_CHANGE</t>
  </si>
  <si>
    <t>Update usage probablity</t>
  </si>
  <si>
    <t>Change Resource, BOM &amp; BOM Comp Qty</t>
  </si>
  <si>
    <t>YMUX033</t>
  </si>
  <si>
    <t>Change Lot Size</t>
  </si>
  <si>
    <t>PZ Update Safety Stock 10070005 ABTS substrate</t>
  </si>
  <si>
    <t>PZ Update Safety Time 10116858 Feed-Single-Use-Bag,20L,steri</t>
  </si>
  <si>
    <t>PZ Update Safety Stock 10108004 L-Alanine</t>
  </si>
  <si>
    <t>R4E_M731_ZPAK_CR_Status 50</t>
  </si>
  <si>
    <t>Main CR 2438556 Follow Up 1</t>
  </si>
  <si>
    <t>PZ Change of Goods Receipt Processing Time</t>
  </si>
  <si>
    <t>update purchasing values CA-290382</t>
  </si>
  <si>
    <t>Batch managed MRO materials</t>
  </si>
  <si>
    <t>DIR updates</t>
  </si>
  <si>
    <t>CR_900007308_WF2_M731_Redress</t>
  </si>
  <si>
    <t>CR_900007308_WF2_L931_Redress</t>
  </si>
  <si>
    <t>PZ Update Safety Time &amp; Safety Stock 10116856 Feed-Single-Us</t>
  </si>
  <si>
    <t>Change Lot Size, Ops Qty &amp; duration</t>
  </si>
  <si>
    <t>A513: Add Stax Manifold to BOMs</t>
  </si>
  <si>
    <t>Initiate WF2 M731 reference CR 100006022</t>
  </si>
  <si>
    <t>P1S X-Plant Status 50</t>
  </si>
  <si>
    <t>For A511 update AID</t>
  </si>
  <si>
    <t>CR900007295 WF2 L931 Redress</t>
  </si>
  <si>
    <t>Main CR 2438685 Follow Up 1</t>
  </si>
  <si>
    <t>CR900007331 WF2 M731 Redress</t>
  </si>
  <si>
    <t>Execution ready updates LATAM plant 1362</t>
  </si>
  <si>
    <t>Retire Elevidys PPMs</t>
  </si>
  <si>
    <t>Update PIR in P30</t>
  </si>
  <si>
    <t>A412_Update DISLS</t>
  </si>
  <si>
    <t>Mass update MRP Group / Safety Time LPAB</t>
  </si>
  <si>
    <t>Change MRP view M731</t>
  </si>
  <si>
    <t>DM - PDT and PTF udpates</t>
  </si>
  <si>
    <t>PZ Add missing Busin. Scenario Templates</t>
  </si>
  <si>
    <t>A514 Activate new Poly PV QE-191433</t>
  </si>
  <si>
    <t>PZ Update Safety Stock 11021864 CITRIC ACID 50% SOL 600 L</t>
  </si>
  <si>
    <t>PZ Update Safety Stock 11025205 Potassium Carbonate anhydro</t>
  </si>
  <si>
    <t>PZ Update safety Stock 10194654 L-GLUTAMIC ACID, PH EUR,JP</t>
  </si>
  <si>
    <t>Main CR 2438958 Follow Up 1</t>
  </si>
  <si>
    <t>Main CR 2439005 Follow Up 1</t>
  </si>
  <si>
    <t xml:space="preserve">Main CR 2439053 Follow Up </t>
  </si>
  <si>
    <t>Main CR 2439075 Follow Up 1</t>
  </si>
  <si>
    <t>Main CR 2439117 Follow Up 1</t>
  </si>
  <si>
    <t>Main CR 2439235 Follow Up 1</t>
  </si>
  <si>
    <t>CR900007239 WF2 L931 Redress</t>
  </si>
  <si>
    <t>Main CR 2436570 Follow Up 1</t>
  </si>
  <si>
    <t>Main CR 2436569 Follow Up 1</t>
  </si>
  <si>
    <t>Main CR 2436706 Follow Up 1</t>
  </si>
  <si>
    <t>Main CR 2436609 Follow Up 1</t>
  </si>
  <si>
    <t>Main CR 2436639 Follow Up 1</t>
  </si>
  <si>
    <t>Main CR 2436669 Follow Up 1</t>
  </si>
  <si>
    <t>Main CR 2436586 Follow Up 1</t>
  </si>
  <si>
    <t>A511 Activate ZINT FZD4 CPMF</t>
  </si>
  <si>
    <t>Main CR 2432787 Follow Up 1</t>
  </si>
  <si>
    <t>please assign TRM41223 to 11035957</t>
  </si>
  <si>
    <t>A511 Update DPI MM CPMF</t>
  </si>
  <si>
    <t>A511 Recipe Activation FZD4 Diluent</t>
  </si>
  <si>
    <t>M731_557332_Alt6_Phesgo600-600mg</t>
  </si>
  <si>
    <t>L931_557332_Alt6_Phesgo600mg.create</t>
  </si>
  <si>
    <t>create a new local code - Rec M731</t>
  </si>
  <si>
    <t>557164_KADCYLA 160MG_ALT6_CHANGE</t>
  </si>
  <si>
    <t>K711_11035769 MR validation_20260421</t>
  </si>
  <si>
    <t>H31</t>
  </si>
  <si>
    <t>M731_552424_Alt4_Actemra200mg.create</t>
  </si>
  <si>
    <t>L931_552424_Alt4_Actemra200mg.create</t>
  </si>
  <si>
    <t>PZ: Change Safety Stock for 11037963</t>
  </si>
  <si>
    <t>MH_11029104_CAP 13 OV Aqua UK, QE-129141</t>
  </si>
  <si>
    <t>MH_MH_11048600_plant A411 missing</t>
  </si>
  <si>
    <t>MH_11048538_missing plant A411</t>
  </si>
  <si>
    <t>MH_11048630_ZPAK_TCN_missing plant A411</t>
  </si>
  <si>
    <t>MH_11048620_TCN_missing plant A411</t>
  </si>
  <si>
    <t>MH_11048621_TCN_missing plant A411</t>
  </si>
  <si>
    <t>Change status to 50 L931</t>
  </si>
  <si>
    <t>Set up MRP planning parameters for new code of Columvi 2.5mg</t>
  </si>
  <si>
    <t>PZ Update Materialstatus 11028393 Clinical Generic DSP Plasm</t>
  </si>
  <si>
    <t>GR Process LT adjustment for HSC V2.0 new code</t>
  </si>
  <si>
    <t>DM - NA Plants - Update SS 10178636 A513</t>
  </si>
  <si>
    <t>Change in minimum lot size</t>
  </si>
  <si>
    <t>Retirement as per CR900007320</t>
  </si>
  <si>
    <t>Retire at K711_CR 900007320</t>
  </si>
  <si>
    <t>LATAM exec ready 1362</t>
  </si>
  <si>
    <t>A511 Activate ZAPI FZD4 CPMF</t>
  </si>
  <si>
    <t>ZRAW_Update Xplant status_p30</t>
  </si>
  <si>
    <t>A511 Activate ZSEC FZD4 CPMF</t>
  </si>
  <si>
    <t>A511 Activate ZSEC MTGF9221A CPMF</t>
  </si>
  <si>
    <t>A511 Activate ZBUL FZD4 CPMF</t>
  </si>
  <si>
    <t>Main CR 2388003 Follow Up 1</t>
  </si>
  <si>
    <t>Update the MRP Grp for IM#10333 at plt A511</t>
  </si>
  <si>
    <t>R4E_F531_PT_ACN553966_CC_1698</t>
  </si>
  <si>
    <t>R4E_I731_ACN 557196_NZ</t>
  </si>
  <si>
    <t>A511 Activate ZINT MTGF9221A CPMF</t>
  </si>
  <si>
    <t>N831 Price Update &amp; Costing ticket</t>
  </si>
  <si>
    <t>Transfer price updates</t>
  </si>
  <si>
    <t>Retire material at A511 as per CA-280915</t>
  </si>
  <si>
    <t>Maintain CC indicator in PEN</t>
  </si>
  <si>
    <t>A511 Multi VEGF IL6 REcipe Update</t>
  </si>
  <si>
    <t>A513 PERTUZUMAB SC Formulation Hours</t>
  </si>
  <si>
    <t>Mar-2026</t>
  </si>
  <si>
    <t>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</si>
</sst>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009]d/mmm/yy;@"/>
    <numFmt numFmtId="165" formatCode="[$-409]d/mmm/yyyy;@"/>
  </numFmts>
  <fonts count="10" x14ac:knownFonts="1">
    <font>
      <sz val="11"/>
      <color theme="1"/>
      <name val="Roche Sans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22"/>
      <color theme="1"/>
      <name val="Roche Sans"/>
      <family val="2"/>
    </font>
    <font>
      <sz val="8"/>
      <name val="Roche Sans"/>
      <family val="2"/>
    </font>
    <font>
      <sz val="39"/>
      <color theme="1"/>
      <name val="Roche Sans"/>
      <family val="2"/>
    </font>
    <font>
      <b/>
      <sz val="39"/>
      <color theme="0"/>
      <name val="Roche Sans"/>
      <family val="2"/>
    </font>
    <font>
      <b/>
      <sz val="20"/>
      <color theme="1"/>
      <name val="Gill Sans Nova"/>
      <family val="2"/>
    </font>
    <font>
      <b/>
      <sz val="24"/>
      <color theme="1"/>
      <name val="Gill Sans Nova"/>
      <family val="2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A47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E350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4" borderId="1" xfId="0" applyFill="1" applyBorder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indent="2"/>
    </xf>
    <xf numFmtId="17" fontId="0" fillId="0" borderId="0" xfId="0" applyNumberFormat="1"/>
    <xf numFmtId="49" fontId="0" fillId="0" borderId="0" xfId="0" applyNumberFormat="1" applyAlignment="1">
      <alignment horizontal="left" vertical="top"/>
    </xf>
    <xf numFmtId="0" fontId="2" fillId="2" borderId="2" xfId="0" applyFont="1" applyFill="1" applyBorder="1" applyAlignment="1">
      <alignment vertical="top"/>
    </xf>
    <xf numFmtId="1" fontId="0" fillId="0" borderId="0" xfId="0" applyNumberFormat="1"/>
    <xf numFmtId="0" fontId="0" fillId="6" borderId="0" xfId="0" applyFill="1"/>
    <xf numFmtId="0" fontId="0" fillId="7" borderId="0" xfId="0" applyFill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 indent="1"/>
    </xf>
    <xf numFmtId="0" fontId="0" fillId="0" borderId="0" xfId="0" quotePrefix="1" applyAlignment="1">
      <alignment horizontal="left"/>
    </xf>
    <xf numFmtId="0" fontId="8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Normal 2" xfId="1" xr:uid="{98A686A9-16CC-447D-9A68-997550766B8E}"/>
  </cellStyles>
  <dxfs count="16">
    <dxf>
      <numFmt numFmtId="165" formatCode="[$-409]d/mmm/yyyy;@"/>
    </dxf>
    <dxf>
      <numFmt numFmtId="164" formatCode="[$-1009]d/mmm/yy;@"/>
    </dxf>
    <dxf>
      <numFmt numFmtId="165" formatCode="[$-409]d/mmm/yyyy;@"/>
    </dxf>
    <dxf>
      <numFmt numFmtId="164" formatCode="[$-1009]d/mmm/yy;@"/>
    </dxf>
    <dxf>
      <numFmt numFmtId="164" formatCode="[$-1009]d/mmm/yy;@"/>
    </dxf>
    <dxf>
      <numFmt numFmtId="165" formatCode="[$-409]d/mmm/yyyy;@"/>
    </dxf>
    <dxf>
      <numFmt numFmtId="164" formatCode="[$-1009]d/mmm/yy;@"/>
    </dxf>
    <dxf>
      <numFmt numFmtId="165" formatCode="[$-409]d/mmm/yyyy;@"/>
    </dxf>
    <dxf>
      <numFmt numFmtId="164" formatCode="[$-1009]d/mmm/yy;@"/>
    </dxf>
    <dxf>
      <numFmt numFmtId="165" formatCode="[$-409]d/mmm/yyyy;@"/>
    </dxf>
    <dxf>
      <numFmt numFmtId="164" formatCode="[$-1009]d/mmm/yy;@"/>
    </dxf>
    <dxf>
      <numFmt numFmtId="165" formatCode="[$-409]d/mmm/yyyy;@"/>
    </dxf>
    <dxf>
      <font>
        <b/>
        <sz val="11"/>
        <color theme="1"/>
      </font>
    </dxf>
    <dxf>
      <fill>
        <gradientFill degree="90">
          <stop position="0">
            <color theme="3" tint="0.74901577806939912"/>
          </stop>
          <stop position="1">
            <color theme="5" tint="-0.25098422193060094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ont>
        <b/>
        <i/>
        <sz val="12"/>
      </font>
      <fill>
        <gradientFill degree="90">
          <stop position="0">
            <color rgb="FFB6E5FC"/>
          </stop>
          <stop position="1">
            <color rgb="FFF4A472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Timeline Style 1" pivot="0" table="0" count="8" xr9:uid="{36E332BC-8B15-4C29-99ED-A36179786CD3}">
      <tableStyleElement type="wholeTable" dxfId="15"/>
      <tableStyleElement type="headerRow" dxfId="14"/>
    </tableStyle>
    <tableStyle name="Timeline Style 1 2" pivot="0" table="0" count="8" xr9:uid="{96ECC5FE-B3FC-404E-9B0E-FA67EE749EF7}">
      <tableStyleElement type="wholeTable" dxfId="13"/>
      <tableStyleElement type="headerRow" dxfId="12"/>
    </tableStyle>
  </tableStyles>
  <colors>
    <mruColors>
      <color rgb="FFF4A472"/>
      <color rgb="FFF0813C"/>
      <color rgb="FFB6E5FC"/>
      <color rgb="FF96C0EE"/>
      <color rgb="FFDAE9F9"/>
      <color rgb="FFDAE9F8"/>
      <color rgb="FF7E350E"/>
      <color rgb="FF666633"/>
      <color rgb="FFF9CFB5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b/>
            <i/>
            <sz val="11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b/>
            <i/>
            <sz val="11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1 2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11/relationships/timelineCache" Target="timelineCaches/timelineCache2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3.xml"/><Relationship Id="rId12" Type="http://schemas.microsoft.com/office/2011/relationships/timelineCache" Target="timelineCaches/timelineCache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4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6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presentation tracker.xlsx]Pivot!PivotTable13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none" strike="noStrike" kern="1200" spc="0" baseline="0">
                <a:solidFill>
                  <a:schemeClr val="tx1"/>
                </a:solidFill>
                <a:effectLst>
                  <a:outerShdw blurRad="50800" dist="50800" dir="5400000" sx="90000" sy="9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chemeClr val="tx1"/>
                </a:solidFill>
                <a:effectLst>
                  <a:outerShdw blurRad="50800" dist="50800" dir="5400000" sx="90000" sy="9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rPr>
              <a:t>Total WFS Completed</a:t>
            </a:r>
          </a:p>
        </c:rich>
      </c:tx>
      <c:layout>
        <c:manualLayout>
          <c:xMode val="edge"/>
          <c:yMode val="edge"/>
          <c:x val="0.44609597534915291"/>
          <c:y val="2.9037842167999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none" strike="noStrike" kern="1200" spc="0" baseline="0">
              <a:solidFill>
                <a:schemeClr val="tx1"/>
              </a:solidFill>
              <a:effectLst>
                <a:outerShdw blurRad="50800" dist="50800" dir="5400000" sx="90000" sy="9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4290" cap="rnd">
            <a:solidFill>
              <a:srgbClr val="F4A472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34290" cap="rnd">
            <a:solidFill>
              <a:srgbClr val="F4A472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290" cap="rnd">
            <a:solidFill>
              <a:srgbClr val="F4A472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Pivot!$U$3</c:f>
              <c:strCache>
                <c:ptCount val="1"/>
                <c:pt idx="0">
                  <c:v>Total</c:v>
                </c:pt>
              </c:strCache>
            </c:strRef>
          </c:tx>
          <c:spPr>
            <a:ln w="34290" cap="rnd">
              <a:solidFill>
                <a:srgbClr val="F4A47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Pivot!$T$4:$T$24</c:f>
              <c:multiLvlStrCache>
                <c:ptCount val="17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Pivot!$U$4:$U$24</c:f>
              <c:numCache>
                <c:formatCode>General</c:formatCode>
                <c:ptCount val="17"/>
                <c:pt idx="0">
                  <c:v>10</c:v>
                </c:pt>
                <c:pt idx="1">
                  <c:v>42</c:v>
                </c:pt>
                <c:pt idx="2">
                  <c:v>55</c:v>
                </c:pt>
                <c:pt idx="3">
                  <c:v>48</c:v>
                </c:pt>
                <c:pt idx="4">
                  <c:v>91</c:v>
                </c:pt>
                <c:pt idx="5">
                  <c:v>154</c:v>
                </c:pt>
                <c:pt idx="6">
                  <c:v>211</c:v>
                </c:pt>
                <c:pt idx="7">
                  <c:v>266</c:v>
                </c:pt>
                <c:pt idx="8">
                  <c:v>252</c:v>
                </c:pt>
                <c:pt idx="9">
                  <c:v>335</c:v>
                </c:pt>
                <c:pt idx="10">
                  <c:v>355</c:v>
                </c:pt>
                <c:pt idx="11">
                  <c:v>270</c:v>
                </c:pt>
                <c:pt idx="12">
                  <c:v>274</c:v>
                </c:pt>
                <c:pt idx="13">
                  <c:v>412</c:v>
                </c:pt>
                <c:pt idx="14">
                  <c:v>452</c:v>
                </c:pt>
                <c:pt idx="15">
                  <c:v>517</c:v>
                </c:pt>
                <c:pt idx="16">
                  <c:v>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D-4805-B426-60C296047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933104"/>
        <c:axId val="724933584"/>
      </c:lineChart>
      <c:catAx>
        <c:axId val="7249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33584"/>
        <c:crosses val="autoZero"/>
        <c:auto val="1"/>
        <c:lblAlgn val="ctr"/>
        <c:lblOffset val="100"/>
        <c:noMultiLvlLbl val="0"/>
      </c:catAx>
      <c:valAx>
        <c:axId val="72493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3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presentation tracker.xlsx]Pivot!PivotTable8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700" b="1" i="1" baseline="0">
                <a:solidFill>
                  <a:schemeClr val="tx1"/>
                </a:solidFill>
              </a:rPr>
              <a:t>MDG Process types</a:t>
            </a:r>
          </a:p>
        </c:rich>
      </c:tx>
      <c:layout>
        <c:manualLayout>
          <c:xMode val="edge"/>
          <c:yMode val="edge"/>
          <c:x val="0.33475397316856237"/>
          <c:y val="2.75567065807277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56432071745131E-2"/>
              <c:y val="-5.1756589158337592E-2"/>
            </c:manualLayout>
          </c:layout>
          <c:numFmt formatCode="General" sourceLinked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56432071745131E-2"/>
              <c:y val="-5.1756589158337592E-2"/>
            </c:manualLayout>
          </c:layout>
          <c:numFmt formatCode="General" sourceLinked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56432071745131E-2"/>
              <c:y val="-5.1756589158337592E-2"/>
            </c:manualLayout>
          </c:layout>
          <c:numFmt formatCode="General" sourceLinked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Pivot!$P$3:$P$4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DB-44E3-A1DF-4B27F8B5A0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DB-44E3-A1DF-4B27F8B5A0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DB-44E3-A1DF-4B27F8B5A0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DB-44E3-A1DF-4B27F8B5A0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DB-44E3-A1DF-4B27F8B5A0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6DB-44E3-A1DF-4B27F8B5A0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6DB-44E3-A1DF-4B27F8B5A06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6DB-44E3-A1DF-4B27F8B5A06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AF0-4B0D-B923-90B56C003434}"/>
              </c:ext>
            </c:extLst>
          </c:dPt>
          <c:dLbls>
            <c:dLbl>
              <c:idx val="3"/>
              <c:layout>
                <c:manualLayout>
                  <c:x val="-2.756432071745131E-2"/>
                  <c:y val="-5.17565891583375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DB-44E3-A1DF-4B27F8B5A062}"/>
                </c:ext>
              </c:extLst>
            </c:dLbl>
            <c:numFmt formatCode="General" sourceLinked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Pivot!$O$5:$O$14</c:f>
              <c:strCache>
                <c:ptCount val="9"/>
                <c:pt idx="0">
                  <c:v>Alpin</c:v>
                </c:pt>
                <c:pt idx="1">
                  <c:v>Customer master</c:v>
                </c:pt>
                <c:pt idx="2">
                  <c:v>Deployment</c:v>
                </c:pt>
                <c:pt idx="3">
                  <c:v>DIR update</c:v>
                </c:pt>
                <c:pt idx="4">
                  <c:v>Execution ready</c:v>
                </c:pt>
                <c:pt idx="5">
                  <c:v>LCM Verification</c:v>
                </c:pt>
                <c:pt idx="6">
                  <c:v>MM updates</c:v>
                </c:pt>
                <c:pt idx="7">
                  <c:v>Plant extension</c:v>
                </c:pt>
                <c:pt idx="8">
                  <c:v>Quality CR</c:v>
                </c:pt>
              </c:strCache>
            </c:strRef>
          </c:cat>
          <c:val>
            <c:numRef>
              <c:f>Pivot!$P$5:$P$14</c:f>
              <c:numCache>
                <c:formatCode>General</c:formatCode>
                <c:ptCount val="9"/>
                <c:pt idx="0">
                  <c:v>55</c:v>
                </c:pt>
                <c:pt idx="1">
                  <c:v>27</c:v>
                </c:pt>
                <c:pt idx="2">
                  <c:v>408</c:v>
                </c:pt>
                <c:pt idx="3">
                  <c:v>59</c:v>
                </c:pt>
                <c:pt idx="4">
                  <c:v>341</c:v>
                </c:pt>
                <c:pt idx="5">
                  <c:v>264</c:v>
                </c:pt>
                <c:pt idx="6">
                  <c:v>521</c:v>
                </c:pt>
                <c:pt idx="7">
                  <c:v>41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6DB-44E3-A1DF-4B27F8B5A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12495636763027"/>
          <c:y val="0.47832273646535045"/>
          <c:w val="0.16358803947787487"/>
          <c:h val="0.39322226707276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presentation tracker.xlsx]Pivot!PivotTable24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CA" sz="17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17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WEEKLY CRs COMPARISION</a:t>
            </a:r>
          </a:p>
        </c:rich>
      </c:tx>
      <c:layout>
        <c:manualLayout>
          <c:xMode val="edge"/>
          <c:yMode val="edge"/>
          <c:x val="0.32508563596278822"/>
          <c:y val="3.9090900507048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CA" sz="17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9129581648523166E-17"/>
              <c:y val="-3.5974959162283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581044298237119E-3"/>
              <c:y val="-4.39693945316802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5.196382990107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1.6268791174373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2.0335988967966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5.196382990107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581044298237119E-3"/>
              <c:y val="-4.39693945316802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9129581648523166E-17"/>
              <c:y val="-3.5974959162283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2.0335988967966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1.6268791174373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5.196382990107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1581044298237119E-3"/>
              <c:y val="-4.39693945316802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9129581648523166E-17"/>
              <c:y val="-3.5974959162283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2.0335988967966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1.6268791174373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4A472"/>
          </a:solidFill>
          <a:ln>
            <a:solidFill>
              <a:srgbClr val="F0813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Pivot!$AA$3:$AA$4</c:f>
              <c:strCache>
                <c:ptCount val="1"/>
                <c:pt idx="0">
                  <c:v>MDG</c:v>
                </c:pt>
              </c:strCache>
            </c:strRef>
          </c:tx>
          <c:spPr>
            <a:solidFill>
              <a:srgbClr val="F4A472"/>
            </a:solidFill>
            <a:ln>
              <a:solidFill>
                <a:srgbClr val="F0813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Pivot!$X$5:$X$12</c:f>
              <c:multiLvlStrCache>
                <c:ptCount val="6"/>
                <c:lvl>
                  <c:pt idx="0">
                    <c:v>2026-04-17</c:v>
                  </c:pt>
                  <c:pt idx="1">
                    <c:v>2026-04-20</c:v>
                  </c:pt>
                  <c:pt idx="2">
                    <c:v>2026-04-21</c:v>
                  </c:pt>
                  <c:pt idx="3">
                    <c:v>2026-04-22</c:v>
                  </c:pt>
                  <c:pt idx="4">
                    <c:v>2026-04-23</c:v>
                  </c:pt>
                  <c:pt idx="5">
                    <c:v>2026-04-24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Pivot!$AA$5:$AA$12</c:f>
              <c:numCache>
                <c:formatCode>General</c:formatCode>
                <c:ptCount val="6"/>
                <c:pt idx="0">
                  <c:v>22</c:v>
                </c:pt>
                <c:pt idx="1">
                  <c:v>21</c:v>
                </c:pt>
                <c:pt idx="2">
                  <c:v>31</c:v>
                </c:pt>
                <c:pt idx="3">
                  <c:v>31</c:v>
                </c:pt>
                <c:pt idx="4">
                  <c:v>29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80-4F28-B9E0-5F8CE6FD7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7649856"/>
        <c:axId val="1437646976"/>
      </c:barChart>
      <c:lineChart>
        <c:grouping val="stacked"/>
        <c:varyColors val="0"/>
        <c:ser>
          <c:idx val="0"/>
          <c:order val="0"/>
          <c:tx>
            <c:strRef>
              <c:f>Pivot!$Y$3:$Y$4</c:f>
              <c:strCache>
                <c:ptCount val="1"/>
                <c:pt idx="0">
                  <c:v>Make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Pivot!$X$5:$X$12</c:f>
              <c:multiLvlStrCache>
                <c:ptCount val="6"/>
                <c:lvl>
                  <c:pt idx="0">
                    <c:v>2026-04-17</c:v>
                  </c:pt>
                  <c:pt idx="1">
                    <c:v>2026-04-20</c:v>
                  </c:pt>
                  <c:pt idx="2">
                    <c:v>2026-04-21</c:v>
                  </c:pt>
                  <c:pt idx="3">
                    <c:v>2026-04-22</c:v>
                  </c:pt>
                  <c:pt idx="4">
                    <c:v>2026-04-23</c:v>
                  </c:pt>
                  <c:pt idx="5">
                    <c:v>2026-04-24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Pivot!$Y$5:$Y$12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0-4F28-B9E0-5F8CE6FD7F7D}"/>
            </c:ext>
          </c:extLst>
        </c:ser>
        <c:ser>
          <c:idx val="1"/>
          <c:order val="1"/>
          <c:tx>
            <c:strRef>
              <c:f>Pivot!$Z$3:$Z$4</c:f>
              <c:strCache>
                <c:ptCount val="1"/>
                <c:pt idx="0">
                  <c:v>Mass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Pivot!$X$5:$X$12</c:f>
              <c:multiLvlStrCache>
                <c:ptCount val="6"/>
                <c:lvl>
                  <c:pt idx="0">
                    <c:v>2026-04-17</c:v>
                  </c:pt>
                  <c:pt idx="1">
                    <c:v>2026-04-20</c:v>
                  </c:pt>
                  <c:pt idx="2">
                    <c:v>2026-04-21</c:v>
                  </c:pt>
                  <c:pt idx="3">
                    <c:v>2026-04-22</c:v>
                  </c:pt>
                  <c:pt idx="4">
                    <c:v>2026-04-23</c:v>
                  </c:pt>
                  <c:pt idx="5">
                    <c:v>2026-04-24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Pivot!$Z$5:$Z$12</c:f>
              <c:numCache>
                <c:formatCode>General</c:formatCode>
                <c:ptCount val="6"/>
                <c:pt idx="1">
                  <c:v>2</c:v>
                </c:pt>
                <c:pt idx="2">
                  <c:v>8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0-4F28-B9E0-5F8CE6FD7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649856"/>
        <c:axId val="1437646976"/>
      </c:lineChart>
      <c:valAx>
        <c:axId val="14376469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649856"/>
        <c:crosses val="max"/>
        <c:crossBetween val="between"/>
      </c:valAx>
      <c:catAx>
        <c:axId val="143764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646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presentation tracker.xlsx]Pivot!PivotTable19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7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7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Weekly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7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A47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A47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Pivot!$L$4:$L$10</c:f>
              <c:strCache>
                <c:ptCount val="6"/>
                <c:pt idx="0">
                  <c:v>2026-04-17</c:v>
                </c:pt>
                <c:pt idx="1">
                  <c:v>2026-04-20</c:v>
                </c:pt>
                <c:pt idx="2">
                  <c:v>2026-04-21</c:v>
                </c:pt>
                <c:pt idx="3">
                  <c:v>2026-04-22</c:v>
                </c:pt>
                <c:pt idx="4">
                  <c:v>2026-04-23</c:v>
                </c:pt>
                <c:pt idx="5">
                  <c:v>2026-04-24</c:v>
                </c:pt>
              </c:strCache>
            </c:strRef>
          </c:cat>
          <c:val>
            <c:numRef>
              <c:f>Pivot!$M$4:$M$10</c:f>
              <c:numCache>
                <c:formatCode>General</c:formatCode>
                <c:ptCount val="6"/>
                <c:pt idx="0">
                  <c:v>25</c:v>
                </c:pt>
                <c:pt idx="1">
                  <c:v>25</c:v>
                </c:pt>
                <c:pt idx="2">
                  <c:v>40</c:v>
                </c:pt>
                <c:pt idx="3">
                  <c:v>43</c:v>
                </c:pt>
                <c:pt idx="4">
                  <c:v>40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4-494B-8EDF-D033062AF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256576"/>
        <c:axId val="971251776"/>
      </c:barChart>
      <c:catAx>
        <c:axId val="971256576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51776"/>
        <c:crosses val="autoZero"/>
        <c:auto val="0"/>
        <c:lblAlgn val="ctr"/>
        <c:lblOffset val="100"/>
        <c:noMultiLvlLbl val="0"/>
      </c:catAx>
      <c:valAx>
        <c:axId val="97125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presentation tracker.xlsx]Pivot!PivotTable7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1" u="none" strike="noStrike" kern="1200" spc="0" baseline="0">
                <a:solidFill>
                  <a:schemeClr val="tx1"/>
                </a:solidFill>
                <a:effectLst>
                  <a:outerShdw blurRad="50800" dist="50800" dir="5400000" sx="90000" sy="90000" algn="ctr" rotWithShape="0">
                    <a:schemeClr val="bg1"/>
                  </a:outerShdw>
                </a:effectLst>
              </a:rPr>
              <a:t>Overall CRs</a:t>
            </a:r>
          </a:p>
        </c:rich>
      </c:tx>
      <c:layout>
        <c:manualLayout>
          <c:xMode val="edge"/>
          <c:yMode val="edge"/>
          <c:x val="0.40074460396289535"/>
          <c:y val="4.52000616364476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081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Pivot!$D$3:$D$4</c:f>
              <c:strCache>
                <c:ptCount val="1"/>
                <c:pt idx="0">
                  <c:v>MDG</c:v>
                </c:pt>
              </c:strCache>
            </c:strRef>
          </c:tx>
          <c:spPr>
            <a:solidFill>
              <a:srgbClr val="F0813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Pivot!$A$5:$A$24</c:f>
              <c:multiLvlStrCache>
                <c:ptCount val="17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Pivot!$D$5:$D$24</c:f>
              <c:numCache>
                <c:formatCode>General</c:formatCode>
                <c:ptCount val="17"/>
                <c:pt idx="0">
                  <c:v>10</c:v>
                </c:pt>
                <c:pt idx="1">
                  <c:v>42</c:v>
                </c:pt>
                <c:pt idx="2">
                  <c:v>54</c:v>
                </c:pt>
                <c:pt idx="3">
                  <c:v>41</c:v>
                </c:pt>
                <c:pt idx="4">
                  <c:v>62</c:v>
                </c:pt>
                <c:pt idx="5">
                  <c:v>107</c:v>
                </c:pt>
                <c:pt idx="6">
                  <c:v>187</c:v>
                </c:pt>
                <c:pt idx="7">
                  <c:v>202</c:v>
                </c:pt>
                <c:pt idx="8">
                  <c:v>202</c:v>
                </c:pt>
                <c:pt idx="9">
                  <c:v>261</c:v>
                </c:pt>
                <c:pt idx="10">
                  <c:v>281</c:v>
                </c:pt>
                <c:pt idx="11">
                  <c:v>194</c:v>
                </c:pt>
                <c:pt idx="12">
                  <c:v>211</c:v>
                </c:pt>
                <c:pt idx="13">
                  <c:v>310</c:v>
                </c:pt>
                <c:pt idx="14">
                  <c:v>334</c:v>
                </c:pt>
                <c:pt idx="15">
                  <c:v>362</c:v>
                </c:pt>
                <c:pt idx="16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3F-4200-BD8E-704147AD3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79856"/>
        <c:axId val="15589936"/>
      </c:barChart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Make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Pivot!$A$5:$A$24</c:f>
              <c:multiLvlStrCache>
                <c:ptCount val="17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Pivot!$B$5:$B$24</c:f>
              <c:numCache>
                <c:formatCode>General</c:formatCode>
                <c:ptCount val="17"/>
                <c:pt idx="2">
                  <c:v>1</c:v>
                </c:pt>
                <c:pt idx="3">
                  <c:v>7</c:v>
                </c:pt>
                <c:pt idx="4">
                  <c:v>29</c:v>
                </c:pt>
                <c:pt idx="5">
                  <c:v>47</c:v>
                </c:pt>
                <c:pt idx="6">
                  <c:v>24</c:v>
                </c:pt>
                <c:pt idx="7">
                  <c:v>64</c:v>
                </c:pt>
                <c:pt idx="8">
                  <c:v>50</c:v>
                </c:pt>
                <c:pt idx="9">
                  <c:v>74</c:v>
                </c:pt>
                <c:pt idx="10">
                  <c:v>74</c:v>
                </c:pt>
                <c:pt idx="11">
                  <c:v>76</c:v>
                </c:pt>
                <c:pt idx="12">
                  <c:v>63</c:v>
                </c:pt>
                <c:pt idx="13">
                  <c:v>71</c:v>
                </c:pt>
                <c:pt idx="14">
                  <c:v>70</c:v>
                </c:pt>
                <c:pt idx="15">
                  <c:v>89</c:v>
                </c:pt>
                <c:pt idx="1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6F-4056-865A-3B52CFD6B0A1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Mass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A3F-4200-BD8E-704147AD3FBD}"/>
              </c:ext>
            </c:extLst>
          </c:dPt>
          <c:dLbls>
            <c:dLbl>
              <c:idx val="1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3F-4200-BD8E-704147AD3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Pivot!$A$5:$A$24</c:f>
              <c:multiLvlStrCache>
                <c:ptCount val="17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Pivot!$C$5:$C$24</c:f>
              <c:numCache>
                <c:formatCode>General</c:formatCode>
                <c:ptCount val="17"/>
                <c:pt idx="13">
                  <c:v>31</c:v>
                </c:pt>
                <c:pt idx="14">
                  <c:v>48</c:v>
                </c:pt>
                <c:pt idx="15">
                  <c:v>66</c:v>
                </c:pt>
                <c:pt idx="16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6F-4056-865A-3B52CFD6B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9856"/>
        <c:axId val="15589936"/>
      </c:lineChart>
      <c:catAx>
        <c:axId val="1557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9936"/>
        <c:crosses val="autoZero"/>
        <c:auto val="1"/>
        <c:lblAlgn val="ctr"/>
        <c:lblOffset val="100"/>
        <c:noMultiLvlLbl val="0"/>
      </c:catAx>
      <c:valAx>
        <c:axId val="1558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11205</xdr:rowOff>
    </xdr:from>
    <xdr:to>
      <xdr:col>11</xdr:col>
      <xdr:colOff>558363</xdr:colOff>
      <xdr:row>24</xdr:row>
      <xdr:rowOff>13137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78BD3A-F061-4D0E-B27E-28AB3ED06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136072</xdr:colOff>
      <xdr:row>2</xdr:row>
      <xdr:rowOff>0</xdr:rowOff>
    </xdr:from>
    <xdr:to>
      <xdr:col>31</xdr:col>
      <xdr:colOff>16329</xdr:colOff>
      <xdr:row>24</xdr:row>
      <xdr:rowOff>16328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F3203B9-272D-421F-BEB8-FE3EB25D0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242688</xdr:colOff>
      <xdr:row>24</xdr:row>
      <xdr:rowOff>184737</xdr:rowOff>
    </xdr:from>
    <xdr:to>
      <xdr:col>31</xdr:col>
      <xdr:colOff>117502</xdr:colOff>
      <xdr:row>44</xdr:row>
      <xdr:rowOff>195943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53E3D73-5295-4647-89E0-21D95116C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24</xdr:row>
      <xdr:rowOff>183932</xdr:rowOff>
    </xdr:from>
    <xdr:to>
      <xdr:col>11</xdr:col>
      <xdr:colOff>538655</xdr:colOff>
      <xdr:row>45</xdr:row>
      <xdr:rowOff>32659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2706256-8183-45CC-9E09-66AAE635A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680156</xdr:colOff>
      <xdr:row>1</xdr:row>
      <xdr:rowOff>194554</xdr:rowOff>
    </xdr:from>
    <xdr:to>
      <xdr:col>20</xdr:col>
      <xdr:colOff>671397</xdr:colOff>
      <xdr:row>23</xdr:row>
      <xdr:rowOff>174469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2883FAE-E570-4D10-87FF-A2A46B8D2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183788</xdr:colOff>
      <xdr:row>45</xdr:row>
      <xdr:rowOff>69273</xdr:rowOff>
    </xdr:from>
    <xdr:to>
      <xdr:col>11</xdr:col>
      <xdr:colOff>535781</xdr:colOff>
      <xdr:row>53</xdr:row>
      <xdr:rowOff>66024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7" name="Date completed">
              <a:extLst>
                <a:ext uri="{FF2B5EF4-FFF2-40B4-BE49-F238E27FC236}">
                  <a16:creationId xmlns:a16="http://schemas.microsoft.com/office/drawing/2014/main" id="{B3E04D49-FFE3-1981-8724-E866521CB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complet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788" y="9507682"/>
              <a:ext cx="7481311" cy="1613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103693</xdr:colOff>
      <xdr:row>45</xdr:row>
      <xdr:rowOff>59096</xdr:rowOff>
    </xdr:from>
    <xdr:to>
      <xdr:col>31</xdr:col>
      <xdr:colOff>0</xdr:colOff>
      <xdr:row>53</xdr:row>
      <xdr:rowOff>69272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8" name="Date completed 1">
              <a:extLst>
                <a:ext uri="{FF2B5EF4-FFF2-40B4-BE49-F238E27FC236}">
                  <a16:creationId xmlns:a16="http://schemas.microsoft.com/office/drawing/2014/main" id="{6CE12184-118F-A79A-1EE8-776F4115FF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complete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1238" y="9757278"/>
              <a:ext cx="6823580" cy="16727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maran, Hari Krishnan {MMSI~MISSISSAUGA}" refreshedDate="46136.679333101849" backgroundQuery="1" createdVersion="8" refreshedVersion="8" minRefreshableVersion="3" recordCount="0" supportSubquery="1" supportAdvancedDrill="1" xr:uid="{74B178AB-A2D0-4E45-AF61-F5D71AF19D5D}">
  <cacheSource type="external" connectionId="1"/>
  <cacheFields count="3">
    <cacheField name="[Measures].[Count of Change Request 2]" caption="Count of Change Request 2" numFmtId="0" hierarchy="30" level="32767"/>
    <cacheField name="[Range 1].[Date completed (Year)].[Date completed (Year)]" caption="Date completed (Year)" numFmtId="0" hierarchy="20" level="1">
      <sharedItems count="3">
        <s v="2024"/>
        <s v="2025"/>
        <s v="2026"/>
      </sharedItems>
    </cacheField>
    <cacheField name="[Range 1].[Date completed (Month)].[Date completed (Month)]" caption="Date completed (Month)" numFmtId="0" hierarchy="22" level="1">
      <sharedItems count="12">
        <s v="Dec"/>
        <s v="Jan"/>
        <s v="Feb"/>
        <s v="Mar"/>
        <s v="Apr"/>
        <s v="May"/>
        <s v="Jun"/>
        <s v="Jul"/>
        <s v="Aug"/>
        <s v="Sep"/>
        <s v="Oct"/>
        <s v="Nov"/>
      </sharedItems>
    </cacheField>
  </cacheFields>
  <cacheHierarchies count="42">
    <cacheHierarchy uniqueName="[Range].[Change Request]" caption="Change Request" attribute="1" defaultMemberUniqueName="[Range].[Change Request].[All]" allUniqueName="[Range].[Change Request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 type]" caption="CR type" attribute="1" defaultMemberUniqueName="[Range].[CR type].[All]" allUniqueName="[Range].[CR type].[All]" dimensionUniqueName="[Range]" displayFolder="" count="0" memberValueDatatype="130" unbalanced="0"/>
    <cacheHierarchy uniqueName="[Range].[Process]" caption="Process" attribute="1" defaultMemberUniqueName="[Range].[Process].[All]" allUniqueName="[Range].[Process].[All]" dimensionUniqueName="[Range]" displayFolder="" count="0" memberValueDatatype="130" unbalanced="0"/>
    <cacheHierarchy uniqueName="[Range].[WF type]" caption="WF type" attribute="1" defaultMemberUniqueName="[Range].[WF type].[All]" allUniqueName="[Range].[WF type].[All]" dimensionUniqueName="[Range]" displayFolder="" count="0" memberValueDatatype="130" unbalanced="0"/>
    <cacheHierarchy uniqueName="[Range].[Date completed]" caption="Date completed" attribute="1" time="1" defaultMemberUniqueName="[Range].[Date completed].[All]" allUniqueName="[Range].[Date completed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 completed (Year)]" caption="Date completed (Year)" attribute="1" defaultMemberUniqueName="[Range].[Date completed (Year)].[All]" allUniqueName="[Range].[Date completed (Year)].[All]" dimensionUniqueName="[Range]" displayFolder="" count="0" memberValueDatatype="130" unbalanced="0"/>
    <cacheHierarchy uniqueName="[Range].[Date completed (Quarter)]" caption="Date completed (Quarter)" attribute="1" defaultMemberUniqueName="[Range].[Date completed (Quarter)].[All]" allUniqueName="[Range].[Date completed (Quarter)].[All]" dimensionUniqueName="[Range]" displayFolder="" count="0" memberValueDatatype="130" unbalanced="0"/>
    <cacheHierarchy uniqueName="[Range].[Date completed (Month)]" caption="Date completed (Month)" attribute="1" defaultMemberUniqueName="[Range].[Date completed (Month)].[All]" allUniqueName="[Range].[Date completed (Month)].[All]" dimensionUniqueName="[Range]" displayFolder="" count="0" memberValueDatatype="130" unbalanced="0"/>
    <cacheHierarchy uniqueName="[Range 1].[Change Request]" caption="Change Request" attribute="1" defaultMemberUniqueName="[Range 1].[Change Request].[All]" allUniqueName="[Range 1].[Change Request].[All]" dimensionUniqueName="[Range 1]" displayFolder="" count="0" memberValueDatatype="130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CR type]" caption="CR type" attribute="1" defaultMemberUniqueName="[Range 1].[CR type].[All]" allUniqueName="[Range 1].[CR type].[All]" dimensionUniqueName="[Range 1]" displayFolder="" count="0" memberValueDatatype="130" unbalanced="0"/>
    <cacheHierarchy uniqueName="[Range 1].[Process]" caption="Process" attribute="1" defaultMemberUniqueName="[Range 1].[Process].[All]" allUniqueName="[Range 1].[Process].[All]" dimensionUniqueName="[Range 1]" displayFolder="" count="0" memberValueDatatype="130" unbalanced="0"/>
    <cacheHierarchy uniqueName="[Range 1].[WF type]" caption="WF type" attribute="1" defaultMemberUniqueName="[Range 1].[WF type].[All]" allUniqueName="[Range 1].[WF type].[All]" dimensionUniqueName="[Range 1]" displayFolder="" count="0" memberValueDatatype="130" unbalanced="0"/>
    <cacheHierarchy uniqueName="[Range 1].[Date completed]" caption="Date completed" attribute="1" time="1" defaultMemberUniqueName="[Range 1].[Date completed].[All]" allUniqueName="[Range 1].[Date completed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Total Month]" caption="Total Month" attribute="1" defaultMemberUniqueName="[Range 1].[Total Month].[All]" allUniqueName="[Range 1].[Total Month].[All]" dimensionUniqueName="[Range 1]" displayFolder="" count="0" memberValueDatatype="130" unbalanced="0"/>
    <cacheHierarchy uniqueName="[Range 1].[Monthly CRs]" caption="Monthly CRs" attribute="1" defaultMemberUniqueName="[Range 1].[Monthly CRs].[All]" allUniqueName="[Range 1].[Monthly CRs].[All]" dimensionUniqueName="[Range 1]" displayFolder="" count="0" memberValueDatatype="20" unbalanced="0"/>
    <cacheHierarchy uniqueName="[Range 1].[Average]" caption="Average" attribute="1" defaultMemberUniqueName="[Range 1].[Average].[All]" allUniqueName="[Range 1].[Average].[All]" dimensionUniqueName="[Range 1]" displayFolder="" count="0" memberValueDatatype="5" unbalanced="0"/>
    <cacheHierarchy uniqueName="[Range 1].[Date completed (Year)]" caption="Date completed (Year)" attribute="1" defaultMemberUniqueName="[Range 1].[Date completed (Year)].[All]" allUniqueName="[Range 1].[Date completed (Year)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Date completed (Quarter)]" caption="Date completed (Quarter)" attribute="1" defaultMemberUniqueName="[Range 1].[Date completed (Quarter)].[All]" allUniqueName="[Range 1].[Date completed (Quarter)].[All]" dimensionUniqueName="[Range 1]" displayFolder="" count="0" memberValueDatatype="130" unbalanced="0"/>
    <cacheHierarchy uniqueName="[Range 1].[Date completed (Month)]" caption="Date completed (Month)" attribute="1" defaultMemberUniqueName="[Range 1].[Date completed (Month)].[All]" allUniqueName="[Range 1].[Date completed (Month)].[All]" dimensionUniqueName="[Range 1]" displayFolder="" count="2" memberValueDatatype="130" unbalanced="0">
      <fieldsUsage count="2">
        <fieldUsage x="-1"/>
        <fieldUsage x="2"/>
      </fieldsUsage>
    </cacheHierarchy>
    <cacheHierarchy uniqueName="[Range].[Date completed (Month Index)]" caption="Date completed (Month Index)" attribute="1" defaultMemberUniqueName="[Range].[Date completed (Month Index)].[All]" allUniqueName="[Range].[Date completed (Month Index)].[All]" dimensionUniqueName="[Range]" displayFolder="" count="0" memberValueDatatype="20" unbalanced="0" hidden="1"/>
    <cacheHierarchy uniqueName="[Range 1].[Date completed (Month Index)]" caption="Date completed (Month Index)" attribute="1" defaultMemberUniqueName="[Range 1].[Date completed (Month Index)].[All]" allUniqueName="[Range 1].[Date completed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hange Request]" caption="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hange Request]" caption="Distinct 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ange Request 2]" caption="Count of Change Request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]" caption="Sum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verage]" caption="Average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verage]" caption="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Average]" caption="Distinct 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thly CRs]" caption="Sum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Monthly CRs]" caption="Min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 of Monthly CRs]" caption="StdDev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ar of Monthly CRs]" caption="Var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 CRs]" caption="Average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 CRs]" caption="Count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p of Monthly CRs]" caption="StdDevp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maran, Hari Krishnan {MMSI~MISSISSAUGA}" refreshedDate="46136.679340740739" backgroundQuery="1" createdVersion="8" refreshedVersion="8" minRefreshableVersion="3" recordCount="0" supportSubquery="1" supportAdvancedDrill="1" xr:uid="{76021B90-4B6E-4568-9389-5EB83E709668}">
  <cacheSource type="external" connectionId="1"/>
  <cacheFields count="4">
    <cacheField name="[Range].[CR type].[CR type]" caption="CR type" numFmtId="0" hierarchy="2" level="1">
      <sharedItems count="3">
        <s v="Make"/>
        <s v="Mass"/>
        <s v="MDG"/>
      </sharedItems>
    </cacheField>
    <cacheField name="[Measures].[Count of Change Request]" caption="Count of Change Request" numFmtId="0" hierarchy="28" level="32767"/>
    <cacheField name="[Range].[Date completed (Month)].[Date completed (Month)]" caption="Date completed (Month)" numFmtId="0" hierarchy="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Date completed (Year)].[Date completed (Year)]" caption="Date completed (Year)" numFmtId="0" hierarchy="7" level="1">
      <sharedItems count="3">
        <s v="2024"/>
        <s v="2025"/>
        <s v="2026"/>
      </sharedItems>
    </cacheField>
  </cacheFields>
  <cacheHierarchies count="42">
    <cacheHierarchy uniqueName="[Range].[Change Request]" caption="Change Request" attribute="1" defaultMemberUniqueName="[Range].[Change Request].[All]" allUniqueName="[Range].[Change Request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 type]" caption="CR type" attribute="1" defaultMemberUniqueName="[Range].[CR type].[All]" allUniqueName="[Range].[CR 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cess]" caption="Process" attribute="1" defaultMemberUniqueName="[Range].[Process].[All]" allUniqueName="[Range].[Process].[All]" dimensionUniqueName="[Range]" displayFolder="" count="0" memberValueDatatype="130" unbalanced="0"/>
    <cacheHierarchy uniqueName="[Range].[WF type]" caption="WF type" attribute="1" defaultMemberUniqueName="[Range].[WF type].[All]" allUniqueName="[Range].[WF type].[All]" dimensionUniqueName="[Range]" displayFolder="" count="0" memberValueDatatype="130" unbalanced="0"/>
    <cacheHierarchy uniqueName="[Range].[Date completed]" caption="Date completed" attribute="1" time="1" defaultMemberUniqueName="[Range].[Date completed].[All]" allUniqueName="[Range].[Date completed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 completed (Year)]" caption="Date completed (Year)" attribute="1" defaultMemberUniqueName="[Range].[Date completed (Year)].[All]" allUniqueName="[Range].[Date completed (Yea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ate completed (Quarter)]" caption="Date completed (Quarter)" attribute="1" defaultMemberUniqueName="[Range].[Date completed (Quarter)].[All]" allUniqueName="[Range].[Date completed (Quarter)].[All]" dimensionUniqueName="[Range]" displayFolder="" count="0" memberValueDatatype="130" unbalanced="0"/>
    <cacheHierarchy uniqueName="[Range].[Date completed (Month)]" caption="Date completed (Month)" attribute="1" defaultMemberUniqueName="[Range].[Date completed (Month)].[All]" allUniqueName="[Range].[Date completed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 1].[Change Request]" caption="Change Request" attribute="1" defaultMemberUniqueName="[Range 1].[Change Request].[All]" allUniqueName="[Range 1].[Change Request].[All]" dimensionUniqueName="[Range 1]" displayFolder="" count="0" memberValueDatatype="130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CR type]" caption="CR type" attribute="1" defaultMemberUniqueName="[Range 1].[CR type].[All]" allUniqueName="[Range 1].[CR type].[All]" dimensionUniqueName="[Range 1]" displayFolder="" count="0" memberValueDatatype="130" unbalanced="0"/>
    <cacheHierarchy uniqueName="[Range 1].[Process]" caption="Process" attribute="1" defaultMemberUniqueName="[Range 1].[Process].[All]" allUniqueName="[Range 1].[Process].[All]" dimensionUniqueName="[Range 1]" displayFolder="" count="0" memberValueDatatype="130" unbalanced="0"/>
    <cacheHierarchy uniqueName="[Range 1].[WF type]" caption="WF type" attribute="1" defaultMemberUniqueName="[Range 1].[WF type].[All]" allUniqueName="[Range 1].[WF type].[All]" dimensionUniqueName="[Range 1]" displayFolder="" count="0" memberValueDatatype="130" unbalanced="0"/>
    <cacheHierarchy uniqueName="[Range 1].[Date completed]" caption="Date completed" attribute="1" time="1" defaultMemberUniqueName="[Range 1].[Date completed].[All]" allUniqueName="[Range 1].[Date completed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Total Month]" caption="Total Month" attribute="1" defaultMemberUniqueName="[Range 1].[Total Month].[All]" allUniqueName="[Range 1].[Total Month].[All]" dimensionUniqueName="[Range 1]" displayFolder="" count="0" memberValueDatatype="130" unbalanced="0"/>
    <cacheHierarchy uniqueName="[Range 1].[Monthly CRs]" caption="Monthly CRs" attribute="1" defaultMemberUniqueName="[Range 1].[Monthly CRs].[All]" allUniqueName="[Range 1].[Monthly CRs].[All]" dimensionUniqueName="[Range 1]" displayFolder="" count="0" memberValueDatatype="20" unbalanced="0"/>
    <cacheHierarchy uniqueName="[Range 1].[Average]" caption="Average" attribute="1" defaultMemberUniqueName="[Range 1].[Average].[All]" allUniqueName="[Range 1].[Average].[All]" dimensionUniqueName="[Range 1]" displayFolder="" count="0" memberValueDatatype="5" unbalanced="0"/>
    <cacheHierarchy uniqueName="[Range 1].[Date completed (Year)]" caption="Date completed (Year)" attribute="1" defaultMemberUniqueName="[Range 1].[Date completed (Year)].[All]" allUniqueName="[Range 1].[Date completed (Year)].[All]" dimensionUniqueName="[Range 1]" displayFolder="" count="0" memberValueDatatype="130" unbalanced="0"/>
    <cacheHierarchy uniqueName="[Range 1].[Date completed (Quarter)]" caption="Date completed (Quarter)" attribute="1" defaultMemberUniqueName="[Range 1].[Date completed (Quarter)].[All]" allUniqueName="[Range 1].[Date completed (Quarter)].[All]" dimensionUniqueName="[Range 1]" displayFolder="" count="0" memberValueDatatype="130" unbalanced="0"/>
    <cacheHierarchy uniqueName="[Range 1].[Date completed (Month)]" caption="Date completed (Month)" attribute="1" defaultMemberUniqueName="[Range 1].[Date completed (Month)].[All]" allUniqueName="[Range 1].[Date completed (Month)].[All]" dimensionUniqueName="[Range 1]" displayFolder="" count="0" memberValueDatatype="130" unbalanced="0"/>
    <cacheHierarchy uniqueName="[Range].[Date completed (Month Index)]" caption="Date completed (Month Index)" attribute="1" defaultMemberUniqueName="[Range].[Date completed (Month Index)].[All]" allUniqueName="[Range].[Date completed (Month Index)].[All]" dimensionUniqueName="[Range]" displayFolder="" count="0" memberValueDatatype="20" unbalanced="0" hidden="1"/>
    <cacheHierarchy uniqueName="[Range 1].[Date completed (Month Index)]" caption="Date completed (Month Index)" attribute="1" defaultMemberUniqueName="[Range 1].[Date completed (Month Index)].[All]" allUniqueName="[Range 1].[Date completed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hange Request]" caption="Count of Change Reques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hange Request]" caption="Distinct 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ange Request 2]" caption="Count of Change Request 2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]" caption="Sum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verage]" caption="Average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verage]" caption="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Average]" caption="Distinct 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thly CRs]" caption="Sum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Monthly CRs]" caption="Min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 of Monthly CRs]" caption="StdDev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ar of Monthly CRs]" caption="Var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 CRs]" caption="Average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 CRs]" caption="Count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p of Monthly CRs]" caption="StdDevp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maran, Hari Krishnan {MMSI~MISSISSAUGA}" refreshedDate="46136.679342013886" backgroundQuery="1" createdVersion="8" refreshedVersion="8" minRefreshableVersion="3" recordCount="0" supportSubquery="1" supportAdvancedDrill="1" xr:uid="{077B63C6-7892-45E0-9058-FE14F5D9526A}">
  <cacheSource type="external" connectionId="1"/>
  <cacheFields count="3">
    <cacheField name="[Range].[Process].[Process]" caption="Process" numFmtId="0" hierarchy="3" level="1">
      <sharedItems count="9">
        <s v="Alpin"/>
        <s v="Customer master"/>
        <s v="Deployment"/>
        <s v="DIR update"/>
        <s v="Execution ready"/>
        <s v="LCM Verification"/>
        <s v="MM updates"/>
        <s v="Plant extension"/>
        <s v="Quality CR"/>
      </sharedItems>
    </cacheField>
    <cacheField name="[Measures].[Count of Change Request]" caption="Count of Change Request" numFmtId="0" hierarchy="28" level="32767"/>
    <cacheField name="[Range].[Date completed (Year)].[Date completed (Year)]" caption="Date completed (Year)" numFmtId="0" hierarchy="7" level="1">
      <sharedItems count="1">
        <s v="2025"/>
      </sharedItems>
    </cacheField>
  </cacheFields>
  <cacheHierarchies count="42">
    <cacheHierarchy uniqueName="[Range].[Change Request]" caption="Change Request" attribute="1" defaultMemberUniqueName="[Range].[Change Request].[All]" allUniqueName="[Range].[Change Request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 type]" caption="CR type" attribute="1" defaultMemberUniqueName="[Range].[CR type].[All]" allUniqueName="[Range].[CR type].[All]" dimensionUniqueName="[Range]" displayFolder="" count="0" memberValueDatatype="130" unbalanced="0"/>
    <cacheHierarchy uniqueName="[Range].[Process]" caption="Process" attribute="1" defaultMemberUniqueName="[Range].[Process].[All]" allUniqueName="[Range].[Proces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WF type]" caption="WF type" attribute="1" defaultMemberUniqueName="[Range].[WF type].[All]" allUniqueName="[Range].[WF type].[All]" dimensionUniqueName="[Range]" displayFolder="" count="0" memberValueDatatype="130" unbalanced="0"/>
    <cacheHierarchy uniqueName="[Range].[Date completed]" caption="Date completed" attribute="1" time="1" defaultMemberUniqueName="[Range].[Date completed].[All]" allUniqueName="[Range].[Date completed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 completed (Year)]" caption="Date completed (Year)" attribute="1" defaultMemberUniqueName="[Range].[Date completed (Year)].[All]" allUniqueName="[Range].[Date completed (Yea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completed (Quarter)]" caption="Date completed (Quarter)" attribute="1" defaultMemberUniqueName="[Range].[Date completed (Quarter)].[All]" allUniqueName="[Range].[Date completed (Quarter)].[All]" dimensionUniqueName="[Range]" displayFolder="" count="0" memberValueDatatype="130" unbalanced="0"/>
    <cacheHierarchy uniqueName="[Range].[Date completed (Month)]" caption="Date completed (Month)" attribute="1" defaultMemberUniqueName="[Range].[Date completed (Month)].[All]" allUniqueName="[Range].[Date completed (Month)].[All]" dimensionUniqueName="[Range]" displayFolder="" count="0" memberValueDatatype="130" unbalanced="0"/>
    <cacheHierarchy uniqueName="[Range 1].[Change Request]" caption="Change Request" attribute="1" defaultMemberUniqueName="[Range 1].[Change Request].[All]" allUniqueName="[Range 1].[Change Request].[All]" dimensionUniqueName="[Range 1]" displayFolder="" count="0" memberValueDatatype="130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CR type]" caption="CR type" attribute="1" defaultMemberUniqueName="[Range 1].[CR type].[All]" allUniqueName="[Range 1].[CR type].[All]" dimensionUniqueName="[Range 1]" displayFolder="" count="0" memberValueDatatype="130" unbalanced="0"/>
    <cacheHierarchy uniqueName="[Range 1].[Process]" caption="Process" attribute="1" defaultMemberUniqueName="[Range 1].[Process].[All]" allUniqueName="[Range 1].[Process].[All]" dimensionUniqueName="[Range 1]" displayFolder="" count="0" memberValueDatatype="130" unbalanced="0"/>
    <cacheHierarchy uniqueName="[Range 1].[WF type]" caption="WF type" attribute="1" defaultMemberUniqueName="[Range 1].[WF type].[All]" allUniqueName="[Range 1].[WF type].[All]" dimensionUniqueName="[Range 1]" displayFolder="" count="0" memberValueDatatype="130" unbalanced="0"/>
    <cacheHierarchy uniqueName="[Range 1].[Date completed]" caption="Date completed" attribute="1" time="1" defaultMemberUniqueName="[Range 1].[Date completed].[All]" allUniqueName="[Range 1].[Date completed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Total Month]" caption="Total Month" attribute="1" defaultMemberUniqueName="[Range 1].[Total Month].[All]" allUniqueName="[Range 1].[Total Month].[All]" dimensionUniqueName="[Range 1]" displayFolder="" count="0" memberValueDatatype="130" unbalanced="0"/>
    <cacheHierarchy uniqueName="[Range 1].[Monthly CRs]" caption="Monthly CRs" attribute="1" defaultMemberUniqueName="[Range 1].[Monthly CRs].[All]" allUniqueName="[Range 1].[Monthly CRs].[All]" dimensionUniqueName="[Range 1]" displayFolder="" count="0" memberValueDatatype="20" unbalanced="0"/>
    <cacheHierarchy uniqueName="[Range 1].[Average]" caption="Average" attribute="1" defaultMemberUniqueName="[Range 1].[Average].[All]" allUniqueName="[Range 1].[Average].[All]" dimensionUniqueName="[Range 1]" displayFolder="" count="0" memberValueDatatype="5" unbalanced="0"/>
    <cacheHierarchy uniqueName="[Range 1].[Date completed (Year)]" caption="Date completed (Year)" attribute="1" defaultMemberUniqueName="[Range 1].[Date completed (Year)].[All]" allUniqueName="[Range 1].[Date completed (Year)].[All]" dimensionUniqueName="[Range 1]" displayFolder="" count="0" memberValueDatatype="130" unbalanced="0"/>
    <cacheHierarchy uniqueName="[Range 1].[Date completed (Quarter)]" caption="Date completed (Quarter)" attribute="1" defaultMemberUniqueName="[Range 1].[Date completed (Quarter)].[All]" allUniqueName="[Range 1].[Date completed (Quarter)].[All]" dimensionUniqueName="[Range 1]" displayFolder="" count="0" memberValueDatatype="130" unbalanced="0"/>
    <cacheHierarchy uniqueName="[Range 1].[Date completed (Month)]" caption="Date completed (Month)" attribute="1" defaultMemberUniqueName="[Range 1].[Date completed (Month)].[All]" allUniqueName="[Range 1].[Date completed (Month)].[All]" dimensionUniqueName="[Range 1]" displayFolder="" count="0" memberValueDatatype="130" unbalanced="0"/>
    <cacheHierarchy uniqueName="[Range].[Date completed (Month Index)]" caption="Date completed (Month Index)" attribute="1" defaultMemberUniqueName="[Range].[Date completed (Month Index)].[All]" allUniqueName="[Range].[Date completed (Month Index)].[All]" dimensionUniqueName="[Range]" displayFolder="" count="0" memberValueDatatype="20" unbalanced="0" hidden="1"/>
    <cacheHierarchy uniqueName="[Range 1].[Date completed (Month Index)]" caption="Date completed (Month Index)" attribute="1" defaultMemberUniqueName="[Range 1].[Date completed (Month Index)].[All]" allUniqueName="[Range 1].[Date completed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hange Request]" caption="Count of Change Reques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hange Request]" caption="Distinct 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ange Request 2]" caption="Count of Change Request 2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]" caption="Sum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verage]" caption="Average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verage]" caption="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Average]" caption="Distinct 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thly CRs]" caption="Sum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Monthly CRs]" caption="Min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 of Monthly CRs]" caption="StdDev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ar of Monthly CRs]" caption="Var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 CRs]" caption="Average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 CRs]" caption="Count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p of Monthly CRs]" caption="StdDevp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maran, Hari Krishnan {MMSI~MISSISSAUGA}" refreshedDate="46136.679344444441" backgroundQuery="1" createdVersion="8" refreshedVersion="8" minRefreshableVersion="3" recordCount="0" supportSubquery="1" supportAdvancedDrill="1" xr:uid="{71DA4564-CD23-45FB-A36E-592904D0469A}">
  <cacheSource type="external" connectionId="1"/>
  <cacheFields count="5">
    <cacheField name="[Range].[Date completed].[Date completed]" caption="Date completed" numFmtId="0" hierarchy="5" level="1">
      <sharedItems containsSemiMixedTypes="0" containsNonDate="0" containsDate="1" containsString="0" minDate="2026-01-23T00:00:00" maxDate="2026-04-25T00:00:00" count="7">
        <d v="2026-04-17T00:00:00"/>
        <d v="2026-04-20T00:00:00"/>
        <d v="2026-04-21T00:00:00"/>
        <d v="2026-04-22T00:00:00"/>
        <d v="2026-04-23T00:00:00"/>
        <d v="2026-04-24T00:00:00"/>
        <d v="2026-01-23T00:00:00" u="1"/>
      </sharedItems>
    </cacheField>
    <cacheField name="[Measures].[Count of Change Request]" caption="Count of Change Request" numFmtId="0" hierarchy="28" level="32767"/>
    <cacheField name="[Range].[Date completed (Month)].[Date completed (Month)]" caption="Date completed (Month)" numFmtId="0" hierarchy="9" level="1">
      <sharedItems count="9">
        <s v="Sep"/>
        <s v="Jan" u="1"/>
        <s v="Feb" u="1"/>
        <s v="Mar" u="1"/>
        <s v="Apr" u="1"/>
        <s v="May" u="1"/>
        <s v="Jun" u="1"/>
        <s v="Jul" u="1"/>
        <s v="Aug" u="1"/>
      </sharedItems>
    </cacheField>
    <cacheField name="[Range].[CR type].[CR type]" caption="CR type" numFmtId="0" hierarchy="2" level="1">
      <sharedItems containsBlank="1" count="4">
        <s v="Make"/>
        <s v="Mass"/>
        <s v="MDG"/>
        <m u="1"/>
      </sharedItems>
    </cacheField>
    <cacheField name="[Range].[Date completed (Year)].[Date completed (Year)]" caption="Date completed (Year)" numFmtId="0" hierarchy="7" level="1">
      <sharedItems count="1">
        <s v="2026"/>
      </sharedItems>
    </cacheField>
  </cacheFields>
  <cacheHierarchies count="42">
    <cacheHierarchy uniqueName="[Range].[Change Request]" caption="Change Request" attribute="1" defaultMemberUniqueName="[Range].[Change Request].[All]" allUniqueName="[Range].[Change Request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 type]" caption="CR type" attribute="1" defaultMemberUniqueName="[Range].[CR type].[All]" allUniqueName="[Range].[CR type].[All]" dimensionUniqueName="[Range]" displayFolder="" count="2" memberValueDatatype="130" unbalanced="0">
      <fieldsUsage count="2">
        <fieldUsage x="-1"/>
        <fieldUsage x="3"/>
      </fieldsUsage>
    </cacheHierarchy>
    <cacheHierarchy uniqueName="[Range].[Process]" caption="Process" attribute="1" defaultMemberUniqueName="[Range].[Process].[All]" allUniqueName="[Range].[Process].[All]" dimensionUniqueName="[Range]" displayFolder="" count="0" memberValueDatatype="130" unbalanced="0"/>
    <cacheHierarchy uniqueName="[Range].[WF type]" caption="WF type" attribute="1" defaultMemberUniqueName="[Range].[WF type].[All]" allUniqueName="[Range].[WF type].[All]" dimensionUniqueName="[Range]" displayFolder="" count="0" memberValueDatatype="130" unbalanced="0"/>
    <cacheHierarchy uniqueName="[Range].[Date completed]" caption="Date completed" attribute="1" time="1" defaultMemberUniqueName="[Range].[Date completed].[All]" allUniqueName="[Range].[Date completed].[All]" dimensionUniqueName="[Range]" displayFolder="" count="2" memberValueDatatype="7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 completed (Year)]" caption="Date completed (Year)" attribute="1" defaultMemberUniqueName="[Range].[Date completed (Year)].[All]" allUniqueName="[Range].[Date completed (Year)].[All]" dimensionUniqueName="[Range]" displayFolder="" count="2" memberValueDatatype="130" unbalanced="0">
      <fieldsUsage count="2">
        <fieldUsage x="-1"/>
        <fieldUsage x="4"/>
      </fieldsUsage>
    </cacheHierarchy>
    <cacheHierarchy uniqueName="[Range].[Date completed (Quarter)]" caption="Date completed (Quarter)" attribute="1" defaultMemberUniqueName="[Range].[Date completed (Quarter)].[All]" allUniqueName="[Range].[Date completed (Quarter)].[All]" dimensionUniqueName="[Range]" displayFolder="" count="0" memberValueDatatype="130" unbalanced="0"/>
    <cacheHierarchy uniqueName="[Range].[Date completed (Month)]" caption="Date completed (Month)" attribute="1" defaultMemberUniqueName="[Range].[Date completed (Month)].[All]" allUniqueName="[Range].[Date completed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 1].[Change Request]" caption="Change Request" attribute="1" defaultMemberUniqueName="[Range 1].[Change Request].[All]" allUniqueName="[Range 1].[Change Request].[All]" dimensionUniqueName="[Range 1]" displayFolder="" count="0" memberValueDatatype="130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CR type]" caption="CR type" attribute="1" defaultMemberUniqueName="[Range 1].[CR type].[All]" allUniqueName="[Range 1].[CR type].[All]" dimensionUniqueName="[Range 1]" displayFolder="" count="0" memberValueDatatype="130" unbalanced="0"/>
    <cacheHierarchy uniqueName="[Range 1].[Process]" caption="Process" attribute="1" defaultMemberUniqueName="[Range 1].[Process].[All]" allUniqueName="[Range 1].[Process].[All]" dimensionUniqueName="[Range 1]" displayFolder="" count="0" memberValueDatatype="130" unbalanced="0"/>
    <cacheHierarchy uniqueName="[Range 1].[WF type]" caption="WF type" attribute="1" defaultMemberUniqueName="[Range 1].[WF type].[All]" allUniqueName="[Range 1].[WF type].[All]" dimensionUniqueName="[Range 1]" displayFolder="" count="0" memberValueDatatype="130" unbalanced="0"/>
    <cacheHierarchy uniqueName="[Range 1].[Date completed]" caption="Date completed" attribute="1" time="1" defaultMemberUniqueName="[Range 1].[Date completed].[All]" allUniqueName="[Range 1].[Date completed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Total Month]" caption="Total Month" attribute="1" defaultMemberUniqueName="[Range 1].[Total Month].[All]" allUniqueName="[Range 1].[Total Month].[All]" dimensionUniqueName="[Range 1]" displayFolder="" count="0" memberValueDatatype="130" unbalanced="0"/>
    <cacheHierarchy uniqueName="[Range 1].[Monthly CRs]" caption="Monthly CRs" attribute="1" defaultMemberUniqueName="[Range 1].[Monthly CRs].[All]" allUniqueName="[Range 1].[Monthly CRs].[All]" dimensionUniqueName="[Range 1]" displayFolder="" count="0" memberValueDatatype="20" unbalanced="0"/>
    <cacheHierarchy uniqueName="[Range 1].[Average]" caption="Average" attribute="1" defaultMemberUniqueName="[Range 1].[Average].[All]" allUniqueName="[Range 1].[Average].[All]" dimensionUniqueName="[Range 1]" displayFolder="" count="0" memberValueDatatype="5" unbalanced="0"/>
    <cacheHierarchy uniqueName="[Range 1].[Date completed (Year)]" caption="Date completed (Year)" attribute="1" defaultMemberUniqueName="[Range 1].[Date completed (Year)].[All]" allUniqueName="[Range 1].[Date completed (Year)].[All]" dimensionUniqueName="[Range 1]" displayFolder="" count="0" memberValueDatatype="130" unbalanced="0"/>
    <cacheHierarchy uniqueName="[Range 1].[Date completed (Quarter)]" caption="Date completed (Quarter)" attribute="1" defaultMemberUniqueName="[Range 1].[Date completed (Quarter)].[All]" allUniqueName="[Range 1].[Date completed (Quarter)].[All]" dimensionUniqueName="[Range 1]" displayFolder="" count="0" memberValueDatatype="130" unbalanced="0"/>
    <cacheHierarchy uniqueName="[Range 1].[Date completed (Month)]" caption="Date completed (Month)" attribute="1" defaultMemberUniqueName="[Range 1].[Date completed (Month)].[All]" allUniqueName="[Range 1].[Date completed (Month)].[All]" dimensionUniqueName="[Range 1]" displayFolder="" count="0" memberValueDatatype="130" unbalanced="0"/>
    <cacheHierarchy uniqueName="[Range].[Date completed (Month Index)]" caption="Date completed (Month Index)" attribute="1" defaultMemberUniqueName="[Range].[Date completed (Month Index)].[All]" allUniqueName="[Range].[Date completed (Month Index)].[All]" dimensionUniqueName="[Range]" displayFolder="" count="0" memberValueDatatype="20" unbalanced="0" hidden="1"/>
    <cacheHierarchy uniqueName="[Range 1].[Date completed (Month Index)]" caption="Date completed (Month Index)" attribute="1" defaultMemberUniqueName="[Range 1].[Date completed (Month Index)].[All]" allUniqueName="[Range 1].[Date completed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hange Request]" caption="Count of Change Reques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hange Request]" caption="Distinct 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ange Request 2]" caption="Count of Change Request 2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]" caption="Sum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verage]" caption="Average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verage]" caption="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Average]" caption="Distinct 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thly CRs]" caption="Sum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Monthly CRs]" caption="Min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 of Monthly CRs]" caption="StdDev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ar of Monthly CRs]" caption="Var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 CRs]" caption="Average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 CRs]" caption="Count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p of Monthly CRs]" caption="StdDevp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maran, Hari Krishnan {MMSI~MISSISSAUGA}" refreshedDate="46136.679346759258" backgroundQuery="1" createdVersion="8" refreshedVersion="8" minRefreshableVersion="3" recordCount="0" supportSubquery="1" supportAdvancedDrill="1" xr:uid="{C9B6272C-A42E-4C11-82BE-0E7575B4F964}">
  <cacheSource type="external" connectionId="1"/>
  <cacheFields count="2">
    <cacheField name="[Measures].[Count of Change Request]" caption="Count of Change Request" numFmtId="0" hierarchy="28" level="32767"/>
    <cacheField name="[Range].[Date completed].[Date completed]" caption="Date completed" numFmtId="0" hierarchy="5" level="1">
      <sharedItems containsSemiMixedTypes="0" containsNonDate="0" containsDate="1" containsString="0" minDate="2026-04-17T00:00:00" maxDate="2026-04-25T00:00:00" count="6">
        <d v="2026-04-17T00:00:00"/>
        <d v="2026-04-20T00:00:00"/>
        <d v="2026-04-21T00:00:00"/>
        <d v="2026-04-22T00:00:00"/>
        <d v="2026-04-23T00:00:00"/>
        <d v="2026-04-24T00:00:00"/>
      </sharedItems>
    </cacheField>
  </cacheFields>
  <cacheHierarchies count="42">
    <cacheHierarchy uniqueName="[Range].[Change Request]" caption="Change Request" attribute="1" defaultMemberUniqueName="[Range].[Change Request].[All]" allUniqueName="[Range].[Change Request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 type]" caption="CR type" attribute="1" defaultMemberUniqueName="[Range].[CR type].[All]" allUniqueName="[Range].[CR type].[All]" dimensionUniqueName="[Range]" displayFolder="" count="0" memberValueDatatype="130" unbalanced="0"/>
    <cacheHierarchy uniqueName="[Range].[Process]" caption="Process" attribute="1" defaultMemberUniqueName="[Range].[Process].[All]" allUniqueName="[Range].[Process].[All]" dimensionUniqueName="[Range]" displayFolder="" count="0" memberValueDatatype="130" unbalanced="0"/>
    <cacheHierarchy uniqueName="[Range].[WF type]" caption="WF type" attribute="1" defaultMemberUniqueName="[Range].[WF type].[All]" allUniqueName="[Range].[WF type].[All]" dimensionUniqueName="[Range]" displayFolder="" count="0" memberValueDatatype="130" unbalanced="0"/>
    <cacheHierarchy uniqueName="[Range].[Date completed]" caption="Date completed" attribute="1" time="1" defaultMemberUniqueName="[Range].[Date completed].[All]" allUniqueName="[Range].[Date completed].[All]" dimensionUniqueName="[Range]" displayFolder="" count="2" memberValueDatatype="7" unbalanced="0">
      <fieldsUsage count="2">
        <fieldUsage x="-1"/>
        <fieldUsage x="1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 completed (Year)]" caption="Date completed (Year)" attribute="1" defaultMemberUniqueName="[Range].[Date completed (Year)].[All]" allUniqueName="[Range].[Date completed (Year)].[All]" dimensionUniqueName="[Range]" displayFolder="" count="0" memberValueDatatype="130" unbalanced="0"/>
    <cacheHierarchy uniqueName="[Range].[Date completed (Quarter)]" caption="Date completed (Quarter)" attribute="1" defaultMemberUniqueName="[Range].[Date completed (Quarter)].[All]" allUniqueName="[Range].[Date completed (Quarter)].[All]" dimensionUniqueName="[Range]" displayFolder="" count="0" memberValueDatatype="130" unbalanced="0"/>
    <cacheHierarchy uniqueName="[Range].[Date completed (Month)]" caption="Date completed (Month)" attribute="1" defaultMemberUniqueName="[Range].[Date completed (Month)].[All]" allUniqueName="[Range].[Date completed (Month)].[All]" dimensionUniqueName="[Range]" displayFolder="" count="0" memberValueDatatype="130" unbalanced="0"/>
    <cacheHierarchy uniqueName="[Range 1].[Change Request]" caption="Change Request" attribute="1" defaultMemberUniqueName="[Range 1].[Change Request].[All]" allUniqueName="[Range 1].[Change Request].[All]" dimensionUniqueName="[Range 1]" displayFolder="" count="0" memberValueDatatype="130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CR type]" caption="CR type" attribute="1" defaultMemberUniqueName="[Range 1].[CR type].[All]" allUniqueName="[Range 1].[CR type].[All]" dimensionUniqueName="[Range 1]" displayFolder="" count="0" memberValueDatatype="130" unbalanced="0"/>
    <cacheHierarchy uniqueName="[Range 1].[Process]" caption="Process" attribute="1" defaultMemberUniqueName="[Range 1].[Process].[All]" allUniqueName="[Range 1].[Process].[All]" dimensionUniqueName="[Range 1]" displayFolder="" count="0" memberValueDatatype="130" unbalanced="0"/>
    <cacheHierarchy uniqueName="[Range 1].[WF type]" caption="WF type" attribute="1" defaultMemberUniqueName="[Range 1].[WF type].[All]" allUniqueName="[Range 1].[WF type].[All]" dimensionUniqueName="[Range 1]" displayFolder="" count="0" memberValueDatatype="130" unbalanced="0"/>
    <cacheHierarchy uniqueName="[Range 1].[Date completed]" caption="Date completed" attribute="1" time="1" defaultMemberUniqueName="[Range 1].[Date completed].[All]" allUniqueName="[Range 1].[Date completed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Total Month]" caption="Total Month" attribute="1" defaultMemberUniqueName="[Range 1].[Total Month].[All]" allUniqueName="[Range 1].[Total Month].[All]" dimensionUniqueName="[Range 1]" displayFolder="" count="0" memberValueDatatype="130" unbalanced="0"/>
    <cacheHierarchy uniqueName="[Range 1].[Monthly CRs]" caption="Monthly CRs" attribute="1" defaultMemberUniqueName="[Range 1].[Monthly CRs].[All]" allUniqueName="[Range 1].[Monthly CRs].[All]" dimensionUniqueName="[Range 1]" displayFolder="" count="0" memberValueDatatype="20" unbalanced="0"/>
    <cacheHierarchy uniqueName="[Range 1].[Average]" caption="Average" attribute="1" defaultMemberUniqueName="[Range 1].[Average].[All]" allUniqueName="[Range 1].[Average].[All]" dimensionUniqueName="[Range 1]" displayFolder="" count="0" memberValueDatatype="5" unbalanced="0"/>
    <cacheHierarchy uniqueName="[Range 1].[Date completed (Year)]" caption="Date completed (Year)" attribute="1" defaultMemberUniqueName="[Range 1].[Date completed (Year)].[All]" allUniqueName="[Range 1].[Date completed (Year)].[All]" dimensionUniqueName="[Range 1]" displayFolder="" count="0" memberValueDatatype="130" unbalanced="0"/>
    <cacheHierarchy uniqueName="[Range 1].[Date completed (Quarter)]" caption="Date completed (Quarter)" attribute="1" defaultMemberUniqueName="[Range 1].[Date completed (Quarter)].[All]" allUniqueName="[Range 1].[Date completed (Quarter)].[All]" dimensionUniqueName="[Range 1]" displayFolder="" count="0" memberValueDatatype="130" unbalanced="0"/>
    <cacheHierarchy uniqueName="[Range 1].[Date completed (Month)]" caption="Date completed (Month)" attribute="1" defaultMemberUniqueName="[Range 1].[Date completed (Month)].[All]" allUniqueName="[Range 1].[Date completed (Month)].[All]" dimensionUniqueName="[Range 1]" displayFolder="" count="0" memberValueDatatype="130" unbalanced="0"/>
    <cacheHierarchy uniqueName="[Range].[Date completed (Month Index)]" caption="Date completed (Month Index)" attribute="1" defaultMemberUniqueName="[Range].[Date completed (Month Index)].[All]" allUniqueName="[Range].[Date completed (Month Index)].[All]" dimensionUniqueName="[Range]" displayFolder="" count="0" memberValueDatatype="20" unbalanced="0" hidden="1"/>
    <cacheHierarchy uniqueName="[Range 1].[Date completed (Month Index)]" caption="Date completed (Month Index)" attribute="1" defaultMemberUniqueName="[Range 1].[Date completed (Month Index)].[All]" allUniqueName="[Range 1].[Date completed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hange Request]" caption="Count of Change Reques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hange Request]" caption="Distinct 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ange Request 2]" caption="Count of Change Request 2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]" caption="Sum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verage]" caption="Average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verage]" caption="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Average]" caption="Distinct 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thly CRs]" caption="Sum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Monthly CRs]" caption="Min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 of Monthly CRs]" caption="StdDev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ar of Monthly CRs]" caption="Var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 CRs]" caption="Average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 CRs]" caption="Count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p of Monthly CRs]" caption="StdDevp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maran, Hari Krishnan {MMSI~MISSISSAUGA}" refreshedDate="46136.679342824071" backgroundQuery="1" createdVersion="3" refreshedVersion="8" minRefreshableVersion="3" recordCount="0" supportSubquery="1" supportAdvancedDrill="1" xr:uid="{2533FA33-26DF-41F2-BDD1-D9CE3DD22E5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Range].[Change Request]" caption="Change Request" attribute="1" defaultMemberUniqueName="[Range].[Change Request].[All]" allUniqueName="[Range].[Change Request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 type]" caption="CR type" attribute="1" defaultMemberUniqueName="[Range].[CR type].[All]" allUniqueName="[Range].[CR type].[All]" dimensionUniqueName="[Range]" displayFolder="" count="0" memberValueDatatype="130" unbalanced="0"/>
    <cacheHierarchy uniqueName="[Range].[Process]" caption="Process" attribute="1" defaultMemberUniqueName="[Range].[Process].[All]" allUniqueName="[Range].[Process].[All]" dimensionUniqueName="[Range]" displayFolder="" count="0" memberValueDatatype="130" unbalanced="0"/>
    <cacheHierarchy uniqueName="[Range].[WF type]" caption="WF type" attribute="1" defaultMemberUniqueName="[Range].[WF type].[All]" allUniqueName="[Range].[WF type].[All]" dimensionUniqueName="[Range]" displayFolder="" count="0" memberValueDatatype="130" unbalanced="0"/>
    <cacheHierarchy uniqueName="[Range].[Date completed]" caption="Date completed" attribute="1" time="1" defaultMemberUniqueName="[Range].[Date completed].[All]" allUniqueName="[Range].[Date completed].[All]" dimensionUniqueName="[Range]" displayFolder="" count="2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 completed (Year)]" caption="Date completed (Year)" attribute="1" defaultMemberUniqueName="[Range].[Date completed (Year)].[All]" allUniqueName="[Range].[Date completed (Year)].[All]" dimensionUniqueName="[Range]" displayFolder="" count="0" memberValueDatatype="130" unbalanced="0"/>
    <cacheHierarchy uniqueName="[Range].[Date completed (Quarter)]" caption="Date completed (Quarter)" attribute="1" defaultMemberUniqueName="[Range].[Date completed (Quarter)].[All]" allUniqueName="[Range].[Date completed (Quarter)].[All]" dimensionUniqueName="[Range]" displayFolder="" count="0" memberValueDatatype="130" unbalanced="0"/>
    <cacheHierarchy uniqueName="[Range].[Date completed (Month)]" caption="Date completed (Month)" attribute="1" defaultMemberUniqueName="[Range].[Date completed (Month)].[All]" allUniqueName="[Range].[Date completed (Month)].[All]" dimensionUniqueName="[Range]" displayFolder="" count="0" memberValueDatatype="130" unbalanced="0"/>
    <cacheHierarchy uniqueName="[Range 1].[Change Request]" caption="Change Request" attribute="1" defaultMemberUniqueName="[Range 1].[Change Request].[All]" allUniqueName="[Range 1].[Change Request].[All]" dimensionUniqueName="[Range 1]" displayFolder="" count="0" memberValueDatatype="130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CR type]" caption="CR type" attribute="1" defaultMemberUniqueName="[Range 1].[CR type].[All]" allUniqueName="[Range 1].[CR type].[All]" dimensionUniqueName="[Range 1]" displayFolder="" count="0" memberValueDatatype="130" unbalanced="0"/>
    <cacheHierarchy uniqueName="[Range 1].[Process]" caption="Process" attribute="1" defaultMemberUniqueName="[Range 1].[Process].[All]" allUniqueName="[Range 1].[Process].[All]" dimensionUniqueName="[Range 1]" displayFolder="" count="0" memberValueDatatype="130" unbalanced="0"/>
    <cacheHierarchy uniqueName="[Range 1].[WF type]" caption="WF type" attribute="1" defaultMemberUniqueName="[Range 1].[WF type].[All]" allUniqueName="[Range 1].[WF type].[All]" dimensionUniqueName="[Range 1]" displayFolder="" count="0" memberValueDatatype="130" unbalanced="0"/>
    <cacheHierarchy uniqueName="[Range 1].[Date completed]" caption="Date completed" attribute="1" time="1" defaultMemberUniqueName="[Range 1].[Date completed].[All]" allUniqueName="[Range 1].[Date completed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Total Month]" caption="Total Month" attribute="1" defaultMemberUniqueName="[Range 1].[Total Month].[All]" allUniqueName="[Range 1].[Total Month].[All]" dimensionUniqueName="[Range 1]" displayFolder="" count="0" memberValueDatatype="130" unbalanced="0"/>
    <cacheHierarchy uniqueName="[Range 1].[Monthly CRs]" caption="Monthly CRs" attribute="1" defaultMemberUniqueName="[Range 1].[Monthly CRs].[All]" allUniqueName="[Range 1].[Monthly CRs].[All]" dimensionUniqueName="[Range 1]" displayFolder="" count="0" memberValueDatatype="20" unbalanced="0"/>
    <cacheHierarchy uniqueName="[Range 1].[Average]" caption="Average" attribute="1" defaultMemberUniqueName="[Range 1].[Average].[All]" allUniqueName="[Range 1].[Average].[All]" dimensionUniqueName="[Range 1]" displayFolder="" count="0" memberValueDatatype="5" unbalanced="0"/>
    <cacheHierarchy uniqueName="[Range 1].[Date completed (Year)]" caption="Date completed (Year)" attribute="1" defaultMemberUniqueName="[Range 1].[Date completed (Year)].[All]" allUniqueName="[Range 1].[Date completed (Year)].[All]" dimensionUniqueName="[Range 1]" displayFolder="" count="0" memberValueDatatype="130" unbalanced="0"/>
    <cacheHierarchy uniqueName="[Range 1].[Date completed (Quarter)]" caption="Date completed (Quarter)" attribute="1" defaultMemberUniqueName="[Range 1].[Date completed (Quarter)].[All]" allUniqueName="[Range 1].[Date completed (Quarter)].[All]" dimensionUniqueName="[Range 1]" displayFolder="" count="0" memberValueDatatype="130" unbalanced="0"/>
    <cacheHierarchy uniqueName="[Range 1].[Date completed (Month)]" caption="Date completed (Month)" attribute="1" defaultMemberUniqueName="[Range 1].[Date completed (Month)].[All]" allUniqueName="[Range 1].[Date completed (Month)].[All]" dimensionUniqueName="[Range 1]" displayFolder="" count="0" memberValueDatatype="130" unbalanced="0"/>
    <cacheHierarchy uniqueName="[Range].[Date completed (Month Index)]" caption="Date completed (Month Index)" attribute="1" defaultMemberUniqueName="[Range].[Date completed (Month Index)].[All]" allUniqueName="[Range].[Date completed (Month Index)].[All]" dimensionUniqueName="[Range]" displayFolder="" count="0" memberValueDatatype="20" unbalanced="0" hidden="1"/>
    <cacheHierarchy uniqueName="[Range 1].[Date completed (Month Index)]" caption="Date completed (Month Index)" attribute="1" defaultMemberUniqueName="[Range 1].[Date completed (Month Index)].[All]" allUniqueName="[Range 1].[Date completed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hange Request]" caption="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hange Request]" caption="Distinct 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ange Request 2]" caption="Count of Change Request 2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]" caption="Sum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verage]" caption="Average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verage]" caption="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Average]" caption="Distinct 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thly CRs]" caption="Sum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Monthly CRs]" caption="Min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 of Monthly CRs]" caption="StdDev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ar of Monthly CRs]" caption="Var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 CRs]" caption="Average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 CRs]" caption="Count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p of Monthly CRs]" caption="StdDevp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40687482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maran, Hari Krishnan {MMSI~MISSISSAUGA}" refreshedDate="46136.679345254626" backgroundQuery="1" createdVersion="3" refreshedVersion="8" minRefreshableVersion="3" recordCount="0" supportSubquery="1" supportAdvancedDrill="1" xr:uid="{FFA024FB-B838-4C3B-B99B-4EB83333019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Range].[Change Request]" caption="Change Request" attribute="1" defaultMemberUniqueName="[Range].[Change Request].[All]" allUniqueName="[Range].[Change Request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 type]" caption="CR type" attribute="1" defaultMemberUniqueName="[Range].[CR type].[All]" allUniqueName="[Range].[CR type].[All]" dimensionUniqueName="[Range]" displayFolder="" count="0" memberValueDatatype="130" unbalanced="0"/>
    <cacheHierarchy uniqueName="[Range].[Process]" caption="Process" attribute="1" defaultMemberUniqueName="[Range].[Process].[All]" allUniqueName="[Range].[Process].[All]" dimensionUniqueName="[Range]" displayFolder="" count="0" memberValueDatatype="130" unbalanced="0"/>
    <cacheHierarchy uniqueName="[Range].[WF type]" caption="WF type" attribute="1" defaultMemberUniqueName="[Range].[WF type].[All]" allUniqueName="[Range].[WF type].[All]" dimensionUniqueName="[Range]" displayFolder="" count="0" memberValueDatatype="130" unbalanced="0"/>
    <cacheHierarchy uniqueName="[Range].[Date completed]" caption="Date completed" attribute="1" time="1" defaultMemberUniqueName="[Range].[Date completed].[All]" allUniqueName="[Range].[Date completed].[All]" dimensionUniqueName="[Range]" displayFolder="" count="2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Date completed (Year)]" caption="Date completed (Year)" attribute="1" defaultMemberUniqueName="[Range].[Date completed (Year)].[All]" allUniqueName="[Range].[Date completed (Year)].[All]" dimensionUniqueName="[Range]" displayFolder="" count="0" memberValueDatatype="130" unbalanced="0"/>
    <cacheHierarchy uniqueName="[Range].[Date completed (Quarter)]" caption="Date completed (Quarter)" attribute="1" defaultMemberUniqueName="[Range].[Date completed (Quarter)].[All]" allUniqueName="[Range].[Date completed (Quarter)].[All]" dimensionUniqueName="[Range]" displayFolder="" count="0" memberValueDatatype="130" unbalanced="0"/>
    <cacheHierarchy uniqueName="[Range].[Date completed (Month)]" caption="Date completed (Month)" attribute="1" defaultMemberUniqueName="[Range].[Date completed (Month)].[All]" allUniqueName="[Range].[Date completed (Month)].[All]" dimensionUniqueName="[Range]" displayFolder="" count="0" memberValueDatatype="130" unbalanced="0"/>
    <cacheHierarchy uniqueName="[Range 1].[Change Request]" caption="Change Request" attribute="1" defaultMemberUniqueName="[Range 1].[Change Request].[All]" allUniqueName="[Range 1].[Change Request].[All]" dimensionUniqueName="[Range 1]" displayFolder="" count="0" memberValueDatatype="130" unbalanced="0"/>
    <cacheHierarchy uniqueName="[Range 1].[Description]" caption="Description" attribute="1" defaultMemberUniqueName="[Range 1].[Description].[All]" allUniqueName="[Range 1].[Description].[All]" dimensionUniqueName="[Range 1]" displayFolder="" count="0" memberValueDatatype="130" unbalanced="0"/>
    <cacheHierarchy uniqueName="[Range 1].[CR type]" caption="CR type" attribute="1" defaultMemberUniqueName="[Range 1].[CR type].[All]" allUniqueName="[Range 1].[CR type].[All]" dimensionUniqueName="[Range 1]" displayFolder="" count="0" memberValueDatatype="130" unbalanced="0"/>
    <cacheHierarchy uniqueName="[Range 1].[Process]" caption="Process" attribute="1" defaultMemberUniqueName="[Range 1].[Process].[All]" allUniqueName="[Range 1].[Process].[All]" dimensionUniqueName="[Range 1]" displayFolder="" count="0" memberValueDatatype="130" unbalanced="0"/>
    <cacheHierarchy uniqueName="[Range 1].[WF type]" caption="WF type" attribute="1" defaultMemberUniqueName="[Range 1].[WF type].[All]" allUniqueName="[Range 1].[WF type].[All]" dimensionUniqueName="[Range 1]" displayFolder="" count="0" memberValueDatatype="130" unbalanced="0"/>
    <cacheHierarchy uniqueName="[Range 1].[Date completed]" caption="Date completed" attribute="1" time="1" defaultMemberUniqueName="[Range 1].[Date completed].[All]" allUniqueName="[Range 1].[Date completed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Total Month]" caption="Total Month" attribute="1" defaultMemberUniqueName="[Range 1].[Total Month].[All]" allUniqueName="[Range 1].[Total Month].[All]" dimensionUniqueName="[Range 1]" displayFolder="" count="0" memberValueDatatype="130" unbalanced="0"/>
    <cacheHierarchy uniqueName="[Range 1].[Monthly CRs]" caption="Monthly CRs" attribute="1" defaultMemberUniqueName="[Range 1].[Monthly CRs].[All]" allUniqueName="[Range 1].[Monthly CRs].[All]" dimensionUniqueName="[Range 1]" displayFolder="" count="0" memberValueDatatype="20" unbalanced="0"/>
    <cacheHierarchy uniqueName="[Range 1].[Average]" caption="Average" attribute="1" defaultMemberUniqueName="[Range 1].[Average].[All]" allUniqueName="[Range 1].[Average].[All]" dimensionUniqueName="[Range 1]" displayFolder="" count="0" memberValueDatatype="5" unbalanced="0"/>
    <cacheHierarchy uniqueName="[Range 1].[Date completed (Year)]" caption="Date completed (Year)" attribute="1" defaultMemberUniqueName="[Range 1].[Date completed (Year)].[All]" allUniqueName="[Range 1].[Date completed (Year)].[All]" dimensionUniqueName="[Range 1]" displayFolder="" count="0" memberValueDatatype="130" unbalanced="0"/>
    <cacheHierarchy uniqueName="[Range 1].[Date completed (Quarter)]" caption="Date completed (Quarter)" attribute="1" defaultMemberUniqueName="[Range 1].[Date completed (Quarter)].[All]" allUniqueName="[Range 1].[Date completed (Quarter)].[All]" dimensionUniqueName="[Range 1]" displayFolder="" count="0" memberValueDatatype="130" unbalanced="0"/>
    <cacheHierarchy uniqueName="[Range 1].[Date completed (Month)]" caption="Date completed (Month)" attribute="1" defaultMemberUniqueName="[Range 1].[Date completed (Month)].[All]" allUniqueName="[Range 1].[Date completed (Month)].[All]" dimensionUniqueName="[Range 1]" displayFolder="" count="0" memberValueDatatype="130" unbalanced="0"/>
    <cacheHierarchy uniqueName="[Range].[Date completed (Month Index)]" caption="Date completed (Month Index)" attribute="1" defaultMemberUniqueName="[Range].[Date completed (Month Index)].[All]" allUniqueName="[Range].[Date completed (Month Index)].[All]" dimensionUniqueName="[Range]" displayFolder="" count="0" memberValueDatatype="20" unbalanced="0" hidden="1"/>
    <cacheHierarchy uniqueName="[Range 1].[Date completed (Month Index)]" caption="Date completed (Month Index)" attribute="1" defaultMemberUniqueName="[Range 1].[Date completed (Month Index)].[All]" allUniqueName="[Range 1].[Date completed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Change Request]" caption="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hange Request]" caption="Distinct Count of Change Request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ange Request 2]" caption="Count of Change Request 2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]" caption="Sum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Average]" caption="Average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verage]" caption="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Average]" caption="Distinct Count of Average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thly CRs]" caption="Sum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Monthly CRs]" caption="Min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 of Monthly CRs]" caption="StdDev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Var of Monthly CRs]" caption="Var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 CRs]" caption="Average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 CRs]" caption="Count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tdDevp of Monthly CRs]" caption="StdDevp of Monthly CRs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30885005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9A5BA-FC22-4DA1-A5F5-86F1A8B65C5D}" name="PivotTable13" cacheId="61" applyNumberFormats="0" applyBorderFormats="0" applyFontFormats="0" applyPatternFormats="0" applyAlignmentFormats="0" applyWidthHeightFormats="1" dataCaption="Values" tag="be5a78b4-1f25-466c-8d40-8b33aff538b1" updatedVersion="8" minRefreshableVersion="3" useAutoFormatting="1" subtotalHiddenItems="1" itemPrintTitles="1" createdVersion="8" indent="0" outline="1" outlineData="1" multipleFieldFilters="0" chartFormat="40">
  <location ref="T3:U2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1"/>
    <field x="2"/>
  </rowFields>
  <rowItems count="21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Change Request" fld="0" subtotal="count" baseField="0" baseItem="0"/>
  </dataFields>
  <chartFormats count="1">
    <chartFormat chart="3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um of Average"/>
    <pivotHierarchy dragToData="1" caption="Average of Average"/>
    <pivotHierarchy dragToData="1" caption="Count of Average"/>
    <pivotHierarchy dragToData="1" caption="Distinct Count of Average"/>
    <pivotHierarchy dragToRow="0" dragToCol="0" dragToPage="0" dragToData="1"/>
    <pivotHierarchy dragToData="1" caption="Min of Monthly CRs"/>
    <pivotHierarchy dragToData="1" caption="StdDev of Monthly CRs"/>
    <pivotHierarchy dragToData="1" caption="Var of Monthly CRs"/>
    <pivotHierarchy dragToData="1" caption="Average of Monthly CRs"/>
    <pivotHierarchy dragToData="1" caption="Count of Monthly CRs"/>
    <pivotHierarchy dragToData="1" caption="StdDevp of Monthly CRs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B5A8C-19B0-4C7B-BF02-5468BA2F39B3}" name="PivotTable24" cacheId="71" applyNumberFormats="0" applyBorderFormats="0" applyFontFormats="0" applyPatternFormats="0" applyAlignmentFormats="0" applyWidthHeightFormats="1" dataCaption="Values" tag="54b1d2e5-cb4f-4b0f-a456-57882567b44c" updatedVersion="8" minRefreshableVersion="5" useAutoFormatting="1" subtotalHiddenItems="1" itemPrintTitles="1" createdVersion="8" indent="0" outline="1" outlineData="1" multipleFieldFilters="0" chartFormat="43">
  <location ref="X3:AB12" firstHeaderRow="1" firstDataRow="2" firstDataCol="1"/>
  <pivotFields count="5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>
      <items count="9">
        <item s="1"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4">
        <item s="1" x="0"/>
        <item s="1" x="1"/>
        <item s="1" x="2"/>
        <item x="3"/>
      </items>
    </pivotField>
    <pivotField axis="axisRow" allDrilled="1" subtotalTop="0" showAll="0" dataSourceSort="1" defaultSubtotal="0" defaultAttributeDrillState="1">
      <items count="1">
        <item x="0"/>
      </items>
    </pivotField>
  </pivotFields>
  <rowFields count="2">
    <field x="4"/>
    <field x="0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Change Request" fld="1" subtotal="count" baseField="0" baseItem="0"/>
  </dataFields>
  <formats count="3">
    <format dxfId="10">
      <pivotArea dataOnly="0" labelOnly="1" grandRow="1" outline="0" fieldPosition="0"/>
    </format>
    <format dxfId="9">
      <pivotArea dataOnly="0" labelOnly="1" fieldPosition="0">
        <references count="1">
          <reference field="4" count="0"/>
        </references>
      </pivotArea>
    </format>
    <format dxfId="8">
      <pivotArea dataOnly="0" labelOnly="1" fieldPosition="0">
        <references count="2">
          <reference field="0" count="0"/>
          <reference field="4" count="0" selected="0"/>
        </references>
      </pivotArea>
    </format>
  </formats>
  <chartFormats count="5"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3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dateBetween" evalOrder="-1" id="264" name="[Range].[Date completed]">
      <autoFilter ref="A1">
        <filterColumn colId="0">
          <customFilters and="1">
            <customFilter operator="greaterThanOrEqual" val="46129"/>
            <customFilter operator="lessThanOrEqual" val="461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7"/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A6B10-1647-4A7D-96E5-612B48B231DB}" name="PivotTable19" cacheId="75" applyNumberFormats="0" applyBorderFormats="0" applyFontFormats="0" applyPatternFormats="0" applyAlignmentFormats="0" applyWidthHeightFormats="1" dataCaption="Values" tag="975d224a-ab66-4be3-a59d-760088a105b9" updatedVersion="8" minRefreshableVersion="5" useAutoFormatting="1" subtotalHiddenItems="1" itemPrintTitles="1" createdVersion="8" indent="0" outline="1" outlineData="1" multipleFieldFilters="0" chartFormat="9">
  <location ref="L3:M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hange Request" fld="0" subtotal="count" baseField="0" baseItem="0"/>
  </dataFields>
  <formats count="1">
    <format dxfId="11">
      <pivotArea dataOnly="0" labelOnly="1" fieldPosition="0">
        <references count="1">
          <reference field="1" count="0"/>
        </references>
      </pivotArea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270" name="[Range].[Date completed]">
      <autoFilter ref="A1">
        <filterColumn colId="0">
          <customFilters and="1">
            <customFilter operator="greaterThanOrEqual" val="46129"/>
            <customFilter operator="lessThanOrEqual" val="461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91F9B-86D3-46FA-B73A-8CAF494D0B93}" name="PivotTable8" cacheId="67" applyNumberFormats="0" applyBorderFormats="0" applyFontFormats="0" applyPatternFormats="0" applyAlignmentFormats="0" applyWidthHeightFormats="1" dataCaption="Values" tag="01ee243a-fb05-4a13-9a22-9bb34525a3f6" updatedVersion="8" minRefreshableVersion="3" useAutoFormatting="1" subtotalHiddenItems="1" itemPrintTitles="1" createdVersion="8" indent="0" outline="1" outlineData="1" multipleFieldFilters="0" chartFormat="16">
  <location ref="O3:Q14" firstHeaderRow="1" firstDataRow="2" firstDataCol="1"/>
  <pivotFields count="3">
    <pivotField axis="axisRow" allDrilled="1" subtotalTop="0" showAll="0" dataSourceSort="1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</pivotField>
    <pivotField dataField="1" subtotalTop="0" showAll="0" defaultSubtotal="0"/>
    <pivotField axis="axisCol" allDrilled="1" subtotalTop="0" showAll="0" dataSourceSort="1" defaultSubtotal="0">
      <items count="1">
        <item s="1" x="0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2">
    <i>
      <x/>
    </i>
    <i t="grand">
      <x/>
    </i>
  </colItems>
  <dataFields count="1">
    <dataField name="Count of Change Request" fld="1" subtotal="count" baseField="0" baseItem="0"/>
  </dataFields>
  <chartFormats count="10"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12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12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  <chartFormat chart="12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12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</references>
      </pivotArea>
    </chartFormat>
    <chartFormat chart="12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</references>
      </pivotArea>
    </chartFormat>
    <chartFormat chart="12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12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12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2" level="1">
        <member name="[Range].[Date completed (Year)].&amp;[]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BF9F7-3FBA-49B4-8166-823A8CA9D008}" name="PivotTable7" cacheId="64" applyNumberFormats="0" applyBorderFormats="0" applyFontFormats="0" applyPatternFormats="0" applyAlignmentFormats="0" applyWidthHeightFormats="1" dataCaption="Values" tag="6be8c777-e8d8-420f-b2db-024be31cc492" updatedVersion="8" minRefreshableVersion="3" useAutoFormatting="1" subtotalHiddenItems="1" itemPrintTitles="1" createdVersion="8" indent="0" outline="1" outlineData="1" multipleFieldFilters="0" chartFormat="90">
  <location ref="A3:E24" firstHeaderRow="1" firstDataRow="2" firstDataCol="1"/>
  <pivotFields count="4"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">
        <item x="0" e="0"/>
        <item x="1"/>
        <item x="2"/>
      </items>
    </pivotField>
  </pivotFields>
  <rowFields count="2">
    <field x="3"/>
    <field x="2"/>
  </rowFields>
  <rowItems count="20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Change Request" fld="1" subtotal="count" baseField="0" baseItem="0"/>
  </dataFields>
  <chartFormats count="6">
    <chartFormat chart="5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5" format="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55" format="8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55" format="8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9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_completed" xr10:uid="{533A5884-BBF1-44AA-85C5-43CD1630E86C}" sourceName="[Range].[Date completed]">
  <pivotTables>
    <pivotTable tabId="7" name="PivotTable19"/>
  </pivotTables>
  <state minimalRefreshVersion="6" lastRefreshVersion="6" pivotCacheId="1308850054" filterType="dateBetween">
    <selection startDate="2026-04-17T00:00:00" endDate="2026-04-27T00:00:00"/>
    <bounds startDate="2024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_completed1" xr10:uid="{6E7E5856-6D9C-4A2A-B5D8-6B010B6BD33D}" sourceName="[Range].[Date completed]">
  <pivotTables>
    <pivotTable tabId="7" name="PivotTable24"/>
  </pivotTables>
  <state minimalRefreshVersion="6" lastRefreshVersion="6" pivotCacheId="406874822" filterType="dateBetween">
    <selection startDate="2026-04-17T00:00:00" endDate="2026-04-27T00:00:00"/>
    <bounds startDate="2024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completed" xr10:uid="{0CAF789C-D612-4277-A082-94DD14A3A590}" cache="Timeline_Date_completed" caption="Date completed" level="3" selectionLevel="3" scrollPosition="2026-04-08T00:00:00" style="Timeline Style 1"/>
  <timeline name="Date completed 1" xr10:uid="{FDF03202-6631-4C0B-8E2D-4F4A8E741277}" cache="Timeline_Date_completed1" caption="Date completed" level="3" selectionLevel="3" scrollPosition="2026-04-13T00:00:00" style="Timeline Style 1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F57C-10B0-4E8C-849B-3D585545103F}">
  <dimension ref="A1:AR54"/>
  <sheetViews>
    <sheetView zoomScale="70" zoomScaleNormal="70" workbookViewId="0">
      <selection activeCell="AJ21" sqref="AJ21"/>
    </sheetView>
  </sheetViews>
  <sheetFormatPr defaultRowHeight="15.75" x14ac:dyDescent="0.3"/>
  <cols>
    <col min="1" max="1" width="2.625" customWidth="1"/>
    <col min="13" max="13" width="7.75" customWidth="1"/>
    <col min="14" max="14" width="15.125" bestFit="1" customWidth="1"/>
    <col min="15" max="15" width="16.5" bestFit="1" customWidth="1"/>
    <col min="32" max="32" width="3.625" customWidth="1"/>
  </cols>
  <sheetData>
    <row r="1" spans="1:32" ht="43.5" customHeight="1" x14ac:dyDescent="0.3">
      <c r="A1" s="15"/>
      <c r="B1" s="22" t="s">
        <v>1053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15"/>
    </row>
    <row r="2" spans="1:32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3">
      <c r="A3" s="15"/>
      <c r="L3" s="15"/>
      <c r="V3" s="15"/>
      <c r="AF3" s="15"/>
    </row>
    <row r="4" spans="1:32" x14ac:dyDescent="0.3">
      <c r="A4" s="15"/>
      <c r="L4" s="15"/>
      <c r="V4" s="15"/>
      <c r="AF4" s="15"/>
    </row>
    <row r="5" spans="1:32" x14ac:dyDescent="0.3">
      <c r="A5" s="15"/>
      <c r="L5" s="15"/>
      <c r="V5" s="15"/>
      <c r="AF5" s="15"/>
    </row>
    <row r="6" spans="1:32" x14ac:dyDescent="0.3">
      <c r="A6" s="15"/>
      <c r="L6" s="15"/>
      <c r="O6" s="26"/>
      <c r="V6" s="15"/>
      <c r="AF6" s="15"/>
    </row>
    <row r="7" spans="1:32" x14ac:dyDescent="0.3">
      <c r="A7" s="15"/>
      <c r="L7" s="15"/>
      <c r="O7" s="26"/>
      <c r="V7" s="15"/>
      <c r="AF7" s="15"/>
    </row>
    <row r="8" spans="1:32" ht="15.75" customHeight="1" x14ac:dyDescent="0.3">
      <c r="A8" s="15"/>
      <c r="L8" s="15"/>
      <c r="O8" s="26"/>
      <c r="V8" s="15"/>
      <c r="AF8" s="15"/>
    </row>
    <row r="9" spans="1:32" ht="15.75" customHeight="1" x14ac:dyDescent="0.3">
      <c r="A9" s="15"/>
      <c r="L9" s="15"/>
      <c r="O9" s="26"/>
      <c r="V9" s="15"/>
      <c r="AF9" s="15"/>
    </row>
    <row r="10" spans="1:32" ht="15.75" customHeight="1" x14ac:dyDescent="0.3">
      <c r="A10" s="15"/>
      <c r="L10" s="15"/>
      <c r="O10" s="26"/>
      <c r="V10" s="15"/>
      <c r="AF10" s="15"/>
    </row>
    <row r="11" spans="1:32" ht="15.75" customHeight="1" x14ac:dyDescent="0.3">
      <c r="A11" s="15"/>
      <c r="L11" s="15"/>
      <c r="O11" s="26"/>
      <c r="V11" s="15"/>
      <c r="AF11" s="15"/>
    </row>
    <row r="12" spans="1:32" ht="15.75" customHeight="1" x14ac:dyDescent="0.3">
      <c r="A12" s="15"/>
      <c r="L12" s="15"/>
      <c r="V12" s="15"/>
      <c r="AF12" s="15"/>
    </row>
    <row r="13" spans="1:32" ht="15.75" customHeight="1" x14ac:dyDescent="0.3">
      <c r="A13" s="15"/>
      <c r="L13" s="15"/>
      <c r="V13" s="15"/>
      <c r="AF13" s="15"/>
    </row>
    <row r="14" spans="1:32" x14ac:dyDescent="0.3">
      <c r="A14" s="15"/>
      <c r="L14" s="15"/>
      <c r="V14" s="15"/>
      <c r="AF14" s="15"/>
    </row>
    <row r="15" spans="1:32" x14ac:dyDescent="0.3">
      <c r="A15" s="15"/>
      <c r="L15" s="15"/>
      <c r="V15" s="15"/>
      <c r="AF15" s="15"/>
    </row>
    <row r="16" spans="1:32" x14ac:dyDescent="0.3">
      <c r="A16" s="15"/>
      <c r="L16" s="15"/>
      <c r="V16" s="15"/>
      <c r="AF16" s="15"/>
    </row>
    <row r="17" spans="1:44" x14ac:dyDescent="0.3">
      <c r="A17" s="15"/>
      <c r="L17" s="15"/>
      <c r="V17" s="15"/>
      <c r="AF17" s="15"/>
      <c r="AR17" t="s">
        <v>1620</v>
      </c>
    </row>
    <row r="18" spans="1:44" x14ac:dyDescent="0.3">
      <c r="A18" s="15"/>
      <c r="L18" s="15"/>
      <c r="V18" s="15"/>
      <c r="AF18" s="15"/>
    </row>
    <row r="19" spans="1:44" x14ac:dyDescent="0.3">
      <c r="A19" s="15"/>
      <c r="L19" s="15"/>
      <c r="V19" s="15"/>
      <c r="AF19" s="15"/>
    </row>
    <row r="20" spans="1:44" x14ac:dyDescent="0.3">
      <c r="A20" s="15"/>
      <c r="L20" s="15"/>
      <c r="V20" s="15"/>
      <c r="AF20" s="15"/>
    </row>
    <row r="21" spans="1:44" x14ac:dyDescent="0.3">
      <c r="A21" s="15"/>
      <c r="L21" s="15"/>
      <c r="V21" s="15"/>
      <c r="AF21" s="15"/>
    </row>
    <row r="22" spans="1:44" x14ac:dyDescent="0.3">
      <c r="A22" s="15"/>
      <c r="L22" s="15"/>
      <c r="V22" s="15"/>
      <c r="AF22" s="15"/>
    </row>
    <row r="23" spans="1:44" x14ac:dyDescent="0.3">
      <c r="A23" s="15"/>
      <c r="L23" s="15"/>
      <c r="V23" s="15"/>
      <c r="AF23" s="15"/>
    </row>
    <row r="24" spans="1:44" x14ac:dyDescent="0.3">
      <c r="A24" s="15"/>
      <c r="L24" s="15"/>
      <c r="V24" s="15"/>
      <c r="AF24" s="15"/>
    </row>
    <row r="25" spans="1:44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44" ht="15.75" customHeight="1" x14ac:dyDescent="0.3">
      <c r="A26" s="15"/>
      <c r="L26" s="15"/>
      <c r="M26" s="24" t="s">
        <v>1051</v>
      </c>
      <c r="N26" s="24"/>
      <c r="O26" s="24"/>
      <c r="P26" s="24"/>
      <c r="Q26" s="20">
        <f>SUM(Total!I2:I4993)</f>
        <v>4210</v>
      </c>
      <c r="R26" s="20"/>
      <c r="S26" s="20"/>
      <c r="T26" s="20"/>
      <c r="U26" s="20"/>
      <c r="V26" s="15"/>
      <c r="AF26" s="15"/>
    </row>
    <row r="27" spans="1:44" ht="15.75" customHeight="1" x14ac:dyDescent="0.3">
      <c r="A27" s="15"/>
      <c r="L27" s="15"/>
      <c r="M27" s="24"/>
      <c r="N27" s="24"/>
      <c r="O27" s="24"/>
      <c r="P27" s="24"/>
      <c r="Q27" s="20"/>
      <c r="R27" s="20"/>
      <c r="S27" s="20"/>
      <c r="T27" s="20"/>
      <c r="U27" s="20"/>
      <c r="V27" s="15"/>
      <c r="AF27" s="15"/>
    </row>
    <row r="28" spans="1:44" ht="15.75" customHeight="1" x14ac:dyDescent="0.3">
      <c r="A28" s="15"/>
      <c r="L28" s="15"/>
      <c r="M28" s="24"/>
      <c r="N28" s="24"/>
      <c r="O28" s="24"/>
      <c r="P28" s="24"/>
      <c r="Q28" s="20"/>
      <c r="R28" s="20"/>
      <c r="S28" s="20"/>
      <c r="T28" s="20"/>
      <c r="U28" s="20"/>
      <c r="V28" s="15"/>
      <c r="AF28" s="15"/>
    </row>
    <row r="29" spans="1:44" ht="15.75" customHeight="1" x14ac:dyDescent="0.3">
      <c r="A29" s="15"/>
      <c r="L29" s="15"/>
      <c r="M29" s="24"/>
      <c r="N29" s="24"/>
      <c r="O29" s="24"/>
      <c r="P29" s="24"/>
      <c r="Q29" s="20"/>
      <c r="R29" s="20"/>
      <c r="S29" s="20"/>
      <c r="T29" s="20"/>
      <c r="U29" s="20"/>
      <c r="V29" s="15"/>
      <c r="AF29" s="15"/>
    </row>
    <row r="30" spans="1:44" ht="15.75" customHeight="1" x14ac:dyDescent="0.3">
      <c r="A30" s="15"/>
      <c r="L30" s="15"/>
      <c r="M30" s="24"/>
      <c r="N30" s="24"/>
      <c r="O30" s="24"/>
      <c r="P30" s="24"/>
      <c r="Q30" s="20"/>
      <c r="R30" s="20"/>
      <c r="S30" s="20"/>
      <c r="T30" s="20"/>
      <c r="U30" s="20"/>
      <c r="V30" s="15"/>
      <c r="AF30" s="15"/>
    </row>
    <row r="31" spans="1:44" ht="15.75" customHeight="1" x14ac:dyDescent="0.3">
      <c r="A31" s="15"/>
      <c r="L31" s="15"/>
      <c r="M31" s="25" t="s">
        <v>1052</v>
      </c>
      <c r="N31" s="25"/>
      <c r="O31" s="25"/>
      <c r="P31" s="25"/>
      <c r="Q31" s="21">
        <f ca="1">VLOOKUP((TODAY()),Summary!A:B,2,FALSE)</f>
        <v>17</v>
      </c>
      <c r="R31" s="21"/>
      <c r="S31" s="21"/>
      <c r="T31" s="21"/>
      <c r="U31" s="21"/>
      <c r="V31" s="15"/>
      <c r="AF31" s="15"/>
    </row>
    <row r="32" spans="1:44" ht="15.75" customHeight="1" x14ac:dyDescent="0.3">
      <c r="A32" s="15"/>
      <c r="L32" s="15"/>
      <c r="M32" s="25"/>
      <c r="N32" s="25"/>
      <c r="O32" s="25"/>
      <c r="P32" s="25"/>
      <c r="Q32" s="21"/>
      <c r="R32" s="21"/>
      <c r="S32" s="21"/>
      <c r="T32" s="21"/>
      <c r="U32" s="21"/>
      <c r="V32" s="15"/>
      <c r="AF32" s="15"/>
    </row>
    <row r="33" spans="1:32" ht="15.75" customHeight="1" x14ac:dyDescent="0.3">
      <c r="A33" s="15"/>
      <c r="L33" s="15"/>
      <c r="M33" s="25"/>
      <c r="N33" s="25"/>
      <c r="O33" s="25"/>
      <c r="P33" s="25"/>
      <c r="Q33" s="21"/>
      <c r="R33" s="21"/>
      <c r="S33" s="21"/>
      <c r="T33" s="21"/>
      <c r="U33" s="21"/>
      <c r="V33" s="15"/>
      <c r="AF33" s="15"/>
    </row>
    <row r="34" spans="1:32" ht="15.75" customHeight="1" x14ac:dyDescent="0.3">
      <c r="A34" s="15"/>
      <c r="L34" s="15"/>
      <c r="M34" s="25"/>
      <c r="N34" s="25"/>
      <c r="O34" s="25"/>
      <c r="P34" s="25"/>
      <c r="Q34" s="21"/>
      <c r="R34" s="21"/>
      <c r="S34" s="21"/>
      <c r="T34" s="21"/>
      <c r="U34" s="21"/>
      <c r="V34" s="15"/>
      <c r="AF34" s="15"/>
    </row>
    <row r="35" spans="1:32" ht="15.75" customHeight="1" x14ac:dyDescent="0.3">
      <c r="A35" s="15"/>
      <c r="L35" s="15"/>
      <c r="M35" s="25"/>
      <c r="N35" s="25"/>
      <c r="O35" s="25"/>
      <c r="P35" s="25"/>
      <c r="Q35" s="21"/>
      <c r="R35" s="21"/>
      <c r="S35" s="21"/>
      <c r="T35" s="21"/>
      <c r="U35" s="21"/>
      <c r="V35" s="15"/>
      <c r="AF35" s="15"/>
    </row>
    <row r="36" spans="1:32" ht="15.75" customHeight="1" x14ac:dyDescent="0.3">
      <c r="A36" s="15"/>
      <c r="L36" s="15"/>
      <c r="M36" s="24" t="s">
        <v>1050</v>
      </c>
      <c r="N36" s="24"/>
      <c r="O36" s="24"/>
      <c r="P36" s="24"/>
      <c r="Q36" s="20">
        <f>Total!J2</f>
        <v>247.64705882352942</v>
      </c>
      <c r="R36" s="20"/>
      <c r="S36" s="20"/>
      <c r="T36" s="20"/>
      <c r="U36" s="20"/>
      <c r="V36" s="15"/>
      <c r="AF36" s="15"/>
    </row>
    <row r="37" spans="1:32" ht="15.75" customHeight="1" x14ac:dyDescent="0.3">
      <c r="A37" s="15"/>
      <c r="L37" s="15"/>
      <c r="M37" s="24"/>
      <c r="N37" s="24"/>
      <c r="O37" s="24"/>
      <c r="P37" s="24"/>
      <c r="Q37" s="20"/>
      <c r="R37" s="20"/>
      <c r="S37" s="20"/>
      <c r="T37" s="20"/>
      <c r="U37" s="20"/>
      <c r="V37" s="15"/>
      <c r="AF37" s="15"/>
    </row>
    <row r="38" spans="1:32" ht="15.75" customHeight="1" x14ac:dyDescent="0.3">
      <c r="A38" s="15"/>
      <c r="L38" s="15"/>
      <c r="M38" s="24"/>
      <c r="N38" s="24"/>
      <c r="O38" s="24"/>
      <c r="P38" s="24"/>
      <c r="Q38" s="20"/>
      <c r="R38" s="20"/>
      <c r="S38" s="20"/>
      <c r="T38" s="20"/>
      <c r="U38" s="20"/>
      <c r="V38" s="15"/>
      <c r="AF38" s="15"/>
    </row>
    <row r="39" spans="1:32" ht="15.75" customHeight="1" x14ac:dyDescent="0.3">
      <c r="A39" s="15"/>
      <c r="L39" s="15"/>
      <c r="M39" s="24"/>
      <c r="N39" s="24"/>
      <c r="O39" s="24"/>
      <c r="P39" s="24"/>
      <c r="Q39" s="20"/>
      <c r="R39" s="20"/>
      <c r="S39" s="20"/>
      <c r="T39" s="20"/>
      <c r="U39" s="20"/>
      <c r="V39" s="15"/>
      <c r="AF39" s="15"/>
    </row>
    <row r="40" spans="1:32" ht="15.75" customHeight="1" x14ac:dyDescent="0.3">
      <c r="A40" s="15"/>
      <c r="L40" s="15"/>
      <c r="M40" s="24"/>
      <c r="N40" s="24"/>
      <c r="O40" s="24"/>
      <c r="P40" s="24"/>
      <c r="Q40" s="20"/>
      <c r="R40" s="20"/>
      <c r="S40" s="20"/>
      <c r="T40" s="20"/>
      <c r="U40" s="20"/>
      <c r="V40" s="15"/>
      <c r="AF40" s="15"/>
    </row>
    <row r="41" spans="1:32" ht="15.75" customHeight="1" x14ac:dyDescent="0.3">
      <c r="A41" s="15"/>
      <c r="L41" s="15"/>
      <c r="M41" s="24"/>
      <c r="N41" s="24"/>
      <c r="O41" s="24"/>
      <c r="P41" s="24"/>
      <c r="Q41" s="20"/>
      <c r="R41" s="20"/>
      <c r="S41" s="20"/>
      <c r="T41" s="20"/>
      <c r="U41" s="20"/>
      <c r="V41" s="15"/>
      <c r="AF41" s="15"/>
    </row>
    <row r="42" spans="1:32" ht="15.75" customHeight="1" x14ac:dyDescent="0.3">
      <c r="A42" s="15"/>
      <c r="L42" s="15"/>
      <c r="M42" s="24"/>
      <c r="N42" s="24"/>
      <c r="O42" s="24"/>
      <c r="P42" s="24"/>
      <c r="Q42" s="20"/>
      <c r="R42" s="20"/>
      <c r="S42" s="20"/>
      <c r="T42" s="20"/>
      <c r="U42" s="20"/>
      <c r="V42" s="15"/>
      <c r="AF42" s="15"/>
    </row>
    <row r="43" spans="1:32" ht="15.75" customHeight="1" x14ac:dyDescent="0.3">
      <c r="A43" s="15"/>
      <c r="L43" s="15"/>
      <c r="M43" s="24"/>
      <c r="N43" s="24"/>
      <c r="O43" s="24"/>
      <c r="P43" s="24"/>
      <c r="Q43" s="20"/>
      <c r="R43" s="20"/>
      <c r="S43" s="20"/>
      <c r="T43" s="20"/>
      <c r="U43" s="20"/>
      <c r="V43" s="15"/>
      <c r="AF43" s="15"/>
    </row>
    <row r="44" spans="1:32" ht="15.75" customHeight="1" x14ac:dyDescent="0.3">
      <c r="A44" s="15"/>
      <c r="L44" s="15"/>
      <c r="M44" s="24"/>
      <c r="N44" s="24"/>
      <c r="O44" s="24"/>
      <c r="P44" s="24"/>
      <c r="Q44" s="20"/>
      <c r="R44" s="20"/>
      <c r="S44" s="20"/>
      <c r="T44" s="20"/>
      <c r="U44" s="20"/>
      <c r="V44" s="15"/>
      <c r="AF44" s="15"/>
    </row>
    <row r="45" spans="1:32" ht="15.75" customHeight="1" x14ac:dyDescent="0.3">
      <c r="A45" s="15"/>
      <c r="L45" s="15"/>
      <c r="M45" s="24"/>
      <c r="N45" s="24"/>
      <c r="O45" s="24"/>
      <c r="P45" s="24"/>
      <c r="Q45" s="20"/>
      <c r="R45" s="20"/>
      <c r="S45" s="20"/>
      <c r="T45" s="20"/>
      <c r="U45" s="20"/>
      <c r="V45" s="15"/>
      <c r="AF45" s="15"/>
    </row>
    <row r="46" spans="1:32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1:32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1:32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spans="1:32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 spans="1:32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 spans="1:32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 spans="1:32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1:32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</sheetData>
  <mergeCells count="8">
    <mergeCell ref="Q26:U30"/>
    <mergeCell ref="Q31:U35"/>
    <mergeCell ref="Q36:U45"/>
    <mergeCell ref="B1:AE1"/>
    <mergeCell ref="M26:P30"/>
    <mergeCell ref="M31:P35"/>
    <mergeCell ref="M36:P45"/>
    <mergeCell ref="O6:O11"/>
  </mergeCells>
  <pageMargins left="0.7" right="0.7" top="0.75" bottom="0.75" header="0.3" footer="0.3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DA55-C667-45FA-9666-7FE99FC9134F}">
  <dimension ref="A2:AB1619"/>
  <sheetViews>
    <sheetView topLeftCell="A31" zoomScale="115" zoomScaleNormal="115" workbookViewId="0">
      <selection activeCell="C21" sqref="C21"/>
    </sheetView>
  </sheetViews>
  <sheetFormatPr defaultRowHeight="15.75" x14ac:dyDescent="0.3"/>
  <cols>
    <col min="1" max="1" width="23.75" bestFit="1" customWidth="1"/>
    <col min="2" max="2" width="15.625" bestFit="1" customWidth="1"/>
    <col min="3" max="3" width="5.5" bestFit="1" customWidth="1"/>
    <col min="4" max="4" width="5.375" bestFit="1" customWidth="1"/>
    <col min="5" max="5" width="11.125" bestFit="1" customWidth="1"/>
    <col min="6" max="6" width="4.375" bestFit="1" customWidth="1"/>
    <col min="7" max="7" width="4" bestFit="1" customWidth="1"/>
    <col min="8" max="8" width="3.875" bestFit="1" customWidth="1"/>
    <col min="9" max="9" width="4.375" bestFit="1" customWidth="1"/>
    <col min="10" max="11" width="4.125" bestFit="1" customWidth="1"/>
    <col min="12" max="12" width="12.75" bestFit="1" customWidth="1"/>
    <col min="13" max="13" width="23.75" bestFit="1" customWidth="1"/>
    <col min="14" max="14" width="15.625" bestFit="1" customWidth="1"/>
    <col min="15" max="15" width="23.75" bestFit="1" customWidth="1"/>
    <col min="16" max="16" width="15.625" bestFit="1" customWidth="1"/>
    <col min="17" max="18" width="11.125" bestFit="1" customWidth="1"/>
    <col min="19" max="19" width="4.125" bestFit="1" customWidth="1"/>
    <col min="20" max="20" width="12.75" bestFit="1" customWidth="1"/>
    <col min="21" max="21" width="23.75" bestFit="1" customWidth="1"/>
    <col min="22" max="22" width="15.625" bestFit="1" customWidth="1"/>
    <col min="23" max="23" width="5.125" bestFit="1" customWidth="1"/>
    <col min="24" max="24" width="23.75" bestFit="1" customWidth="1"/>
    <col min="25" max="25" width="15.625" bestFit="1" customWidth="1"/>
    <col min="26" max="26" width="5.5" bestFit="1" customWidth="1"/>
    <col min="27" max="27" width="5.125" bestFit="1" customWidth="1"/>
    <col min="28" max="28" width="11.125" bestFit="1" customWidth="1"/>
    <col min="29" max="31" width="4.25" bestFit="1" customWidth="1"/>
    <col min="32" max="32" width="11.125" bestFit="1" customWidth="1"/>
    <col min="33" max="201" width="10.75" bestFit="1" customWidth="1"/>
    <col min="202" max="202" width="6.375" bestFit="1" customWidth="1"/>
    <col min="203" max="312" width="7.5" bestFit="1" customWidth="1"/>
    <col min="313" max="314" width="8.875" bestFit="1" customWidth="1"/>
    <col min="315" max="317" width="7.5" bestFit="1" customWidth="1"/>
    <col min="318" max="318" width="8.875" bestFit="1" customWidth="1"/>
    <col min="319" max="321" width="7.5" bestFit="1" customWidth="1"/>
    <col min="322" max="323" width="8.875" bestFit="1" customWidth="1"/>
    <col min="324" max="353" width="7.5" bestFit="1" customWidth="1"/>
    <col min="354" max="354" width="8.875" bestFit="1" customWidth="1"/>
    <col min="355" max="360" width="7.5" bestFit="1" customWidth="1"/>
    <col min="361" max="361" width="8.875" bestFit="1" customWidth="1"/>
    <col min="362" max="362" width="7.5" bestFit="1" customWidth="1"/>
    <col min="363" max="363" width="8.875" bestFit="1" customWidth="1"/>
    <col min="364" max="505" width="7.5" bestFit="1" customWidth="1"/>
    <col min="506" max="512" width="8.875" bestFit="1" customWidth="1"/>
    <col min="513" max="529" width="7.5" bestFit="1" customWidth="1"/>
    <col min="530" max="530" width="8.875" bestFit="1" customWidth="1"/>
    <col min="531" max="532" width="7.5" bestFit="1" customWidth="1"/>
    <col min="533" max="535" width="8.875" bestFit="1" customWidth="1"/>
    <col min="536" max="553" width="7.5" bestFit="1" customWidth="1"/>
    <col min="554" max="554" width="8.875" bestFit="1" customWidth="1"/>
    <col min="555" max="557" width="7.5" bestFit="1" customWidth="1"/>
    <col min="558" max="558" width="8.875" bestFit="1" customWidth="1"/>
    <col min="559" max="559" width="7.5" bestFit="1" customWidth="1"/>
    <col min="560" max="560" width="8.875" bestFit="1" customWidth="1"/>
    <col min="561" max="561" width="7.5" bestFit="1" customWidth="1"/>
    <col min="562" max="574" width="8.875" bestFit="1" customWidth="1"/>
    <col min="575" max="590" width="7.5" bestFit="1" customWidth="1"/>
    <col min="591" max="591" width="8.875" bestFit="1" customWidth="1"/>
    <col min="592" max="597" width="7.5" bestFit="1" customWidth="1"/>
    <col min="598" max="598" width="8.875" bestFit="1" customWidth="1"/>
    <col min="599" max="615" width="7.5" bestFit="1" customWidth="1"/>
    <col min="616" max="617" width="8.875" bestFit="1" customWidth="1"/>
    <col min="618" max="637" width="7.5" bestFit="1" customWidth="1"/>
    <col min="638" max="638" width="8.875" bestFit="1" customWidth="1"/>
    <col min="639" max="964" width="7.5" bestFit="1" customWidth="1"/>
    <col min="965" max="1023" width="10.75" bestFit="1" customWidth="1"/>
    <col min="1024" max="1142" width="7.5" bestFit="1" customWidth="1"/>
    <col min="1143" max="1143" width="11.125" bestFit="1" customWidth="1"/>
  </cols>
  <sheetData>
    <row r="2" spans="1:28" x14ac:dyDescent="0.3">
      <c r="A2" t="s">
        <v>1047</v>
      </c>
      <c r="L2" t="s">
        <v>1049</v>
      </c>
      <c r="O2" t="s">
        <v>1046</v>
      </c>
      <c r="T2" t="s">
        <v>1045</v>
      </c>
      <c r="X2" t="s">
        <v>1048</v>
      </c>
    </row>
    <row r="3" spans="1:28" x14ac:dyDescent="0.3">
      <c r="A3" s="6" t="s">
        <v>991</v>
      </c>
      <c r="B3" s="6" t="s">
        <v>1008</v>
      </c>
      <c r="L3" s="6" t="s">
        <v>989</v>
      </c>
      <c r="M3" t="s">
        <v>991</v>
      </c>
      <c r="O3" s="6" t="s">
        <v>991</v>
      </c>
      <c r="P3" s="6" t="s">
        <v>1008</v>
      </c>
      <c r="T3" s="6" t="s">
        <v>989</v>
      </c>
      <c r="U3" t="s">
        <v>991</v>
      </c>
      <c r="X3" s="6" t="s">
        <v>991</v>
      </c>
      <c r="Y3" s="6" t="s">
        <v>1008</v>
      </c>
    </row>
    <row r="4" spans="1:28" x14ac:dyDescent="0.3">
      <c r="A4" s="6" t="s">
        <v>989</v>
      </c>
      <c r="B4" t="s">
        <v>1011</v>
      </c>
      <c r="C4" t="s">
        <v>1604</v>
      </c>
      <c r="D4" t="s">
        <v>1010</v>
      </c>
      <c r="E4" t="s">
        <v>990</v>
      </c>
      <c r="L4" s="17">
        <v>46129</v>
      </c>
      <c r="M4" s="27">
        <v>25</v>
      </c>
      <c r="O4" s="6" t="s">
        <v>989</v>
      </c>
      <c r="P4" t="s">
        <v>992</v>
      </c>
      <c r="Q4" t="s">
        <v>990</v>
      </c>
      <c r="T4" s="4" t="s">
        <v>994</v>
      </c>
      <c r="U4" s="27"/>
      <c r="X4" s="6" t="s">
        <v>989</v>
      </c>
      <c r="Y4" t="s">
        <v>1011</v>
      </c>
      <c r="Z4" t="s">
        <v>1604</v>
      </c>
      <c r="AA4" t="s">
        <v>1010</v>
      </c>
      <c r="AB4" t="s">
        <v>990</v>
      </c>
    </row>
    <row r="5" spans="1:28" x14ac:dyDescent="0.3">
      <c r="A5" s="4" t="s">
        <v>994</v>
      </c>
      <c r="B5" s="27"/>
      <c r="C5" s="27"/>
      <c r="D5" s="27">
        <v>10</v>
      </c>
      <c r="E5" s="27">
        <v>10</v>
      </c>
      <c r="L5" s="17">
        <v>46132</v>
      </c>
      <c r="M5" s="27">
        <v>25</v>
      </c>
      <c r="O5" s="4" t="s">
        <v>1172</v>
      </c>
      <c r="P5" s="27">
        <v>55</v>
      </c>
      <c r="Q5" s="27">
        <v>55</v>
      </c>
      <c r="T5" s="7" t="s">
        <v>995</v>
      </c>
      <c r="U5" s="27">
        <v>10</v>
      </c>
      <c r="X5" s="17" t="s">
        <v>1846</v>
      </c>
      <c r="Y5" s="27"/>
      <c r="Z5" s="27"/>
      <c r="AA5" s="27"/>
      <c r="AB5" s="27"/>
    </row>
    <row r="6" spans="1:28" x14ac:dyDescent="0.3">
      <c r="A6" s="4" t="s">
        <v>992</v>
      </c>
      <c r="B6" s="27"/>
      <c r="C6" s="27"/>
      <c r="D6" s="27"/>
      <c r="E6" s="27"/>
      <c r="L6" s="17">
        <v>46133</v>
      </c>
      <c r="M6" s="27">
        <v>40</v>
      </c>
      <c r="O6" s="4" t="s">
        <v>1229</v>
      </c>
      <c r="P6" s="27">
        <v>27</v>
      </c>
      <c r="Q6" s="27">
        <v>27</v>
      </c>
      <c r="T6" s="4" t="s">
        <v>992</v>
      </c>
      <c r="U6" s="27"/>
      <c r="X6" s="18">
        <v>46129</v>
      </c>
      <c r="Y6" s="27">
        <v>3</v>
      </c>
      <c r="Z6" s="27"/>
      <c r="AA6" s="27">
        <v>22</v>
      </c>
      <c r="AB6" s="27">
        <v>25</v>
      </c>
    </row>
    <row r="7" spans="1:28" x14ac:dyDescent="0.3">
      <c r="A7" s="7" t="s">
        <v>996</v>
      </c>
      <c r="B7" s="27"/>
      <c r="C7" s="27"/>
      <c r="D7" s="27">
        <v>42</v>
      </c>
      <c r="E7" s="27">
        <v>42</v>
      </c>
      <c r="L7" s="17">
        <v>46134</v>
      </c>
      <c r="M7" s="27">
        <v>43</v>
      </c>
      <c r="O7" s="4" t="s">
        <v>364</v>
      </c>
      <c r="P7" s="27">
        <v>408</v>
      </c>
      <c r="Q7" s="27">
        <v>408</v>
      </c>
      <c r="T7" s="7" t="s">
        <v>996</v>
      </c>
      <c r="U7" s="27">
        <v>42</v>
      </c>
      <c r="X7" s="18">
        <v>46132</v>
      </c>
      <c r="Y7" s="27">
        <v>2</v>
      </c>
      <c r="Z7" s="27">
        <v>2</v>
      </c>
      <c r="AA7" s="27">
        <v>21</v>
      </c>
      <c r="AB7" s="27">
        <v>25</v>
      </c>
    </row>
    <row r="8" spans="1:28" x14ac:dyDescent="0.3">
      <c r="A8" s="7" t="s">
        <v>997</v>
      </c>
      <c r="B8" s="27">
        <v>1</v>
      </c>
      <c r="C8" s="27"/>
      <c r="D8" s="27">
        <v>54</v>
      </c>
      <c r="E8" s="27">
        <v>55</v>
      </c>
      <c r="L8" s="17">
        <v>46135</v>
      </c>
      <c r="M8" s="27">
        <v>40</v>
      </c>
      <c r="O8" s="4" t="s">
        <v>143</v>
      </c>
      <c r="P8" s="27">
        <v>59</v>
      </c>
      <c r="Q8" s="27">
        <v>59</v>
      </c>
      <c r="T8" s="7" t="s">
        <v>997</v>
      </c>
      <c r="U8" s="27">
        <v>55</v>
      </c>
      <c r="X8" s="18">
        <v>46133</v>
      </c>
      <c r="Y8" s="27">
        <v>1</v>
      </c>
      <c r="Z8" s="27">
        <v>8</v>
      </c>
      <c r="AA8" s="27">
        <v>31</v>
      </c>
      <c r="AB8" s="27">
        <v>40</v>
      </c>
    </row>
    <row r="9" spans="1:28" x14ac:dyDescent="0.3">
      <c r="A9" s="7" t="s">
        <v>998</v>
      </c>
      <c r="B9" s="27">
        <v>7</v>
      </c>
      <c r="C9" s="27"/>
      <c r="D9" s="27">
        <v>41</v>
      </c>
      <c r="E9" s="27">
        <v>48</v>
      </c>
      <c r="L9" s="17">
        <v>46136</v>
      </c>
      <c r="M9" s="27">
        <v>17</v>
      </c>
      <c r="O9" s="4" t="s">
        <v>10</v>
      </c>
      <c r="P9" s="27">
        <v>341</v>
      </c>
      <c r="Q9" s="27">
        <v>341</v>
      </c>
      <c r="T9" s="7" t="s">
        <v>998</v>
      </c>
      <c r="U9" s="27">
        <v>48</v>
      </c>
      <c r="X9" s="18">
        <v>46134</v>
      </c>
      <c r="Y9" s="27">
        <v>7</v>
      </c>
      <c r="Z9" s="27">
        <v>5</v>
      </c>
      <c r="AA9" s="27">
        <v>31</v>
      </c>
      <c r="AB9" s="27">
        <v>43</v>
      </c>
    </row>
    <row r="10" spans="1:28" x14ac:dyDescent="0.3">
      <c r="A10" s="7" t="s">
        <v>999</v>
      </c>
      <c r="B10" s="27">
        <v>29</v>
      </c>
      <c r="C10" s="27"/>
      <c r="D10" s="27">
        <v>62</v>
      </c>
      <c r="E10" s="27">
        <v>91</v>
      </c>
      <c r="L10" s="4" t="s">
        <v>990</v>
      </c>
      <c r="M10" s="27">
        <v>190</v>
      </c>
      <c r="O10" s="4" t="s">
        <v>1259</v>
      </c>
      <c r="P10" s="27">
        <v>264</v>
      </c>
      <c r="Q10" s="27">
        <v>264</v>
      </c>
      <c r="T10" s="7" t="s">
        <v>999</v>
      </c>
      <c r="U10" s="27">
        <v>91</v>
      </c>
      <c r="X10" s="18">
        <v>46135</v>
      </c>
      <c r="Y10" s="27">
        <v>1</v>
      </c>
      <c r="Z10" s="27">
        <v>10</v>
      </c>
      <c r="AA10" s="27">
        <v>29</v>
      </c>
      <c r="AB10" s="27">
        <v>40</v>
      </c>
    </row>
    <row r="11" spans="1:28" x14ac:dyDescent="0.3">
      <c r="A11" s="7" t="s">
        <v>1000</v>
      </c>
      <c r="B11" s="27">
        <v>47</v>
      </c>
      <c r="C11" s="27"/>
      <c r="D11" s="27">
        <v>107</v>
      </c>
      <c r="E11" s="27">
        <v>154</v>
      </c>
      <c r="O11" s="4" t="s">
        <v>209</v>
      </c>
      <c r="P11" s="27">
        <v>521</v>
      </c>
      <c r="Q11" s="27">
        <v>521</v>
      </c>
      <c r="T11" s="7" t="s">
        <v>1000</v>
      </c>
      <c r="U11" s="27">
        <v>154</v>
      </c>
      <c r="X11" s="18">
        <v>46136</v>
      </c>
      <c r="Y11" s="27">
        <v>2</v>
      </c>
      <c r="Z11" s="27">
        <v>2</v>
      </c>
      <c r="AA11" s="27">
        <v>13</v>
      </c>
      <c r="AB11" s="27">
        <v>17</v>
      </c>
    </row>
    <row r="12" spans="1:28" x14ac:dyDescent="0.3">
      <c r="A12" s="7" t="s">
        <v>1001</v>
      </c>
      <c r="B12" s="27">
        <v>24</v>
      </c>
      <c r="C12" s="27"/>
      <c r="D12" s="27">
        <v>187</v>
      </c>
      <c r="E12" s="27">
        <v>211</v>
      </c>
      <c r="O12" s="4" t="s">
        <v>227</v>
      </c>
      <c r="P12" s="27">
        <v>41</v>
      </c>
      <c r="Q12" s="27">
        <v>41</v>
      </c>
      <c r="T12" s="7" t="s">
        <v>1001</v>
      </c>
      <c r="U12" s="27">
        <v>211</v>
      </c>
      <c r="X12" s="9" t="s">
        <v>990</v>
      </c>
      <c r="Y12" s="27">
        <v>16</v>
      </c>
      <c r="Z12" s="27">
        <v>27</v>
      </c>
      <c r="AA12" s="27">
        <v>147</v>
      </c>
      <c r="AB12" s="27">
        <v>190</v>
      </c>
    </row>
    <row r="13" spans="1:28" x14ac:dyDescent="0.3">
      <c r="A13" s="7" t="s">
        <v>993</v>
      </c>
      <c r="B13" s="27">
        <v>64</v>
      </c>
      <c r="C13" s="27"/>
      <c r="D13" s="27">
        <v>202</v>
      </c>
      <c r="E13" s="27">
        <v>266</v>
      </c>
      <c r="O13" s="4" t="s">
        <v>192</v>
      </c>
      <c r="P13" s="27">
        <v>90</v>
      </c>
      <c r="Q13" s="27">
        <v>90</v>
      </c>
      <c r="T13" s="7" t="s">
        <v>993</v>
      </c>
      <c r="U13" s="27">
        <v>266</v>
      </c>
    </row>
    <row r="14" spans="1:28" x14ac:dyDescent="0.3">
      <c r="A14" s="7" t="s">
        <v>1002</v>
      </c>
      <c r="B14" s="27">
        <v>50</v>
      </c>
      <c r="C14" s="27"/>
      <c r="D14" s="27">
        <v>202</v>
      </c>
      <c r="E14" s="27">
        <v>252</v>
      </c>
      <c r="O14" s="4" t="s">
        <v>990</v>
      </c>
      <c r="P14" s="27">
        <v>1806</v>
      </c>
      <c r="Q14" s="27">
        <v>1806</v>
      </c>
      <c r="T14" s="7" t="s">
        <v>1002</v>
      </c>
      <c r="U14" s="27">
        <v>252</v>
      </c>
    </row>
    <row r="15" spans="1:28" x14ac:dyDescent="0.3">
      <c r="A15" s="7" t="s">
        <v>1003</v>
      </c>
      <c r="B15" s="27">
        <v>74</v>
      </c>
      <c r="C15" s="27"/>
      <c r="D15" s="27">
        <v>261</v>
      </c>
      <c r="E15" s="27">
        <v>335</v>
      </c>
      <c r="T15" s="7" t="s">
        <v>1003</v>
      </c>
      <c r="U15" s="27">
        <v>335</v>
      </c>
    </row>
    <row r="16" spans="1:28" x14ac:dyDescent="0.3">
      <c r="A16" s="7" t="s">
        <v>1277</v>
      </c>
      <c r="B16" s="27">
        <v>74</v>
      </c>
      <c r="C16" s="27"/>
      <c r="D16" s="27">
        <v>281</v>
      </c>
      <c r="E16" s="27">
        <v>355</v>
      </c>
      <c r="T16" s="7" t="s">
        <v>1277</v>
      </c>
      <c r="U16" s="27">
        <v>355</v>
      </c>
    </row>
    <row r="17" spans="1:21" x14ac:dyDescent="0.3">
      <c r="A17" s="7" t="s">
        <v>1476</v>
      </c>
      <c r="B17" s="27">
        <v>76</v>
      </c>
      <c r="C17" s="27"/>
      <c r="D17" s="27">
        <v>194</v>
      </c>
      <c r="E17" s="27">
        <v>270</v>
      </c>
      <c r="T17" s="7" t="s">
        <v>1476</v>
      </c>
      <c r="U17" s="27">
        <v>270</v>
      </c>
    </row>
    <row r="18" spans="1:21" x14ac:dyDescent="0.3">
      <c r="A18" s="7" t="s">
        <v>995</v>
      </c>
      <c r="B18" s="27">
        <v>63</v>
      </c>
      <c r="C18" s="27"/>
      <c r="D18" s="27">
        <v>211</v>
      </c>
      <c r="E18" s="27">
        <v>274</v>
      </c>
      <c r="T18" s="7" t="s">
        <v>995</v>
      </c>
      <c r="U18" s="27">
        <v>274</v>
      </c>
    </row>
    <row r="19" spans="1:21" x14ac:dyDescent="0.3">
      <c r="A19" s="4" t="s">
        <v>1846</v>
      </c>
      <c r="B19" s="27"/>
      <c r="C19" s="27"/>
      <c r="D19" s="27"/>
      <c r="E19" s="27"/>
      <c r="T19" s="4" t="s">
        <v>1846</v>
      </c>
      <c r="U19" s="27"/>
    </row>
    <row r="20" spans="1:21" x14ac:dyDescent="0.3">
      <c r="A20" s="7" t="s">
        <v>996</v>
      </c>
      <c r="B20" s="27">
        <v>71</v>
      </c>
      <c r="C20" s="27">
        <v>31</v>
      </c>
      <c r="D20" s="27">
        <v>310</v>
      </c>
      <c r="E20" s="27">
        <v>412</v>
      </c>
      <c r="T20" s="7" t="s">
        <v>996</v>
      </c>
      <c r="U20" s="27">
        <v>412</v>
      </c>
    </row>
    <row r="21" spans="1:21" x14ac:dyDescent="0.3">
      <c r="A21" s="7" t="s">
        <v>997</v>
      </c>
      <c r="B21" s="27">
        <v>70</v>
      </c>
      <c r="C21" s="27">
        <v>48</v>
      </c>
      <c r="D21" s="27">
        <v>334</v>
      </c>
      <c r="E21" s="27">
        <v>452</v>
      </c>
      <c r="T21" s="7" t="s">
        <v>997</v>
      </c>
      <c r="U21" s="27">
        <v>452</v>
      </c>
    </row>
    <row r="22" spans="1:21" x14ac:dyDescent="0.3">
      <c r="A22" s="7" t="s">
        <v>998</v>
      </c>
      <c r="B22" s="27">
        <v>89</v>
      </c>
      <c r="C22" s="27">
        <v>66</v>
      </c>
      <c r="D22" s="27">
        <v>362</v>
      </c>
      <c r="E22" s="27">
        <v>517</v>
      </c>
      <c r="T22" s="7" t="s">
        <v>998</v>
      </c>
      <c r="U22" s="27">
        <v>517</v>
      </c>
    </row>
    <row r="23" spans="1:21" x14ac:dyDescent="0.3">
      <c r="A23" s="7" t="s">
        <v>999</v>
      </c>
      <c r="B23" s="27">
        <v>56</v>
      </c>
      <c r="C23" s="27">
        <v>48</v>
      </c>
      <c r="D23" s="27">
        <v>362</v>
      </c>
      <c r="E23" s="27">
        <v>466</v>
      </c>
      <c r="T23" s="7" t="s">
        <v>999</v>
      </c>
      <c r="U23" s="27">
        <v>466</v>
      </c>
    </row>
    <row r="24" spans="1:21" x14ac:dyDescent="0.3">
      <c r="A24" s="4" t="s">
        <v>990</v>
      </c>
      <c r="B24" s="27">
        <v>795</v>
      </c>
      <c r="C24" s="27">
        <v>193</v>
      </c>
      <c r="D24" s="27">
        <v>3222</v>
      </c>
      <c r="E24" s="27">
        <v>4210</v>
      </c>
      <c r="T24" s="4" t="s">
        <v>990</v>
      </c>
      <c r="U24" s="27">
        <v>4210</v>
      </c>
    </row>
    <row r="195" spans="13:13" x14ac:dyDescent="0.3">
      <c r="M195" s="10"/>
    </row>
    <row r="196" spans="13:13" x14ac:dyDescent="0.3">
      <c r="M196" s="10"/>
    </row>
    <row r="197" spans="13:13" x14ac:dyDescent="0.3">
      <c r="M197" s="10"/>
    </row>
    <row r="198" spans="13:13" x14ac:dyDescent="0.3">
      <c r="M198" s="10"/>
    </row>
    <row r="199" spans="13:13" x14ac:dyDescent="0.3">
      <c r="M199" s="10"/>
    </row>
    <row r="200" spans="13:13" x14ac:dyDescent="0.3">
      <c r="M200" s="10"/>
    </row>
    <row r="201" spans="13:13" x14ac:dyDescent="0.3">
      <c r="M201" s="10"/>
    </row>
    <row r="202" spans="13:13" x14ac:dyDescent="0.3">
      <c r="M202" s="10"/>
    </row>
    <row r="203" spans="13:13" x14ac:dyDescent="0.3">
      <c r="M203" s="10"/>
    </row>
    <row r="204" spans="13:13" x14ac:dyDescent="0.3">
      <c r="M204" s="10"/>
    </row>
    <row r="205" spans="13:13" x14ac:dyDescent="0.3">
      <c r="M205" s="10"/>
    </row>
    <row r="206" spans="13:13" x14ac:dyDescent="0.3">
      <c r="M206" s="10"/>
    </row>
    <row r="207" spans="13:13" x14ac:dyDescent="0.3">
      <c r="M207" s="10"/>
    </row>
    <row r="208" spans="13:13" x14ac:dyDescent="0.3">
      <c r="M208" s="10"/>
    </row>
    <row r="209" spans="13:13" x14ac:dyDescent="0.3">
      <c r="M209" s="10"/>
    </row>
    <row r="210" spans="13:13" x14ac:dyDescent="0.3">
      <c r="M210" s="10"/>
    </row>
    <row r="211" spans="13:13" x14ac:dyDescent="0.3">
      <c r="M211" s="10"/>
    </row>
    <row r="212" spans="13:13" x14ac:dyDescent="0.3">
      <c r="M212" s="10"/>
    </row>
    <row r="213" spans="13:13" x14ac:dyDescent="0.3">
      <c r="M213" s="10"/>
    </row>
    <row r="214" spans="13:13" x14ac:dyDescent="0.3">
      <c r="M214" s="10"/>
    </row>
    <row r="215" spans="13:13" x14ac:dyDescent="0.3">
      <c r="M215" s="10"/>
    </row>
    <row r="216" spans="13:13" x14ac:dyDescent="0.3">
      <c r="M216" s="10"/>
    </row>
    <row r="217" spans="13:13" x14ac:dyDescent="0.3">
      <c r="M217" s="10"/>
    </row>
    <row r="218" spans="13:13" x14ac:dyDescent="0.3">
      <c r="M218" s="10"/>
    </row>
    <row r="219" spans="13:13" x14ac:dyDescent="0.3">
      <c r="M219" s="10"/>
    </row>
    <row r="220" spans="13:13" x14ac:dyDescent="0.3">
      <c r="M220" s="10"/>
    </row>
    <row r="221" spans="13:13" x14ac:dyDescent="0.3">
      <c r="M221" s="10"/>
    </row>
    <row r="222" spans="13:13" x14ac:dyDescent="0.3">
      <c r="M222" s="10"/>
    </row>
    <row r="223" spans="13:13" x14ac:dyDescent="0.3">
      <c r="M223" s="10"/>
    </row>
    <row r="224" spans="13:13" x14ac:dyDescent="0.3">
      <c r="M224" s="10"/>
    </row>
    <row r="225" spans="13:13" x14ac:dyDescent="0.3">
      <c r="M225" s="10"/>
    </row>
    <row r="226" spans="13:13" x14ac:dyDescent="0.3">
      <c r="M226" s="10"/>
    </row>
    <row r="227" spans="13:13" x14ac:dyDescent="0.3">
      <c r="M227" s="10"/>
    </row>
    <row r="228" spans="13:13" x14ac:dyDescent="0.3">
      <c r="M228" s="10"/>
    </row>
    <row r="229" spans="13:13" x14ac:dyDescent="0.3">
      <c r="M229" s="10"/>
    </row>
    <row r="230" spans="13:13" x14ac:dyDescent="0.3">
      <c r="M230" s="10"/>
    </row>
    <row r="231" spans="13:13" x14ac:dyDescent="0.3">
      <c r="M231" s="10"/>
    </row>
    <row r="232" spans="13:13" x14ac:dyDescent="0.3">
      <c r="M232" s="10"/>
    </row>
    <row r="233" spans="13:13" x14ac:dyDescent="0.3">
      <c r="M233" s="10"/>
    </row>
    <row r="234" spans="13:13" x14ac:dyDescent="0.3">
      <c r="M234" s="10"/>
    </row>
    <row r="235" spans="13:13" x14ac:dyDescent="0.3">
      <c r="M235" s="10"/>
    </row>
    <row r="236" spans="13:13" x14ac:dyDescent="0.3">
      <c r="M236" s="10"/>
    </row>
    <row r="237" spans="13:13" x14ac:dyDescent="0.3">
      <c r="M237" s="10"/>
    </row>
    <row r="238" spans="13:13" x14ac:dyDescent="0.3">
      <c r="M238" s="10"/>
    </row>
    <row r="239" spans="13:13" x14ac:dyDescent="0.3">
      <c r="M239" s="10"/>
    </row>
    <row r="240" spans="13:13" x14ac:dyDescent="0.3">
      <c r="M240" s="10"/>
    </row>
    <row r="241" spans="13:13" x14ac:dyDescent="0.3">
      <c r="M241" s="10"/>
    </row>
    <row r="242" spans="13:13" x14ac:dyDescent="0.3">
      <c r="M242" s="10"/>
    </row>
    <row r="243" spans="13:13" x14ac:dyDescent="0.3">
      <c r="M243" s="10"/>
    </row>
    <row r="244" spans="13:13" x14ac:dyDescent="0.3">
      <c r="M244" s="10"/>
    </row>
    <row r="245" spans="13:13" x14ac:dyDescent="0.3">
      <c r="M245" s="10"/>
    </row>
    <row r="246" spans="13:13" x14ac:dyDescent="0.3">
      <c r="M246" s="10"/>
    </row>
    <row r="247" spans="13:13" x14ac:dyDescent="0.3">
      <c r="M247" s="10"/>
    </row>
    <row r="248" spans="13:13" x14ac:dyDescent="0.3">
      <c r="M248" s="10"/>
    </row>
    <row r="249" spans="13:13" x14ac:dyDescent="0.3">
      <c r="M249" s="10"/>
    </row>
    <row r="250" spans="13:13" x14ac:dyDescent="0.3">
      <c r="M250" s="10"/>
    </row>
    <row r="251" spans="13:13" x14ac:dyDescent="0.3">
      <c r="M251" s="10"/>
    </row>
    <row r="252" spans="13:13" x14ac:dyDescent="0.3">
      <c r="M252" s="10"/>
    </row>
    <row r="253" spans="13:13" x14ac:dyDescent="0.3">
      <c r="M253" s="10"/>
    </row>
    <row r="254" spans="13:13" x14ac:dyDescent="0.3">
      <c r="M254" s="10"/>
    </row>
    <row r="255" spans="13:13" x14ac:dyDescent="0.3">
      <c r="M255" s="10"/>
    </row>
    <row r="256" spans="13:13" x14ac:dyDescent="0.3">
      <c r="M256" s="10"/>
    </row>
    <row r="257" spans="13:13" x14ac:dyDescent="0.3">
      <c r="M257" s="10"/>
    </row>
    <row r="258" spans="13:13" x14ac:dyDescent="0.3">
      <c r="M258" s="10"/>
    </row>
    <row r="259" spans="13:13" x14ac:dyDescent="0.3">
      <c r="M259" s="10"/>
    </row>
    <row r="260" spans="13:13" x14ac:dyDescent="0.3">
      <c r="M260" s="10"/>
    </row>
    <row r="261" spans="13:13" x14ac:dyDescent="0.3">
      <c r="M261" s="10"/>
    </row>
    <row r="262" spans="13:13" x14ac:dyDescent="0.3">
      <c r="M262" s="10"/>
    </row>
    <row r="263" spans="13:13" x14ac:dyDescent="0.3">
      <c r="M263" s="10"/>
    </row>
    <row r="264" spans="13:13" x14ac:dyDescent="0.3">
      <c r="M264" s="10"/>
    </row>
    <row r="265" spans="13:13" x14ac:dyDescent="0.3">
      <c r="M265" s="10"/>
    </row>
    <row r="266" spans="13:13" x14ac:dyDescent="0.3">
      <c r="M266" s="10"/>
    </row>
    <row r="267" spans="13:13" x14ac:dyDescent="0.3">
      <c r="M267" s="10"/>
    </row>
    <row r="268" spans="13:13" x14ac:dyDescent="0.3">
      <c r="M268" s="10"/>
    </row>
    <row r="269" spans="13:13" x14ac:dyDescent="0.3">
      <c r="M269" s="10"/>
    </row>
    <row r="270" spans="13:13" x14ac:dyDescent="0.3">
      <c r="M270" s="10"/>
    </row>
    <row r="271" spans="13:13" x14ac:dyDescent="0.3">
      <c r="M271" s="10"/>
    </row>
    <row r="272" spans="13:13" x14ac:dyDescent="0.3">
      <c r="M272" s="10"/>
    </row>
    <row r="273" spans="13:13" x14ac:dyDescent="0.3">
      <c r="M273" s="10"/>
    </row>
    <row r="274" spans="13:13" x14ac:dyDescent="0.3">
      <c r="M274" s="10"/>
    </row>
    <row r="275" spans="13:13" x14ac:dyDescent="0.3">
      <c r="M275" s="10"/>
    </row>
    <row r="276" spans="13:13" x14ac:dyDescent="0.3">
      <c r="M276" s="10"/>
    </row>
    <row r="277" spans="13:13" x14ac:dyDescent="0.3">
      <c r="M277" s="10"/>
    </row>
    <row r="278" spans="13:13" x14ac:dyDescent="0.3">
      <c r="M278" s="10"/>
    </row>
    <row r="279" spans="13:13" x14ac:dyDescent="0.3">
      <c r="M279" s="10"/>
    </row>
    <row r="280" spans="13:13" x14ac:dyDescent="0.3">
      <c r="M280" s="10"/>
    </row>
    <row r="281" spans="13:13" x14ac:dyDescent="0.3">
      <c r="M281" s="10"/>
    </row>
    <row r="282" spans="13:13" x14ac:dyDescent="0.3">
      <c r="M282" s="10"/>
    </row>
    <row r="283" spans="13:13" x14ac:dyDescent="0.3">
      <c r="M283" s="10"/>
    </row>
    <row r="284" spans="13:13" x14ac:dyDescent="0.3">
      <c r="M284" s="10"/>
    </row>
    <row r="285" spans="13:13" x14ac:dyDescent="0.3">
      <c r="M285" s="10"/>
    </row>
    <row r="286" spans="13:13" x14ac:dyDescent="0.3">
      <c r="M286" s="10"/>
    </row>
    <row r="287" spans="13:13" x14ac:dyDescent="0.3">
      <c r="M287" s="10"/>
    </row>
    <row r="288" spans="13:13" x14ac:dyDescent="0.3">
      <c r="M288" s="10"/>
    </row>
    <row r="289" spans="13:13" x14ac:dyDescent="0.3">
      <c r="M289" s="10"/>
    </row>
    <row r="290" spans="13:13" x14ac:dyDescent="0.3">
      <c r="M290" s="10"/>
    </row>
    <row r="291" spans="13:13" x14ac:dyDescent="0.3">
      <c r="M291" s="10"/>
    </row>
    <row r="292" spans="13:13" x14ac:dyDescent="0.3">
      <c r="M292" s="10"/>
    </row>
    <row r="293" spans="13:13" x14ac:dyDescent="0.3">
      <c r="M293" s="10"/>
    </row>
    <row r="294" spans="13:13" x14ac:dyDescent="0.3">
      <c r="M294" s="10"/>
    </row>
    <row r="295" spans="13:13" x14ac:dyDescent="0.3">
      <c r="M295" s="10"/>
    </row>
    <row r="296" spans="13:13" x14ac:dyDescent="0.3">
      <c r="M296" s="10"/>
    </row>
    <row r="297" spans="13:13" x14ac:dyDescent="0.3">
      <c r="M297" s="10"/>
    </row>
    <row r="298" spans="13:13" x14ac:dyDescent="0.3">
      <c r="M298" s="10"/>
    </row>
    <row r="299" spans="13:13" x14ac:dyDescent="0.3">
      <c r="M299" s="10"/>
    </row>
    <row r="300" spans="13:13" x14ac:dyDescent="0.3">
      <c r="M300" s="10"/>
    </row>
    <row r="301" spans="13:13" x14ac:dyDescent="0.3">
      <c r="M301" s="10"/>
    </row>
    <row r="302" spans="13:13" x14ac:dyDescent="0.3">
      <c r="M302" s="10"/>
    </row>
    <row r="303" spans="13:13" x14ac:dyDescent="0.3">
      <c r="M303" s="10"/>
    </row>
    <row r="304" spans="13:13" x14ac:dyDescent="0.3">
      <c r="M304" s="10"/>
    </row>
    <row r="305" spans="13:13" x14ac:dyDescent="0.3">
      <c r="M305" s="10"/>
    </row>
    <row r="306" spans="13:13" x14ac:dyDescent="0.3">
      <c r="M306" s="10"/>
    </row>
    <row r="307" spans="13:13" x14ac:dyDescent="0.3">
      <c r="M307" s="10"/>
    </row>
    <row r="308" spans="13:13" x14ac:dyDescent="0.3">
      <c r="M308" s="10"/>
    </row>
    <row r="309" spans="13:13" x14ac:dyDescent="0.3">
      <c r="M309" s="10"/>
    </row>
    <row r="310" spans="13:13" x14ac:dyDescent="0.3">
      <c r="M310" s="10"/>
    </row>
    <row r="311" spans="13:13" x14ac:dyDescent="0.3">
      <c r="M311" s="10"/>
    </row>
    <row r="312" spans="13:13" x14ac:dyDescent="0.3">
      <c r="M312" s="10"/>
    </row>
    <row r="313" spans="13:13" x14ac:dyDescent="0.3">
      <c r="M313" s="10"/>
    </row>
    <row r="314" spans="13:13" x14ac:dyDescent="0.3">
      <c r="M314" s="10"/>
    </row>
    <row r="315" spans="13:13" x14ac:dyDescent="0.3">
      <c r="M315" s="10"/>
    </row>
    <row r="316" spans="13:13" x14ac:dyDescent="0.3">
      <c r="M316" s="10"/>
    </row>
    <row r="317" spans="13:13" x14ac:dyDescent="0.3">
      <c r="M317" s="10"/>
    </row>
    <row r="318" spans="13:13" x14ac:dyDescent="0.3">
      <c r="M318" s="10"/>
    </row>
    <row r="319" spans="13:13" x14ac:dyDescent="0.3">
      <c r="M319" s="10"/>
    </row>
    <row r="320" spans="13:13" x14ac:dyDescent="0.3">
      <c r="M320" s="10"/>
    </row>
    <row r="321" spans="13:13" x14ac:dyDescent="0.3">
      <c r="M321" s="10"/>
    </row>
    <row r="322" spans="13:13" x14ac:dyDescent="0.3">
      <c r="M322" s="10"/>
    </row>
    <row r="323" spans="13:13" x14ac:dyDescent="0.3">
      <c r="M323" s="10"/>
    </row>
    <row r="324" spans="13:13" x14ac:dyDescent="0.3">
      <c r="M324" s="10"/>
    </row>
    <row r="325" spans="13:13" x14ac:dyDescent="0.3">
      <c r="M325" s="10"/>
    </row>
    <row r="326" spans="13:13" x14ac:dyDescent="0.3">
      <c r="M326" s="10"/>
    </row>
    <row r="327" spans="13:13" x14ac:dyDescent="0.3">
      <c r="M327" s="10"/>
    </row>
    <row r="328" spans="13:13" x14ac:dyDescent="0.3">
      <c r="M328" s="10"/>
    </row>
    <row r="329" spans="13:13" x14ac:dyDescent="0.3">
      <c r="M329" s="10"/>
    </row>
    <row r="330" spans="13:13" x14ac:dyDescent="0.3">
      <c r="M330" s="10"/>
    </row>
    <row r="331" spans="13:13" x14ac:dyDescent="0.3">
      <c r="M331" s="10"/>
    </row>
    <row r="332" spans="13:13" x14ac:dyDescent="0.3">
      <c r="M332" s="10"/>
    </row>
    <row r="333" spans="13:13" x14ac:dyDescent="0.3">
      <c r="M333" s="10"/>
    </row>
    <row r="334" spans="13:13" x14ac:dyDescent="0.3">
      <c r="M334" s="10"/>
    </row>
    <row r="335" spans="13:13" x14ac:dyDescent="0.3">
      <c r="M335" s="10"/>
    </row>
    <row r="336" spans="13:13" x14ac:dyDescent="0.3">
      <c r="M336" s="10"/>
    </row>
    <row r="337" spans="13:13" x14ac:dyDescent="0.3">
      <c r="M337" s="10"/>
    </row>
    <row r="338" spans="13:13" x14ac:dyDescent="0.3">
      <c r="M338" s="10"/>
    </row>
    <row r="339" spans="13:13" x14ac:dyDescent="0.3">
      <c r="M339" s="10"/>
    </row>
    <row r="340" spans="13:13" x14ac:dyDescent="0.3">
      <c r="M340" s="10"/>
    </row>
    <row r="341" spans="13:13" x14ac:dyDescent="0.3">
      <c r="M341" s="10"/>
    </row>
    <row r="342" spans="13:13" x14ac:dyDescent="0.3">
      <c r="M342" s="10"/>
    </row>
    <row r="343" spans="13:13" x14ac:dyDescent="0.3">
      <c r="M343" s="10"/>
    </row>
    <row r="344" spans="13:13" x14ac:dyDescent="0.3">
      <c r="M344" s="10"/>
    </row>
    <row r="345" spans="13:13" x14ac:dyDescent="0.3">
      <c r="M345" s="10"/>
    </row>
    <row r="346" spans="13:13" x14ac:dyDescent="0.3">
      <c r="M346" s="10"/>
    </row>
    <row r="347" spans="13:13" x14ac:dyDescent="0.3">
      <c r="M347" s="10"/>
    </row>
    <row r="348" spans="13:13" x14ac:dyDescent="0.3">
      <c r="M348" s="10"/>
    </row>
    <row r="349" spans="13:13" x14ac:dyDescent="0.3">
      <c r="M349" s="10"/>
    </row>
    <row r="350" spans="13:13" x14ac:dyDescent="0.3">
      <c r="M350" s="10"/>
    </row>
    <row r="351" spans="13:13" x14ac:dyDescent="0.3">
      <c r="M351" s="10"/>
    </row>
    <row r="352" spans="13:13" x14ac:dyDescent="0.3">
      <c r="M352" s="10"/>
    </row>
    <row r="353" spans="13:13" x14ac:dyDescent="0.3">
      <c r="M353" s="10"/>
    </row>
    <row r="354" spans="13:13" x14ac:dyDescent="0.3">
      <c r="M354" s="10"/>
    </row>
    <row r="355" spans="13:13" x14ac:dyDescent="0.3">
      <c r="M355" s="10"/>
    </row>
    <row r="356" spans="13:13" x14ac:dyDescent="0.3">
      <c r="M356" s="10"/>
    </row>
    <row r="357" spans="13:13" x14ac:dyDescent="0.3">
      <c r="M357" s="10"/>
    </row>
    <row r="358" spans="13:13" x14ac:dyDescent="0.3">
      <c r="M358" s="10"/>
    </row>
    <row r="359" spans="13:13" x14ac:dyDescent="0.3">
      <c r="M359" s="10"/>
    </row>
    <row r="360" spans="13:13" x14ac:dyDescent="0.3">
      <c r="M360" s="10"/>
    </row>
    <row r="361" spans="13:13" x14ac:dyDescent="0.3">
      <c r="M361" s="10"/>
    </row>
    <row r="362" spans="13:13" x14ac:dyDescent="0.3">
      <c r="M362" s="10"/>
    </row>
    <row r="363" spans="13:13" x14ac:dyDescent="0.3">
      <c r="M363" s="10"/>
    </row>
    <row r="364" spans="13:13" x14ac:dyDescent="0.3">
      <c r="M364" s="10"/>
    </row>
    <row r="365" spans="13:13" x14ac:dyDescent="0.3">
      <c r="M365" s="10"/>
    </row>
    <row r="366" spans="13:13" x14ac:dyDescent="0.3">
      <c r="M366" s="10"/>
    </row>
    <row r="367" spans="13:13" x14ac:dyDescent="0.3">
      <c r="M367" s="10"/>
    </row>
    <row r="368" spans="13:13" x14ac:dyDescent="0.3">
      <c r="M368" s="10"/>
    </row>
    <row r="369" spans="13:13" x14ac:dyDescent="0.3">
      <c r="M369" s="10"/>
    </row>
    <row r="370" spans="13:13" x14ac:dyDescent="0.3">
      <c r="M370" s="10"/>
    </row>
    <row r="371" spans="13:13" x14ac:dyDescent="0.3">
      <c r="M371" s="10"/>
    </row>
    <row r="372" spans="13:13" x14ac:dyDescent="0.3">
      <c r="M372" s="10"/>
    </row>
    <row r="373" spans="13:13" x14ac:dyDescent="0.3">
      <c r="M373" s="10"/>
    </row>
    <row r="374" spans="13:13" x14ac:dyDescent="0.3">
      <c r="M374" s="10"/>
    </row>
    <row r="375" spans="13:13" x14ac:dyDescent="0.3">
      <c r="M375" s="10"/>
    </row>
    <row r="376" spans="13:13" x14ac:dyDescent="0.3">
      <c r="M376" s="10"/>
    </row>
    <row r="377" spans="13:13" x14ac:dyDescent="0.3">
      <c r="M377" s="10"/>
    </row>
    <row r="378" spans="13:13" x14ac:dyDescent="0.3">
      <c r="M378" s="10"/>
    </row>
    <row r="379" spans="13:13" x14ac:dyDescent="0.3">
      <c r="M379" s="10"/>
    </row>
    <row r="380" spans="13:13" x14ac:dyDescent="0.3">
      <c r="M380" s="10"/>
    </row>
    <row r="381" spans="13:13" x14ac:dyDescent="0.3">
      <c r="M381" s="10"/>
    </row>
    <row r="382" spans="13:13" x14ac:dyDescent="0.3">
      <c r="M382" s="10"/>
    </row>
    <row r="383" spans="13:13" x14ac:dyDescent="0.3">
      <c r="M383" s="10"/>
    </row>
    <row r="384" spans="13:13" x14ac:dyDescent="0.3">
      <c r="M384" s="10"/>
    </row>
    <row r="385" spans="13:13" x14ac:dyDescent="0.3">
      <c r="M385" s="10"/>
    </row>
    <row r="386" spans="13:13" x14ac:dyDescent="0.3">
      <c r="M386" s="10"/>
    </row>
    <row r="387" spans="13:13" x14ac:dyDescent="0.3">
      <c r="M387" s="10"/>
    </row>
    <row r="388" spans="13:13" x14ac:dyDescent="0.3">
      <c r="M388" s="10"/>
    </row>
    <row r="389" spans="13:13" x14ac:dyDescent="0.3">
      <c r="M389" s="10"/>
    </row>
    <row r="390" spans="13:13" x14ac:dyDescent="0.3">
      <c r="M390" s="10"/>
    </row>
    <row r="391" spans="13:13" x14ac:dyDescent="0.3">
      <c r="M391" s="10"/>
    </row>
    <row r="392" spans="13:13" x14ac:dyDescent="0.3">
      <c r="M392" s="10"/>
    </row>
    <row r="393" spans="13:13" x14ac:dyDescent="0.3">
      <c r="M393" s="10"/>
    </row>
    <row r="394" spans="13:13" x14ac:dyDescent="0.3">
      <c r="M394" s="10"/>
    </row>
    <row r="395" spans="13:13" x14ac:dyDescent="0.3">
      <c r="M395" s="10"/>
    </row>
    <row r="396" spans="13:13" x14ac:dyDescent="0.3">
      <c r="M396" s="10"/>
    </row>
    <row r="397" spans="13:13" x14ac:dyDescent="0.3">
      <c r="M397" s="10"/>
    </row>
    <row r="398" spans="13:13" x14ac:dyDescent="0.3">
      <c r="M398" s="10"/>
    </row>
    <row r="399" spans="13:13" x14ac:dyDescent="0.3">
      <c r="M399" s="10"/>
    </row>
    <row r="400" spans="13:13" x14ac:dyDescent="0.3">
      <c r="M400" s="10"/>
    </row>
    <row r="401" spans="13:13" x14ac:dyDescent="0.3">
      <c r="M401" s="10"/>
    </row>
    <row r="402" spans="13:13" x14ac:dyDescent="0.3">
      <c r="M402" s="10"/>
    </row>
    <row r="403" spans="13:13" x14ac:dyDescent="0.3">
      <c r="M403" s="10"/>
    </row>
    <row r="404" spans="13:13" x14ac:dyDescent="0.3">
      <c r="M404" s="10"/>
    </row>
    <row r="405" spans="13:13" x14ac:dyDescent="0.3">
      <c r="M405" s="10"/>
    </row>
    <row r="406" spans="13:13" x14ac:dyDescent="0.3">
      <c r="M406" s="10"/>
    </row>
    <row r="407" spans="13:13" x14ac:dyDescent="0.3">
      <c r="M407" s="10"/>
    </row>
    <row r="408" spans="13:13" x14ac:dyDescent="0.3">
      <c r="M408" s="10"/>
    </row>
    <row r="409" spans="13:13" x14ac:dyDescent="0.3">
      <c r="M409" s="10"/>
    </row>
    <row r="410" spans="13:13" x14ac:dyDescent="0.3">
      <c r="M410" s="10"/>
    </row>
    <row r="411" spans="13:13" x14ac:dyDescent="0.3">
      <c r="M411" s="10"/>
    </row>
    <row r="412" spans="13:13" x14ac:dyDescent="0.3">
      <c r="M412" s="10"/>
    </row>
    <row r="413" spans="13:13" x14ac:dyDescent="0.3">
      <c r="M413" s="10"/>
    </row>
    <row r="414" spans="13:13" x14ac:dyDescent="0.3">
      <c r="M414" s="10"/>
    </row>
    <row r="415" spans="13:13" x14ac:dyDescent="0.3">
      <c r="M415" s="10"/>
    </row>
    <row r="416" spans="13:13" x14ac:dyDescent="0.3">
      <c r="M416" s="10"/>
    </row>
    <row r="417" spans="13:13" x14ac:dyDescent="0.3">
      <c r="M417" s="10"/>
    </row>
    <row r="418" spans="13:13" x14ac:dyDescent="0.3">
      <c r="M418" s="10"/>
    </row>
    <row r="419" spans="13:13" x14ac:dyDescent="0.3">
      <c r="M419" s="10"/>
    </row>
    <row r="420" spans="13:13" x14ac:dyDescent="0.3">
      <c r="M420" s="10"/>
    </row>
    <row r="421" spans="13:13" x14ac:dyDescent="0.3">
      <c r="M421" s="10"/>
    </row>
    <row r="422" spans="13:13" x14ac:dyDescent="0.3">
      <c r="M422" s="10"/>
    </row>
    <row r="423" spans="13:13" x14ac:dyDescent="0.3">
      <c r="M423" s="10"/>
    </row>
    <row r="424" spans="13:13" x14ac:dyDescent="0.3">
      <c r="M424" s="10"/>
    </row>
    <row r="425" spans="13:13" x14ac:dyDescent="0.3">
      <c r="M425" s="10"/>
    </row>
    <row r="426" spans="13:13" x14ac:dyDescent="0.3">
      <c r="M426" s="10"/>
    </row>
    <row r="427" spans="13:13" x14ac:dyDescent="0.3">
      <c r="M427" s="10"/>
    </row>
    <row r="428" spans="13:13" x14ac:dyDescent="0.3">
      <c r="M428" s="10"/>
    </row>
    <row r="429" spans="13:13" x14ac:dyDescent="0.3">
      <c r="M429" s="10"/>
    </row>
    <row r="430" spans="13:13" x14ac:dyDescent="0.3">
      <c r="M430" s="10"/>
    </row>
    <row r="431" spans="13:13" x14ac:dyDescent="0.3">
      <c r="M431" s="10"/>
    </row>
    <row r="432" spans="13:13" x14ac:dyDescent="0.3">
      <c r="M432" s="10"/>
    </row>
    <row r="433" spans="13:13" x14ac:dyDescent="0.3">
      <c r="M433" s="10"/>
    </row>
    <row r="434" spans="13:13" x14ac:dyDescent="0.3">
      <c r="M434" s="10"/>
    </row>
    <row r="435" spans="13:13" x14ac:dyDescent="0.3">
      <c r="M435" s="10"/>
    </row>
    <row r="436" spans="13:13" x14ac:dyDescent="0.3">
      <c r="M436" s="10"/>
    </row>
    <row r="437" spans="13:13" x14ac:dyDescent="0.3">
      <c r="M437" s="10"/>
    </row>
    <row r="438" spans="13:13" x14ac:dyDescent="0.3">
      <c r="M438" s="10"/>
    </row>
    <row r="439" spans="13:13" x14ac:dyDescent="0.3">
      <c r="M439" s="10"/>
    </row>
    <row r="440" spans="13:13" x14ac:dyDescent="0.3">
      <c r="M440" s="10"/>
    </row>
    <row r="441" spans="13:13" x14ac:dyDescent="0.3">
      <c r="M441" s="10"/>
    </row>
    <row r="442" spans="13:13" x14ac:dyDescent="0.3">
      <c r="M442" s="10"/>
    </row>
    <row r="443" spans="13:13" x14ac:dyDescent="0.3">
      <c r="M443" s="10"/>
    </row>
    <row r="444" spans="13:13" x14ac:dyDescent="0.3">
      <c r="M444" s="10"/>
    </row>
    <row r="445" spans="13:13" x14ac:dyDescent="0.3">
      <c r="M445" s="10"/>
    </row>
    <row r="446" spans="13:13" x14ac:dyDescent="0.3">
      <c r="M446" s="10"/>
    </row>
    <row r="447" spans="13:13" x14ac:dyDescent="0.3">
      <c r="M447" s="10"/>
    </row>
    <row r="448" spans="13:13" x14ac:dyDescent="0.3">
      <c r="M448" s="10"/>
    </row>
    <row r="449" spans="13:13" x14ac:dyDescent="0.3">
      <c r="M449" s="10"/>
    </row>
    <row r="450" spans="13:13" x14ac:dyDescent="0.3">
      <c r="M450" s="10"/>
    </row>
    <row r="451" spans="13:13" x14ac:dyDescent="0.3">
      <c r="M451" s="10"/>
    </row>
    <row r="452" spans="13:13" x14ac:dyDescent="0.3">
      <c r="M452" s="10"/>
    </row>
    <row r="453" spans="13:13" x14ac:dyDescent="0.3">
      <c r="M453" s="10"/>
    </row>
    <row r="454" spans="13:13" x14ac:dyDescent="0.3">
      <c r="M454" s="10"/>
    </row>
    <row r="455" spans="13:13" x14ac:dyDescent="0.3">
      <c r="M455" s="10"/>
    </row>
    <row r="456" spans="13:13" x14ac:dyDescent="0.3">
      <c r="M456" s="10"/>
    </row>
    <row r="457" spans="13:13" x14ac:dyDescent="0.3">
      <c r="M457" s="10"/>
    </row>
    <row r="458" spans="13:13" x14ac:dyDescent="0.3">
      <c r="M458" s="10"/>
    </row>
    <row r="459" spans="13:13" x14ac:dyDescent="0.3">
      <c r="M459" s="10"/>
    </row>
    <row r="460" spans="13:13" x14ac:dyDescent="0.3">
      <c r="M460" s="10"/>
    </row>
    <row r="461" spans="13:13" x14ac:dyDescent="0.3">
      <c r="M461" s="10"/>
    </row>
    <row r="462" spans="13:13" x14ac:dyDescent="0.3">
      <c r="M462" s="10"/>
    </row>
    <row r="463" spans="13:13" x14ac:dyDescent="0.3">
      <c r="M463" s="10"/>
    </row>
    <row r="464" spans="13:13" x14ac:dyDescent="0.3">
      <c r="M464" s="10"/>
    </row>
    <row r="465" spans="13:13" x14ac:dyDescent="0.3">
      <c r="M465" s="10"/>
    </row>
    <row r="466" spans="13:13" x14ac:dyDescent="0.3">
      <c r="M466" s="10"/>
    </row>
    <row r="467" spans="13:13" x14ac:dyDescent="0.3">
      <c r="M467" s="10"/>
    </row>
    <row r="468" spans="13:13" x14ac:dyDescent="0.3">
      <c r="M468" s="10"/>
    </row>
    <row r="469" spans="13:13" x14ac:dyDescent="0.3">
      <c r="M469" s="10"/>
    </row>
    <row r="470" spans="13:13" x14ac:dyDescent="0.3">
      <c r="M470" s="10"/>
    </row>
    <row r="471" spans="13:13" x14ac:dyDescent="0.3">
      <c r="M471" s="10"/>
    </row>
    <row r="472" spans="13:13" x14ac:dyDescent="0.3">
      <c r="M472" s="10"/>
    </row>
    <row r="473" spans="13:13" x14ac:dyDescent="0.3">
      <c r="M473" s="10"/>
    </row>
    <row r="474" spans="13:13" x14ac:dyDescent="0.3">
      <c r="M474" s="10"/>
    </row>
    <row r="475" spans="13:13" x14ac:dyDescent="0.3">
      <c r="M475" s="10"/>
    </row>
    <row r="476" spans="13:13" x14ac:dyDescent="0.3">
      <c r="M476" s="10"/>
    </row>
    <row r="477" spans="13:13" x14ac:dyDescent="0.3">
      <c r="M477" s="10"/>
    </row>
    <row r="478" spans="13:13" x14ac:dyDescent="0.3">
      <c r="M478" s="10"/>
    </row>
    <row r="479" spans="13:13" x14ac:dyDescent="0.3">
      <c r="M479" s="10"/>
    </row>
    <row r="480" spans="13:13" x14ac:dyDescent="0.3">
      <c r="M480" s="10"/>
    </row>
    <row r="481" spans="13:13" x14ac:dyDescent="0.3">
      <c r="M481" s="10"/>
    </row>
    <row r="482" spans="13:13" x14ac:dyDescent="0.3">
      <c r="M482" s="10"/>
    </row>
    <row r="483" spans="13:13" x14ac:dyDescent="0.3">
      <c r="M483" s="10"/>
    </row>
    <row r="484" spans="13:13" x14ac:dyDescent="0.3">
      <c r="M484" s="10"/>
    </row>
    <row r="485" spans="13:13" x14ac:dyDescent="0.3">
      <c r="M485" s="10"/>
    </row>
    <row r="486" spans="13:13" x14ac:dyDescent="0.3">
      <c r="M486" s="10"/>
    </row>
    <row r="487" spans="13:13" x14ac:dyDescent="0.3">
      <c r="M487" s="10"/>
    </row>
    <row r="488" spans="13:13" x14ac:dyDescent="0.3">
      <c r="M488" s="10"/>
    </row>
    <row r="489" spans="13:13" x14ac:dyDescent="0.3">
      <c r="M489" s="10"/>
    </row>
    <row r="490" spans="13:13" x14ac:dyDescent="0.3">
      <c r="M490" s="10"/>
    </row>
    <row r="491" spans="13:13" x14ac:dyDescent="0.3">
      <c r="M491" s="10"/>
    </row>
    <row r="492" spans="13:13" x14ac:dyDescent="0.3">
      <c r="M492" s="10"/>
    </row>
    <row r="493" spans="13:13" x14ac:dyDescent="0.3">
      <c r="M493" s="10"/>
    </row>
    <row r="494" spans="13:13" x14ac:dyDescent="0.3">
      <c r="M494" s="10"/>
    </row>
    <row r="495" spans="13:13" x14ac:dyDescent="0.3">
      <c r="M495" s="10"/>
    </row>
    <row r="496" spans="13:13" x14ac:dyDescent="0.3">
      <c r="M496" s="10"/>
    </row>
    <row r="497" spans="13:13" x14ac:dyDescent="0.3">
      <c r="M497" s="10"/>
    </row>
    <row r="498" spans="13:13" x14ac:dyDescent="0.3">
      <c r="M498" s="10"/>
    </row>
    <row r="499" spans="13:13" x14ac:dyDescent="0.3">
      <c r="M499" s="10"/>
    </row>
    <row r="500" spans="13:13" x14ac:dyDescent="0.3">
      <c r="M500" s="10"/>
    </row>
    <row r="501" spans="13:13" x14ac:dyDescent="0.3">
      <c r="M501" s="10"/>
    </row>
    <row r="502" spans="13:13" x14ac:dyDescent="0.3">
      <c r="M502" s="10"/>
    </row>
    <row r="503" spans="13:13" x14ac:dyDescent="0.3">
      <c r="M503" s="10"/>
    </row>
    <row r="504" spans="13:13" x14ac:dyDescent="0.3">
      <c r="M504" s="10"/>
    </row>
    <row r="505" spans="13:13" x14ac:dyDescent="0.3">
      <c r="M505" s="10"/>
    </row>
    <row r="506" spans="13:13" x14ac:dyDescent="0.3">
      <c r="M506" s="10"/>
    </row>
    <row r="507" spans="13:13" x14ac:dyDescent="0.3">
      <c r="M507" s="10"/>
    </row>
    <row r="508" spans="13:13" x14ac:dyDescent="0.3">
      <c r="M508" s="10"/>
    </row>
    <row r="509" spans="13:13" x14ac:dyDescent="0.3">
      <c r="M509" s="10"/>
    </row>
    <row r="510" spans="13:13" x14ac:dyDescent="0.3">
      <c r="M510" s="10"/>
    </row>
    <row r="511" spans="13:13" x14ac:dyDescent="0.3">
      <c r="M511" s="10"/>
    </row>
    <row r="512" spans="13:13" x14ac:dyDescent="0.3">
      <c r="M512" s="10"/>
    </row>
    <row r="513" spans="13:13" x14ac:dyDescent="0.3">
      <c r="M513" s="10"/>
    </row>
    <row r="514" spans="13:13" x14ac:dyDescent="0.3">
      <c r="M514" s="10"/>
    </row>
    <row r="515" spans="13:13" x14ac:dyDescent="0.3">
      <c r="M515" s="10"/>
    </row>
    <row r="516" spans="13:13" x14ac:dyDescent="0.3">
      <c r="M516" s="10"/>
    </row>
    <row r="517" spans="13:13" x14ac:dyDescent="0.3">
      <c r="M517" s="10"/>
    </row>
    <row r="518" spans="13:13" x14ac:dyDescent="0.3">
      <c r="M518" s="10"/>
    </row>
    <row r="519" spans="13:13" x14ac:dyDescent="0.3">
      <c r="M519" s="10"/>
    </row>
    <row r="520" spans="13:13" x14ac:dyDescent="0.3">
      <c r="M520" s="10"/>
    </row>
    <row r="521" spans="13:13" x14ac:dyDescent="0.3">
      <c r="M521" s="10"/>
    </row>
    <row r="522" spans="13:13" x14ac:dyDescent="0.3">
      <c r="M522" s="10"/>
    </row>
    <row r="523" spans="13:13" x14ac:dyDescent="0.3">
      <c r="M523" s="10"/>
    </row>
    <row r="524" spans="13:13" x14ac:dyDescent="0.3">
      <c r="M524" s="10"/>
    </row>
    <row r="525" spans="13:13" x14ac:dyDescent="0.3">
      <c r="M525" s="10"/>
    </row>
    <row r="526" spans="13:13" x14ac:dyDescent="0.3">
      <c r="M526" s="10"/>
    </row>
    <row r="527" spans="13:13" x14ac:dyDescent="0.3">
      <c r="M527" s="10"/>
    </row>
    <row r="528" spans="13:13" x14ac:dyDescent="0.3">
      <c r="M528" s="10"/>
    </row>
    <row r="529" spans="13:13" x14ac:dyDescent="0.3">
      <c r="M529" s="10"/>
    </row>
    <row r="530" spans="13:13" x14ac:dyDescent="0.3">
      <c r="M530" s="10"/>
    </row>
    <row r="531" spans="13:13" x14ac:dyDescent="0.3">
      <c r="M531" s="10"/>
    </row>
    <row r="532" spans="13:13" x14ac:dyDescent="0.3">
      <c r="M532" s="10"/>
    </row>
    <row r="533" spans="13:13" x14ac:dyDescent="0.3">
      <c r="M533" s="10"/>
    </row>
    <row r="534" spans="13:13" x14ac:dyDescent="0.3">
      <c r="M534" s="10"/>
    </row>
    <row r="535" spans="13:13" x14ac:dyDescent="0.3">
      <c r="M535" s="10"/>
    </row>
    <row r="536" spans="13:13" x14ac:dyDescent="0.3">
      <c r="M536" s="10"/>
    </row>
    <row r="537" spans="13:13" x14ac:dyDescent="0.3">
      <c r="M537" s="10"/>
    </row>
    <row r="538" spans="13:13" x14ac:dyDescent="0.3">
      <c r="M538" s="10"/>
    </row>
    <row r="539" spans="13:13" x14ac:dyDescent="0.3">
      <c r="M539" s="10"/>
    </row>
    <row r="540" spans="13:13" x14ac:dyDescent="0.3">
      <c r="M540" s="10"/>
    </row>
    <row r="541" spans="13:13" x14ac:dyDescent="0.3">
      <c r="M541" s="10"/>
    </row>
    <row r="542" spans="13:13" x14ac:dyDescent="0.3">
      <c r="M542" s="10"/>
    </row>
    <row r="543" spans="13:13" x14ac:dyDescent="0.3">
      <c r="M543" s="10"/>
    </row>
    <row r="544" spans="13:13" x14ac:dyDescent="0.3">
      <c r="M544" s="10"/>
    </row>
    <row r="545" spans="13:13" x14ac:dyDescent="0.3">
      <c r="M545" s="10"/>
    </row>
    <row r="546" spans="13:13" x14ac:dyDescent="0.3">
      <c r="M546" s="10"/>
    </row>
    <row r="547" spans="13:13" x14ac:dyDescent="0.3">
      <c r="M547" s="10"/>
    </row>
    <row r="548" spans="13:13" x14ac:dyDescent="0.3">
      <c r="M548" s="10"/>
    </row>
    <row r="549" spans="13:13" x14ac:dyDescent="0.3">
      <c r="M549" s="10"/>
    </row>
    <row r="550" spans="13:13" x14ac:dyDescent="0.3">
      <c r="M550" s="10"/>
    </row>
    <row r="551" spans="13:13" x14ac:dyDescent="0.3">
      <c r="M551" s="10"/>
    </row>
    <row r="552" spans="13:13" x14ac:dyDescent="0.3">
      <c r="M552" s="10"/>
    </row>
    <row r="553" spans="13:13" x14ac:dyDescent="0.3">
      <c r="M553" s="10"/>
    </row>
    <row r="554" spans="13:13" x14ac:dyDescent="0.3">
      <c r="M554" s="10"/>
    </row>
    <row r="555" spans="13:13" x14ac:dyDescent="0.3">
      <c r="M555" s="10"/>
    </row>
    <row r="556" spans="13:13" x14ac:dyDescent="0.3">
      <c r="M556" s="10"/>
    </row>
    <row r="557" spans="13:13" x14ac:dyDescent="0.3">
      <c r="M557" s="10"/>
    </row>
    <row r="558" spans="13:13" x14ac:dyDescent="0.3">
      <c r="M558" s="10"/>
    </row>
    <row r="559" spans="13:13" x14ac:dyDescent="0.3">
      <c r="M559" s="10"/>
    </row>
    <row r="560" spans="13:13" x14ac:dyDescent="0.3">
      <c r="M560" s="10"/>
    </row>
    <row r="561" spans="13:13" x14ac:dyDescent="0.3">
      <c r="M561" s="10"/>
    </row>
    <row r="562" spans="13:13" x14ac:dyDescent="0.3">
      <c r="M562" s="10"/>
    </row>
    <row r="563" spans="13:13" x14ac:dyDescent="0.3">
      <c r="M563" s="10"/>
    </row>
    <row r="564" spans="13:13" x14ac:dyDescent="0.3">
      <c r="M564" s="10"/>
    </row>
    <row r="565" spans="13:13" x14ac:dyDescent="0.3">
      <c r="M565" s="10"/>
    </row>
    <row r="566" spans="13:13" x14ac:dyDescent="0.3">
      <c r="M566" s="10"/>
    </row>
    <row r="567" spans="13:13" x14ac:dyDescent="0.3">
      <c r="M567" s="10"/>
    </row>
    <row r="568" spans="13:13" x14ac:dyDescent="0.3">
      <c r="M568" s="10"/>
    </row>
    <row r="569" spans="13:13" x14ac:dyDescent="0.3">
      <c r="M569" s="10"/>
    </row>
    <row r="570" spans="13:13" x14ac:dyDescent="0.3">
      <c r="M570" s="10"/>
    </row>
    <row r="571" spans="13:13" x14ac:dyDescent="0.3">
      <c r="M571" s="10"/>
    </row>
    <row r="572" spans="13:13" x14ac:dyDescent="0.3">
      <c r="M572" s="10"/>
    </row>
    <row r="573" spans="13:13" x14ac:dyDescent="0.3">
      <c r="M573" s="10"/>
    </row>
    <row r="574" spans="13:13" x14ac:dyDescent="0.3">
      <c r="M574" s="10"/>
    </row>
    <row r="575" spans="13:13" x14ac:dyDescent="0.3">
      <c r="M575" s="10"/>
    </row>
    <row r="576" spans="13:13" x14ac:dyDescent="0.3">
      <c r="M576" s="10"/>
    </row>
    <row r="577" spans="13:13" x14ac:dyDescent="0.3">
      <c r="M577" s="10"/>
    </row>
    <row r="578" spans="13:13" x14ac:dyDescent="0.3">
      <c r="M578" s="10"/>
    </row>
    <row r="579" spans="13:13" x14ac:dyDescent="0.3">
      <c r="M579" s="10"/>
    </row>
    <row r="580" spans="13:13" x14ac:dyDescent="0.3">
      <c r="M580" s="10"/>
    </row>
    <row r="581" spans="13:13" x14ac:dyDescent="0.3">
      <c r="M581" s="10"/>
    </row>
    <row r="582" spans="13:13" x14ac:dyDescent="0.3">
      <c r="M582" s="10"/>
    </row>
    <row r="583" spans="13:13" x14ac:dyDescent="0.3">
      <c r="M583" s="10"/>
    </row>
    <row r="584" spans="13:13" x14ac:dyDescent="0.3">
      <c r="M584" s="10"/>
    </row>
    <row r="585" spans="13:13" x14ac:dyDescent="0.3">
      <c r="M585" s="10"/>
    </row>
    <row r="586" spans="13:13" x14ac:dyDescent="0.3">
      <c r="M586" s="10"/>
    </row>
    <row r="587" spans="13:13" x14ac:dyDescent="0.3">
      <c r="M587" s="10"/>
    </row>
    <row r="588" spans="13:13" x14ac:dyDescent="0.3">
      <c r="M588" s="10"/>
    </row>
    <row r="589" spans="13:13" x14ac:dyDescent="0.3">
      <c r="M589" s="10"/>
    </row>
    <row r="590" spans="13:13" x14ac:dyDescent="0.3">
      <c r="M590" s="10"/>
    </row>
    <row r="591" spans="13:13" x14ac:dyDescent="0.3">
      <c r="M591" s="10"/>
    </row>
    <row r="592" spans="13:13" x14ac:dyDescent="0.3">
      <c r="M592" s="10"/>
    </row>
    <row r="593" spans="13:13" x14ac:dyDescent="0.3">
      <c r="M593" s="10"/>
    </row>
    <row r="594" spans="13:13" x14ac:dyDescent="0.3">
      <c r="M594" s="10"/>
    </row>
    <row r="595" spans="13:13" x14ac:dyDescent="0.3">
      <c r="M595" s="10"/>
    </row>
    <row r="596" spans="13:13" x14ac:dyDescent="0.3">
      <c r="M596" s="10"/>
    </row>
    <row r="597" spans="13:13" x14ac:dyDescent="0.3">
      <c r="M597" s="10"/>
    </row>
    <row r="598" spans="13:13" x14ac:dyDescent="0.3">
      <c r="M598" s="10"/>
    </row>
    <row r="599" spans="13:13" x14ac:dyDescent="0.3">
      <c r="M599" s="10"/>
    </row>
    <row r="600" spans="13:13" x14ac:dyDescent="0.3">
      <c r="M600" s="10"/>
    </row>
    <row r="601" spans="13:13" x14ac:dyDescent="0.3">
      <c r="M601" s="10"/>
    </row>
    <row r="602" spans="13:13" x14ac:dyDescent="0.3">
      <c r="M602" s="10"/>
    </row>
    <row r="603" spans="13:13" x14ac:dyDescent="0.3">
      <c r="M603" s="10"/>
    </row>
    <row r="604" spans="13:13" x14ac:dyDescent="0.3">
      <c r="M604" s="10"/>
    </row>
    <row r="605" spans="13:13" x14ac:dyDescent="0.3">
      <c r="M605" s="10"/>
    </row>
    <row r="606" spans="13:13" x14ac:dyDescent="0.3">
      <c r="M606" s="10"/>
    </row>
    <row r="607" spans="13:13" x14ac:dyDescent="0.3">
      <c r="M607" s="10"/>
    </row>
    <row r="608" spans="13:13" x14ac:dyDescent="0.3">
      <c r="M608" s="10"/>
    </row>
    <row r="609" spans="13:13" x14ac:dyDescent="0.3">
      <c r="M609" s="10"/>
    </row>
    <row r="610" spans="13:13" x14ac:dyDescent="0.3">
      <c r="M610" s="10"/>
    </row>
    <row r="611" spans="13:13" x14ac:dyDescent="0.3">
      <c r="M611" s="10"/>
    </row>
    <row r="612" spans="13:13" x14ac:dyDescent="0.3">
      <c r="M612" s="10"/>
    </row>
    <row r="613" spans="13:13" x14ac:dyDescent="0.3">
      <c r="M613" s="10"/>
    </row>
    <row r="614" spans="13:13" x14ac:dyDescent="0.3">
      <c r="M614" s="10"/>
    </row>
    <row r="615" spans="13:13" x14ac:dyDescent="0.3">
      <c r="M615" s="10"/>
    </row>
    <row r="616" spans="13:13" x14ac:dyDescent="0.3">
      <c r="M616" s="10"/>
    </row>
    <row r="617" spans="13:13" x14ac:dyDescent="0.3">
      <c r="M617" s="10"/>
    </row>
    <row r="618" spans="13:13" x14ac:dyDescent="0.3">
      <c r="M618" s="10"/>
    </row>
    <row r="619" spans="13:13" x14ac:dyDescent="0.3">
      <c r="M619" s="10"/>
    </row>
    <row r="620" spans="13:13" x14ac:dyDescent="0.3">
      <c r="M620" s="10"/>
    </row>
    <row r="621" spans="13:13" x14ac:dyDescent="0.3">
      <c r="M621" s="10"/>
    </row>
    <row r="622" spans="13:13" x14ac:dyDescent="0.3">
      <c r="M622" s="10"/>
    </row>
    <row r="623" spans="13:13" x14ac:dyDescent="0.3">
      <c r="M623" s="10"/>
    </row>
    <row r="624" spans="13:13" x14ac:dyDescent="0.3">
      <c r="M624" s="10"/>
    </row>
    <row r="625" spans="13:13" x14ac:dyDescent="0.3">
      <c r="M625" s="10"/>
    </row>
    <row r="626" spans="13:13" x14ac:dyDescent="0.3">
      <c r="M626" s="10"/>
    </row>
    <row r="627" spans="13:13" x14ac:dyDescent="0.3">
      <c r="M627" s="10"/>
    </row>
    <row r="628" spans="13:13" x14ac:dyDescent="0.3">
      <c r="M628" s="10"/>
    </row>
    <row r="629" spans="13:13" x14ac:dyDescent="0.3">
      <c r="M629" s="10"/>
    </row>
    <row r="630" spans="13:13" x14ac:dyDescent="0.3">
      <c r="M630" s="10"/>
    </row>
    <row r="631" spans="13:13" x14ac:dyDescent="0.3">
      <c r="M631" s="10"/>
    </row>
    <row r="632" spans="13:13" x14ac:dyDescent="0.3">
      <c r="M632" s="10"/>
    </row>
    <row r="633" spans="13:13" x14ac:dyDescent="0.3">
      <c r="M633" s="10"/>
    </row>
    <row r="634" spans="13:13" x14ac:dyDescent="0.3">
      <c r="M634" s="10"/>
    </row>
    <row r="635" spans="13:13" x14ac:dyDescent="0.3">
      <c r="M635" s="10"/>
    </row>
    <row r="636" spans="13:13" x14ac:dyDescent="0.3">
      <c r="M636" s="10"/>
    </row>
    <row r="637" spans="13:13" x14ac:dyDescent="0.3">
      <c r="M637" s="10"/>
    </row>
    <row r="638" spans="13:13" x14ac:dyDescent="0.3">
      <c r="M638" s="10"/>
    </row>
    <row r="639" spans="13:13" x14ac:dyDescent="0.3">
      <c r="M639" s="10"/>
    </row>
    <row r="640" spans="13:13" x14ac:dyDescent="0.3">
      <c r="M640" s="10"/>
    </row>
    <row r="641" spans="13:13" x14ac:dyDescent="0.3">
      <c r="M641" s="10"/>
    </row>
    <row r="642" spans="13:13" x14ac:dyDescent="0.3">
      <c r="M642" s="10"/>
    </row>
    <row r="643" spans="13:13" x14ac:dyDescent="0.3">
      <c r="M643" s="10"/>
    </row>
    <row r="644" spans="13:13" x14ac:dyDescent="0.3">
      <c r="M644" s="10"/>
    </row>
    <row r="645" spans="13:13" x14ac:dyDescent="0.3">
      <c r="M645" s="10"/>
    </row>
    <row r="646" spans="13:13" x14ac:dyDescent="0.3">
      <c r="M646" s="10"/>
    </row>
    <row r="647" spans="13:13" x14ac:dyDescent="0.3">
      <c r="M647" s="10"/>
    </row>
    <row r="648" spans="13:13" x14ac:dyDescent="0.3">
      <c r="M648" s="10"/>
    </row>
    <row r="649" spans="13:13" x14ac:dyDescent="0.3">
      <c r="M649" s="10"/>
    </row>
    <row r="650" spans="13:13" x14ac:dyDescent="0.3">
      <c r="M650" s="10"/>
    </row>
    <row r="651" spans="13:13" x14ac:dyDescent="0.3">
      <c r="M651" s="10"/>
    </row>
    <row r="652" spans="13:13" x14ac:dyDescent="0.3">
      <c r="M652" s="10"/>
    </row>
    <row r="653" spans="13:13" x14ac:dyDescent="0.3">
      <c r="M653" s="10"/>
    </row>
    <row r="654" spans="13:13" x14ac:dyDescent="0.3">
      <c r="M654" s="10"/>
    </row>
    <row r="655" spans="13:13" x14ac:dyDescent="0.3">
      <c r="M655" s="10"/>
    </row>
    <row r="656" spans="13:13" x14ac:dyDescent="0.3">
      <c r="M656" s="10"/>
    </row>
    <row r="657" spans="13:13" x14ac:dyDescent="0.3">
      <c r="M657" s="10"/>
    </row>
    <row r="658" spans="13:13" x14ac:dyDescent="0.3">
      <c r="M658" s="10"/>
    </row>
    <row r="659" spans="13:13" x14ac:dyDescent="0.3">
      <c r="M659" s="10"/>
    </row>
    <row r="660" spans="13:13" x14ac:dyDescent="0.3">
      <c r="M660" s="10"/>
    </row>
    <row r="661" spans="13:13" x14ac:dyDescent="0.3">
      <c r="M661" s="10"/>
    </row>
    <row r="662" spans="13:13" x14ac:dyDescent="0.3">
      <c r="M662" s="10"/>
    </row>
    <row r="663" spans="13:13" x14ac:dyDescent="0.3">
      <c r="M663" s="10"/>
    </row>
    <row r="664" spans="13:13" x14ac:dyDescent="0.3">
      <c r="M664" s="10"/>
    </row>
    <row r="665" spans="13:13" x14ac:dyDescent="0.3">
      <c r="M665" s="10"/>
    </row>
    <row r="666" spans="13:13" x14ac:dyDescent="0.3">
      <c r="M666" s="10"/>
    </row>
    <row r="667" spans="13:13" x14ac:dyDescent="0.3">
      <c r="M667" s="10"/>
    </row>
    <row r="668" spans="13:13" x14ac:dyDescent="0.3">
      <c r="M668" s="10"/>
    </row>
    <row r="669" spans="13:13" x14ac:dyDescent="0.3">
      <c r="M669" s="10"/>
    </row>
    <row r="670" spans="13:13" x14ac:dyDescent="0.3">
      <c r="M670" s="10"/>
    </row>
    <row r="671" spans="13:13" x14ac:dyDescent="0.3">
      <c r="M671" s="10"/>
    </row>
    <row r="672" spans="13:13" x14ac:dyDescent="0.3">
      <c r="M672" s="10"/>
    </row>
    <row r="673" spans="13:13" x14ac:dyDescent="0.3">
      <c r="M673" s="10"/>
    </row>
    <row r="674" spans="13:13" x14ac:dyDescent="0.3">
      <c r="M674" s="10"/>
    </row>
    <row r="675" spans="13:13" x14ac:dyDescent="0.3">
      <c r="M675" s="10"/>
    </row>
    <row r="676" spans="13:13" x14ac:dyDescent="0.3">
      <c r="M676" s="10"/>
    </row>
    <row r="677" spans="13:13" x14ac:dyDescent="0.3">
      <c r="M677" s="10"/>
    </row>
    <row r="678" spans="13:13" x14ac:dyDescent="0.3">
      <c r="M678" s="10"/>
    </row>
    <row r="679" spans="13:13" x14ac:dyDescent="0.3">
      <c r="M679" s="10"/>
    </row>
    <row r="680" spans="13:13" x14ac:dyDescent="0.3">
      <c r="M680" s="10"/>
    </row>
    <row r="681" spans="13:13" x14ac:dyDescent="0.3">
      <c r="M681" s="10"/>
    </row>
    <row r="682" spans="13:13" x14ac:dyDescent="0.3">
      <c r="M682" s="10"/>
    </row>
    <row r="683" spans="13:13" x14ac:dyDescent="0.3">
      <c r="M683" s="10"/>
    </row>
    <row r="684" spans="13:13" x14ac:dyDescent="0.3">
      <c r="M684" s="10"/>
    </row>
    <row r="685" spans="13:13" x14ac:dyDescent="0.3">
      <c r="M685" s="10"/>
    </row>
    <row r="686" spans="13:13" x14ac:dyDescent="0.3">
      <c r="M686" s="10"/>
    </row>
    <row r="687" spans="13:13" x14ac:dyDescent="0.3">
      <c r="M687" s="10"/>
    </row>
    <row r="688" spans="13:13" x14ac:dyDescent="0.3">
      <c r="M688" s="10"/>
    </row>
    <row r="689" spans="13:13" x14ac:dyDescent="0.3">
      <c r="M689" s="10"/>
    </row>
    <row r="690" spans="13:13" x14ac:dyDescent="0.3">
      <c r="M690" s="10"/>
    </row>
    <row r="691" spans="13:13" x14ac:dyDescent="0.3">
      <c r="M691" s="10"/>
    </row>
    <row r="692" spans="13:13" x14ac:dyDescent="0.3">
      <c r="M692" s="10"/>
    </row>
    <row r="693" spans="13:13" x14ac:dyDescent="0.3">
      <c r="M693" s="10"/>
    </row>
    <row r="694" spans="13:13" x14ac:dyDescent="0.3">
      <c r="M694" s="10"/>
    </row>
    <row r="695" spans="13:13" x14ac:dyDescent="0.3">
      <c r="M695" s="10"/>
    </row>
    <row r="696" spans="13:13" x14ac:dyDescent="0.3">
      <c r="M696" s="10"/>
    </row>
    <row r="697" spans="13:13" x14ac:dyDescent="0.3">
      <c r="M697" s="10"/>
    </row>
    <row r="698" spans="13:13" x14ac:dyDescent="0.3">
      <c r="M698" s="10"/>
    </row>
    <row r="699" spans="13:13" x14ac:dyDescent="0.3">
      <c r="M699" s="10"/>
    </row>
    <row r="700" spans="13:13" x14ac:dyDescent="0.3">
      <c r="M700" s="10"/>
    </row>
    <row r="701" spans="13:13" x14ac:dyDescent="0.3">
      <c r="M701" s="10"/>
    </row>
    <row r="702" spans="13:13" x14ac:dyDescent="0.3">
      <c r="M702" s="10"/>
    </row>
    <row r="703" spans="13:13" x14ac:dyDescent="0.3">
      <c r="M703" s="10"/>
    </row>
    <row r="704" spans="13:13" x14ac:dyDescent="0.3">
      <c r="M704" s="10"/>
    </row>
    <row r="705" spans="13:13" x14ac:dyDescent="0.3">
      <c r="M705" s="10"/>
    </row>
    <row r="706" spans="13:13" x14ac:dyDescent="0.3">
      <c r="M706" s="10"/>
    </row>
    <row r="707" spans="13:13" x14ac:dyDescent="0.3">
      <c r="M707" s="10"/>
    </row>
    <row r="708" spans="13:13" x14ac:dyDescent="0.3">
      <c r="M708" s="10"/>
    </row>
    <row r="709" spans="13:13" x14ac:dyDescent="0.3">
      <c r="M709" s="10"/>
    </row>
    <row r="710" spans="13:13" x14ac:dyDescent="0.3">
      <c r="M710" s="10"/>
    </row>
    <row r="711" spans="13:13" x14ac:dyDescent="0.3">
      <c r="M711" s="10"/>
    </row>
    <row r="712" spans="13:13" x14ac:dyDescent="0.3">
      <c r="M712" s="10"/>
    </row>
    <row r="713" spans="13:13" x14ac:dyDescent="0.3">
      <c r="M713" s="10"/>
    </row>
    <row r="714" spans="13:13" x14ac:dyDescent="0.3">
      <c r="M714" s="10"/>
    </row>
    <row r="715" spans="13:13" x14ac:dyDescent="0.3">
      <c r="M715" s="10"/>
    </row>
    <row r="716" spans="13:13" x14ac:dyDescent="0.3">
      <c r="M716" s="10"/>
    </row>
    <row r="717" spans="13:13" x14ac:dyDescent="0.3">
      <c r="M717" s="10"/>
    </row>
    <row r="718" spans="13:13" x14ac:dyDescent="0.3">
      <c r="M718" s="10"/>
    </row>
    <row r="719" spans="13:13" x14ac:dyDescent="0.3">
      <c r="M719" s="10"/>
    </row>
    <row r="720" spans="13:13" x14ac:dyDescent="0.3">
      <c r="M720" s="10"/>
    </row>
    <row r="721" spans="13:13" x14ac:dyDescent="0.3">
      <c r="M721" s="10"/>
    </row>
    <row r="722" spans="13:13" x14ac:dyDescent="0.3">
      <c r="M722" s="10"/>
    </row>
    <row r="723" spans="13:13" x14ac:dyDescent="0.3">
      <c r="M723" s="10"/>
    </row>
    <row r="724" spans="13:13" x14ac:dyDescent="0.3">
      <c r="M724" s="10"/>
    </row>
    <row r="725" spans="13:13" x14ac:dyDescent="0.3">
      <c r="M725" s="10"/>
    </row>
    <row r="726" spans="13:13" x14ac:dyDescent="0.3">
      <c r="M726" s="10"/>
    </row>
    <row r="727" spans="13:13" x14ac:dyDescent="0.3">
      <c r="M727" s="10"/>
    </row>
    <row r="728" spans="13:13" x14ac:dyDescent="0.3">
      <c r="M728" s="10"/>
    </row>
    <row r="729" spans="13:13" x14ac:dyDescent="0.3">
      <c r="M729" s="10"/>
    </row>
    <row r="730" spans="13:13" x14ac:dyDescent="0.3">
      <c r="M730" s="10"/>
    </row>
    <row r="731" spans="13:13" x14ac:dyDescent="0.3">
      <c r="M731" s="10"/>
    </row>
    <row r="732" spans="13:13" x14ac:dyDescent="0.3">
      <c r="M732" s="10"/>
    </row>
    <row r="733" spans="13:13" x14ac:dyDescent="0.3">
      <c r="M733" s="10"/>
    </row>
    <row r="734" spans="13:13" x14ac:dyDescent="0.3">
      <c r="M734" s="10"/>
    </row>
    <row r="735" spans="13:13" x14ac:dyDescent="0.3">
      <c r="M735" s="10"/>
    </row>
    <row r="736" spans="13:13" x14ac:dyDescent="0.3">
      <c r="M736" s="10"/>
    </row>
    <row r="737" spans="13:13" x14ac:dyDescent="0.3">
      <c r="M737" s="10"/>
    </row>
    <row r="738" spans="13:13" x14ac:dyDescent="0.3">
      <c r="M738" s="10"/>
    </row>
    <row r="739" spans="13:13" x14ac:dyDescent="0.3">
      <c r="M739" s="10"/>
    </row>
    <row r="740" spans="13:13" x14ac:dyDescent="0.3">
      <c r="M740" s="10"/>
    </row>
    <row r="741" spans="13:13" x14ac:dyDescent="0.3">
      <c r="M741" s="10"/>
    </row>
    <row r="742" spans="13:13" x14ac:dyDescent="0.3">
      <c r="M742" s="10"/>
    </row>
    <row r="743" spans="13:13" x14ac:dyDescent="0.3">
      <c r="M743" s="10"/>
    </row>
    <row r="744" spans="13:13" x14ac:dyDescent="0.3">
      <c r="M744" s="10"/>
    </row>
    <row r="745" spans="13:13" x14ac:dyDescent="0.3">
      <c r="M745" s="10"/>
    </row>
    <row r="746" spans="13:13" x14ac:dyDescent="0.3">
      <c r="M746" s="10"/>
    </row>
    <row r="747" spans="13:13" x14ac:dyDescent="0.3">
      <c r="M747" s="10"/>
    </row>
    <row r="748" spans="13:13" x14ac:dyDescent="0.3">
      <c r="M748" s="10"/>
    </row>
    <row r="749" spans="13:13" x14ac:dyDescent="0.3">
      <c r="M749" s="10"/>
    </row>
    <row r="750" spans="13:13" x14ac:dyDescent="0.3">
      <c r="M750" s="10"/>
    </row>
    <row r="751" spans="13:13" x14ac:dyDescent="0.3">
      <c r="M751" s="10"/>
    </row>
    <row r="752" spans="13:13" x14ac:dyDescent="0.3">
      <c r="M752" s="10"/>
    </row>
    <row r="753" spans="13:13" x14ac:dyDescent="0.3">
      <c r="M753" s="10"/>
    </row>
    <row r="754" spans="13:13" x14ac:dyDescent="0.3">
      <c r="M754" s="10"/>
    </row>
    <row r="755" spans="13:13" x14ac:dyDescent="0.3">
      <c r="M755" s="10"/>
    </row>
    <row r="756" spans="13:13" x14ac:dyDescent="0.3">
      <c r="M756" s="10"/>
    </row>
    <row r="757" spans="13:13" x14ac:dyDescent="0.3">
      <c r="M757" s="10"/>
    </row>
    <row r="758" spans="13:13" x14ac:dyDescent="0.3">
      <c r="M758" s="10"/>
    </row>
    <row r="759" spans="13:13" x14ac:dyDescent="0.3">
      <c r="M759" s="10"/>
    </row>
    <row r="760" spans="13:13" x14ac:dyDescent="0.3">
      <c r="M760" s="10"/>
    </row>
    <row r="761" spans="13:13" x14ac:dyDescent="0.3">
      <c r="M761" s="10"/>
    </row>
    <row r="762" spans="13:13" x14ac:dyDescent="0.3">
      <c r="M762" s="10"/>
    </row>
    <row r="763" spans="13:13" x14ac:dyDescent="0.3">
      <c r="M763" s="10"/>
    </row>
    <row r="764" spans="13:13" x14ac:dyDescent="0.3">
      <c r="M764" s="10"/>
    </row>
    <row r="765" spans="13:13" x14ac:dyDescent="0.3">
      <c r="M765" s="10"/>
    </row>
    <row r="766" spans="13:13" x14ac:dyDescent="0.3">
      <c r="M766" s="10"/>
    </row>
    <row r="767" spans="13:13" x14ac:dyDescent="0.3">
      <c r="M767" s="10"/>
    </row>
    <row r="768" spans="13:13" x14ac:dyDescent="0.3">
      <c r="M768" s="10"/>
    </row>
    <row r="769" spans="13:13" x14ac:dyDescent="0.3">
      <c r="M769" s="10"/>
    </row>
    <row r="770" spans="13:13" x14ac:dyDescent="0.3">
      <c r="M770" s="10"/>
    </row>
    <row r="771" spans="13:13" x14ac:dyDescent="0.3">
      <c r="M771" s="10"/>
    </row>
    <row r="772" spans="13:13" x14ac:dyDescent="0.3">
      <c r="M772" s="10"/>
    </row>
    <row r="773" spans="13:13" x14ac:dyDescent="0.3">
      <c r="M773" s="10"/>
    </row>
    <row r="774" spans="13:13" x14ac:dyDescent="0.3">
      <c r="M774" s="10"/>
    </row>
    <row r="775" spans="13:13" x14ac:dyDescent="0.3">
      <c r="M775" s="10"/>
    </row>
    <row r="776" spans="13:13" x14ac:dyDescent="0.3">
      <c r="M776" s="10"/>
    </row>
    <row r="777" spans="13:13" x14ac:dyDescent="0.3">
      <c r="M777" s="10"/>
    </row>
    <row r="778" spans="13:13" x14ac:dyDescent="0.3">
      <c r="M778" s="10"/>
    </row>
    <row r="779" spans="13:13" x14ac:dyDescent="0.3">
      <c r="M779" s="10"/>
    </row>
    <row r="780" spans="13:13" x14ac:dyDescent="0.3">
      <c r="M780" s="10"/>
    </row>
    <row r="781" spans="13:13" x14ac:dyDescent="0.3">
      <c r="M781" s="10"/>
    </row>
    <row r="782" spans="13:13" x14ac:dyDescent="0.3">
      <c r="M782" s="10"/>
    </row>
    <row r="783" spans="13:13" x14ac:dyDescent="0.3">
      <c r="M783" s="10"/>
    </row>
    <row r="784" spans="13:13" x14ac:dyDescent="0.3">
      <c r="M784" s="10"/>
    </row>
    <row r="785" spans="13:13" x14ac:dyDescent="0.3">
      <c r="M785" s="10"/>
    </row>
    <row r="786" spans="13:13" x14ac:dyDescent="0.3">
      <c r="M786" s="10"/>
    </row>
    <row r="787" spans="13:13" x14ac:dyDescent="0.3">
      <c r="M787" s="10"/>
    </row>
    <row r="788" spans="13:13" x14ac:dyDescent="0.3">
      <c r="M788" s="10"/>
    </row>
    <row r="789" spans="13:13" x14ac:dyDescent="0.3">
      <c r="M789" s="10"/>
    </row>
    <row r="790" spans="13:13" x14ac:dyDescent="0.3">
      <c r="M790" s="10"/>
    </row>
    <row r="791" spans="13:13" x14ac:dyDescent="0.3">
      <c r="M791" s="10"/>
    </row>
    <row r="792" spans="13:13" x14ac:dyDescent="0.3">
      <c r="M792" s="10"/>
    </row>
    <row r="793" spans="13:13" x14ac:dyDescent="0.3">
      <c r="M793" s="10"/>
    </row>
    <row r="794" spans="13:13" x14ac:dyDescent="0.3">
      <c r="M794" s="10"/>
    </row>
    <row r="795" spans="13:13" x14ac:dyDescent="0.3">
      <c r="M795" s="10"/>
    </row>
    <row r="796" spans="13:13" x14ac:dyDescent="0.3">
      <c r="M796" s="10"/>
    </row>
    <row r="797" spans="13:13" x14ac:dyDescent="0.3">
      <c r="M797" s="10"/>
    </row>
    <row r="798" spans="13:13" x14ac:dyDescent="0.3">
      <c r="M798" s="10"/>
    </row>
    <row r="799" spans="13:13" x14ac:dyDescent="0.3">
      <c r="M799" s="10"/>
    </row>
    <row r="800" spans="13:13" x14ac:dyDescent="0.3">
      <c r="M800" s="10"/>
    </row>
    <row r="801" spans="13:13" x14ac:dyDescent="0.3">
      <c r="M801" s="10"/>
    </row>
    <row r="802" spans="13:13" x14ac:dyDescent="0.3">
      <c r="M802" s="10"/>
    </row>
    <row r="803" spans="13:13" x14ac:dyDescent="0.3">
      <c r="M803" s="10"/>
    </row>
    <row r="804" spans="13:13" x14ac:dyDescent="0.3">
      <c r="M804" s="10"/>
    </row>
    <row r="805" spans="13:13" x14ac:dyDescent="0.3">
      <c r="M805" s="10"/>
    </row>
    <row r="806" spans="13:13" x14ac:dyDescent="0.3">
      <c r="M806" s="10"/>
    </row>
    <row r="807" spans="13:13" x14ac:dyDescent="0.3">
      <c r="M807" s="10"/>
    </row>
    <row r="808" spans="13:13" x14ac:dyDescent="0.3">
      <c r="M808" s="10"/>
    </row>
    <row r="809" spans="13:13" x14ac:dyDescent="0.3">
      <c r="M809" s="10"/>
    </row>
    <row r="810" spans="13:13" x14ac:dyDescent="0.3">
      <c r="M810" s="10"/>
    </row>
    <row r="811" spans="13:13" x14ac:dyDescent="0.3">
      <c r="M811" s="10"/>
    </row>
    <row r="812" spans="13:13" x14ac:dyDescent="0.3">
      <c r="M812" s="10"/>
    </row>
    <row r="813" spans="13:13" x14ac:dyDescent="0.3">
      <c r="M813" s="10"/>
    </row>
    <row r="814" spans="13:13" x14ac:dyDescent="0.3">
      <c r="M814" s="10"/>
    </row>
    <row r="815" spans="13:13" x14ac:dyDescent="0.3">
      <c r="M815" s="10"/>
    </row>
    <row r="816" spans="13:13" x14ac:dyDescent="0.3">
      <c r="M816" s="10"/>
    </row>
    <row r="817" spans="13:13" x14ac:dyDescent="0.3">
      <c r="M817" s="10"/>
    </row>
    <row r="818" spans="13:13" x14ac:dyDescent="0.3">
      <c r="M818" s="10"/>
    </row>
    <row r="819" spans="13:13" x14ac:dyDescent="0.3">
      <c r="M819" s="10"/>
    </row>
    <row r="820" spans="13:13" x14ac:dyDescent="0.3">
      <c r="M820" s="10"/>
    </row>
    <row r="821" spans="13:13" x14ac:dyDescent="0.3">
      <c r="M821" s="10"/>
    </row>
    <row r="822" spans="13:13" x14ac:dyDescent="0.3">
      <c r="M822" s="10"/>
    </row>
    <row r="823" spans="13:13" x14ac:dyDescent="0.3">
      <c r="M823" s="10"/>
    </row>
    <row r="824" spans="13:13" x14ac:dyDescent="0.3">
      <c r="M824" s="10"/>
    </row>
    <row r="825" spans="13:13" x14ac:dyDescent="0.3">
      <c r="M825" s="10"/>
    </row>
    <row r="826" spans="13:13" x14ac:dyDescent="0.3">
      <c r="M826" s="10"/>
    </row>
    <row r="827" spans="13:13" x14ac:dyDescent="0.3">
      <c r="M827" s="10"/>
    </row>
    <row r="828" spans="13:13" x14ac:dyDescent="0.3">
      <c r="M828" s="10"/>
    </row>
    <row r="829" spans="13:13" x14ac:dyDescent="0.3">
      <c r="M829" s="10"/>
    </row>
    <row r="830" spans="13:13" x14ac:dyDescent="0.3">
      <c r="M830" s="10"/>
    </row>
    <row r="831" spans="13:13" x14ac:dyDescent="0.3">
      <c r="M831" s="10"/>
    </row>
    <row r="832" spans="13:13" x14ac:dyDescent="0.3">
      <c r="M832" s="10"/>
    </row>
    <row r="833" spans="13:13" x14ac:dyDescent="0.3">
      <c r="M833" s="10"/>
    </row>
    <row r="834" spans="13:13" x14ac:dyDescent="0.3">
      <c r="M834" s="10"/>
    </row>
    <row r="835" spans="13:13" x14ac:dyDescent="0.3">
      <c r="M835" s="10"/>
    </row>
    <row r="836" spans="13:13" x14ac:dyDescent="0.3">
      <c r="M836" s="10"/>
    </row>
    <row r="837" spans="13:13" x14ac:dyDescent="0.3">
      <c r="M837" s="10"/>
    </row>
    <row r="838" spans="13:13" x14ac:dyDescent="0.3">
      <c r="M838" s="10"/>
    </row>
    <row r="839" spans="13:13" x14ac:dyDescent="0.3">
      <c r="M839" s="10"/>
    </row>
    <row r="840" spans="13:13" x14ac:dyDescent="0.3">
      <c r="M840" s="10"/>
    </row>
    <row r="841" spans="13:13" x14ac:dyDescent="0.3">
      <c r="M841" s="10"/>
    </row>
    <row r="842" spans="13:13" x14ac:dyDescent="0.3">
      <c r="M842" s="10"/>
    </row>
    <row r="843" spans="13:13" x14ac:dyDescent="0.3">
      <c r="M843" s="10"/>
    </row>
    <row r="844" spans="13:13" x14ac:dyDescent="0.3">
      <c r="M844" s="10"/>
    </row>
    <row r="845" spans="13:13" x14ac:dyDescent="0.3">
      <c r="M845" s="10"/>
    </row>
    <row r="846" spans="13:13" x14ac:dyDescent="0.3">
      <c r="M846" s="10"/>
    </row>
    <row r="847" spans="13:13" x14ac:dyDescent="0.3">
      <c r="M847" s="10"/>
    </row>
    <row r="848" spans="13:13" x14ac:dyDescent="0.3">
      <c r="M848" s="10"/>
    </row>
    <row r="849" spans="13:13" x14ac:dyDescent="0.3">
      <c r="M849" s="10"/>
    </row>
    <row r="850" spans="13:13" x14ac:dyDescent="0.3">
      <c r="M850" s="10"/>
    </row>
    <row r="851" spans="13:13" x14ac:dyDescent="0.3">
      <c r="M851" s="10"/>
    </row>
    <row r="852" spans="13:13" x14ac:dyDescent="0.3">
      <c r="M852" s="10"/>
    </row>
    <row r="853" spans="13:13" x14ac:dyDescent="0.3">
      <c r="M853" s="10"/>
    </row>
    <row r="854" spans="13:13" x14ac:dyDescent="0.3">
      <c r="M854" s="10"/>
    </row>
    <row r="855" spans="13:13" x14ac:dyDescent="0.3">
      <c r="M855" s="10"/>
    </row>
    <row r="856" spans="13:13" x14ac:dyDescent="0.3">
      <c r="M856" s="10"/>
    </row>
    <row r="857" spans="13:13" x14ac:dyDescent="0.3">
      <c r="M857" s="10"/>
    </row>
    <row r="858" spans="13:13" x14ac:dyDescent="0.3">
      <c r="M858" s="10"/>
    </row>
    <row r="859" spans="13:13" x14ac:dyDescent="0.3">
      <c r="M859" s="10"/>
    </row>
    <row r="860" spans="13:13" x14ac:dyDescent="0.3">
      <c r="M860" s="10"/>
    </row>
    <row r="861" spans="13:13" x14ac:dyDescent="0.3">
      <c r="M861" s="10"/>
    </row>
    <row r="862" spans="13:13" x14ac:dyDescent="0.3">
      <c r="M862" s="10"/>
    </row>
    <row r="863" spans="13:13" x14ac:dyDescent="0.3">
      <c r="M863" s="10"/>
    </row>
    <row r="864" spans="13:13" x14ac:dyDescent="0.3">
      <c r="M864" s="10"/>
    </row>
    <row r="865" spans="13:13" x14ac:dyDescent="0.3">
      <c r="M865" s="10"/>
    </row>
    <row r="866" spans="13:13" x14ac:dyDescent="0.3">
      <c r="M866" s="10"/>
    </row>
    <row r="867" spans="13:13" x14ac:dyDescent="0.3">
      <c r="M867" s="10"/>
    </row>
    <row r="868" spans="13:13" x14ac:dyDescent="0.3">
      <c r="M868" s="10"/>
    </row>
    <row r="869" spans="13:13" x14ac:dyDescent="0.3">
      <c r="M869" s="10"/>
    </row>
    <row r="870" spans="13:13" x14ac:dyDescent="0.3">
      <c r="M870" s="10"/>
    </row>
    <row r="871" spans="13:13" x14ac:dyDescent="0.3">
      <c r="M871" s="10"/>
    </row>
    <row r="872" spans="13:13" x14ac:dyDescent="0.3">
      <c r="M872" s="10"/>
    </row>
    <row r="873" spans="13:13" x14ac:dyDescent="0.3">
      <c r="M873" s="10"/>
    </row>
    <row r="874" spans="13:13" x14ac:dyDescent="0.3">
      <c r="M874" s="10"/>
    </row>
    <row r="875" spans="13:13" x14ac:dyDescent="0.3">
      <c r="M875" s="10"/>
    </row>
    <row r="876" spans="13:13" x14ac:dyDescent="0.3">
      <c r="M876" s="10"/>
    </row>
    <row r="877" spans="13:13" x14ac:dyDescent="0.3">
      <c r="M877" s="10"/>
    </row>
    <row r="878" spans="13:13" x14ac:dyDescent="0.3">
      <c r="M878" s="10"/>
    </row>
    <row r="879" spans="13:13" x14ac:dyDescent="0.3">
      <c r="M879" s="10"/>
    </row>
    <row r="880" spans="13:13" x14ac:dyDescent="0.3">
      <c r="M880" s="10"/>
    </row>
    <row r="881" spans="13:13" x14ac:dyDescent="0.3">
      <c r="M881" s="10"/>
    </row>
    <row r="882" spans="13:13" x14ac:dyDescent="0.3">
      <c r="M882" s="10"/>
    </row>
    <row r="883" spans="13:13" x14ac:dyDescent="0.3">
      <c r="M883" s="10"/>
    </row>
    <row r="884" spans="13:13" x14ac:dyDescent="0.3">
      <c r="M884" s="10"/>
    </row>
    <row r="885" spans="13:13" x14ac:dyDescent="0.3">
      <c r="M885" s="10"/>
    </row>
    <row r="886" spans="13:13" x14ac:dyDescent="0.3">
      <c r="M886" s="10"/>
    </row>
    <row r="887" spans="13:13" x14ac:dyDescent="0.3">
      <c r="M887" s="10"/>
    </row>
    <row r="888" spans="13:13" x14ac:dyDescent="0.3">
      <c r="M888" s="10"/>
    </row>
    <row r="889" spans="13:13" x14ac:dyDescent="0.3">
      <c r="M889" s="10"/>
    </row>
    <row r="890" spans="13:13" x14ac:dyDescent="0.3">
      <c r="M890" s="10"/>
    </row>
    <row r="891" spans="13:13" x14ac:dyDescent="0.3">
      <c r="M891" s="10"/>
    </row>
    <row r="892" spans="13:13" x14ac:dyDescent="0.3">
      <c r="M892" s="10"/>
    </row>
    <row r="893" spans="13:13" x14ac:dyDescent="0.3">
      <c r="M893" s="10"/>
    </row>
    <row r="894" spans="13:13" x14ac:dyDescent="0.3">
      <c r="M894" s="10"/>
    </row>
    <row r="895" spans="13:13" x14ac:dyDescent="0.3">
      <c r="M895" s="10"/>
    </row>
    <row r="896" spans="13:13" x14ac:dyDescent="0.3">
      <c r="M896" s="10"/>
    </row>
    <row r="897" spans="13:13" x14ac:dyDescent="0.3">
      <c r="M897" s="10"/>
    </row>
    <row r="898" spans="13:13" x14ac:dyDescent="0.3">
      <c r="M898" s="10"/>
    </row>
    <row r="899" spans="13:13" x14ac:dyDescent="0.3">
      <c r="M899" s="10"/>
    </row>
    <row r="900" spans="13:13" x14ac:dyDescent="0.3">
      <c r="M900" s="10"/>
    </row>
    <row r="901" spans="13:13" x14ac:dyDescent="0.3">
      <c r="M901" s="10"/>
    </row>
    <row r="902" spans="13:13" x14ac:dyDescent="0.3">
      <c r="M902" s="10"/>
    </row>
    <row r="903" spans="13:13" x14ac:dyDescent="0.3">
      <c r="M903" s="10"/>
    </row>
    <row r="904" spans="13:13" x14ac:dyDescent="0.3">
      <c r="M904" s="10"/>
    </row>
    <row r="905" spans="13:13" x14ac:dyDescent="0.3">
      <c r="M905" s="10"/>
    </row>
    <row r="906" spans="13:13" x14ac:dyDescent="0.3">
      <c r="M906" s="10"/>
    </row>
    <row r="907" spans="13:13" x14ac:dyDescent="0.3">
      <c r="M907" s="10"/>
    </row>
    <row r="908" spans="13:13" x14ac:dyDescent="0.3">
      <c r="M908" s="10"/>
    </row>
    <row r="909" spans="13:13" x14ac:dyDescent="0.3">
      <c r="M909" s="10"/>
    </row>
    <row r="910" spans="13:13" x14ac:dyDescent="0.3">
      <c r="M910" s="10"/>
    </row>
    <row r="911" spans="13:13" x14ac:dyDescent="0.3">
      <c r="M911" s="10"/>
    </row>
    <row r="912" spans="13:13" x14ac:dyDescent="0.3">
      <c r="M912" s="10"/>
    </row>
    <row r="913" spans="13:13" x14ac:dyDescent="0.3">
      <c r="M913" s="10"/>
    </row>
    <row r="914" spans="13:13" x14ac:dyDescent="0.3">
      <c r="M914" s="10"/>
    </row>
    <row r="915" spans="13:13" x14ac:dyDescent="0.3">
      <c r="M915" s="10"/>
    </row>
    <row r="916" spans="13:13" x14ac:dyDescent="0.3">
      <c r="M916" s="10"/>
    </row>
    <row r="917" spans="13:13" x14ac:dyDescent="0.3">
      <c r="M917" s="10"/>
    </row>
    <row r="918" spans="13:13" x14ac:dyDescent="0.3">
      <c r="M918" s="10"/>
    </row>
    <row r="919" spans="13:13" x14ac:dyDescent="0.3">
      <c r="M919" s="10"/>
    </row>
    <row r="920" spans="13:13" x14ac:dyDescent="0.3">
      <c r="M920" s="10"/>
    </row>
    <row r="921" spans="13:13" x14ac:dyDescent="0.3">
      <c r="M921" s="10"/>
    </row>
    <row r="922" spans="13:13" x14ac:dyDescent="0.3">
      <c r="M922" s="10"/>
    </row>
    <row r="923" spans="13:13" x14ac:dyDescent="0.3">
      <c r="M923" s="10"/>
    </row>
    <row r="924" spans="13:13" x14ac:dyDescent="0.3">
      <c r="M924" s="10"/>
    </row>
    <row r="925" spans="13:13" x14ac:dyDescent="0.3">
      <c r="M925" s="10"/>
    </row>
    <row r="926" spans="13:13" x14ac:dyDescent="0.3">
      <c r="M926" s="10"/>
    </row>
    <row r="927" spans="13:13" x14ac:dyDescent="0.3">
      <c r="M927" s="10"/>
    </row>
    <row r="928" spans="13:13" x14ac:dyDescent="0.3">
      <c r="M928" s="10"/>
    </row>
    <row r="929" spans="13:13" x14ac:dyDescent="0.3">
      <c r="M929" s="10"/>
    </row>
    <row r="930" spans="13:13" x14ac:dyDescent="0.3">
      <c r="M930" s="10"/>
    </row>
    <row r="931" spans="13:13" x14ac:dyDescent="0.3">
      <c r="M931" s="10"/>
    </row>
    <row r="932" spans="13:13" x14ac:dyDescent="0.3">
      <c r="M932" s="10"/>
    </row>
    <row r="933" spans="13:13" x14ac:dyDescent="0.3">
      <c r="M933" s="10"/>
    </row>
    <row r="934" spans="13:13" x14ac:dyDescent="0.3">
      <c r="M934" s="10"/>
    </row>
    <row r="935" spans="13:13" x14ac:dyDescent="0.3">
      <c r="M935" s="10"/>
    </row>
    <row r="936" spans="13:13" x14ac:dyDescent="0.3">
      <c r="M936" s="10"/>
    </row>
    <row r="937" spans="13:13" x14ac:dyDescent="0.3">
      <c r="M937" s="10"/>
    </row>
    <row r="938" spans="13:13" x14ac:dyDescent="0.3">
      <c r="M938" s="10"/>
    </row>
    <row r="939" spans="13:13" x14ac:dyDescent="0.3">
      <c r="M939" s="10"/>
    </row>
    <row r="940" spans="13:13" x14ac:dyDescent="0.3">
      <c r="M940" s="10"/>
    </row>
    <row r="941" spans="13:13" x14ac:dyDescent="0.3">
      <c r="M941" s="10"/>
    </row>
    <row r="942" spans="13:13" x14ac:dyDescent="0.3">
      <c r="M942" s="10"/>
    </row>
    <row r="943" spans="13:13" x14ac:dyDescent="0.3">
      <c r="M943" s="10"/>
    </row>
    <row r="944" spans="13:13" x14ac:dyDescent="0.3">
      <c r="M944" s="10"/>
    </row>
    <row r="945" spans="13:13" x14ac:dyDescent="0.3">
      <c r="M945" s="10"/>
    </row>
    <row r="946" spans="13:13" x14ac:dyDescent="0.3">
      <c r="M946" s="10"/>
    </row>
    <row r="947" spans="13:13" x14ac:dyDescent="0.3">
      <c r="M947" s="10"/>
    </row>
    <row r="948" spans="13:13" x14ac:dyDescent="0.3">
      <c r="M948" s="10"/>
    </row>
    <row r="949" spans="13:13" x14ac:dyDescent="0.3">
      <c r="M949" s="10"/>
    </row>
    <row r="950" spans="13:13" x14ac:dyDescent="0.3">
      <c r="M950" s="10"/>
    </row>
    <row r="951" spans="13:13" x14ac:dyDescent="0.3">
      <c r="M951" s="10"/>
    </row>
    <row r="952" spans="13:13" x14ac:dyDescent="0.3">
      <c r="M952" s="10"/>
    </row>
    <row r="953" spans="13:13" x14ac:dyDescent="0.3">
      <c r="M953" s="10"/>
    </row>
    <row r="954" spans="13:13" x14ac:dyDescent="0.3">
      <c r="M954" s="10"/>
    </row>
    <row r="955" spans="13:13" x14ac:dyDescent="0.3">
      <c r="M955" s="10"/>
    </row>
    <row r="956" spans="13:13" x14ac:dyDescent="0.3">
      <c r="M956" s="10"/>
    </row>
    <row r="957" spans="13:13" x14ac:dyDescent="0.3">
      <c r="M957" s="10"/>
    </row>
    <row r="958" spans="13:13" x14ac:dyDescent="0.3">
      <c r="M958" s="10"/>
    </row>
    <row r="959" spans="13:13" x14ac:dyDescent="0.3">
      <c r="M959" s="10"/>
    </row>
    <row r="960" spans="13:13" x14ac:dyDescent="0.3">
      <c r="M960" s="10"/>
    </row>
    <row r="961" spans="13:13" x14ac:dyDescent="0.3">
      <c r="M961" s="10"/>
    </row>
    <row r="962" spans="13:13" x14ac:dyDescent="0.3">
      <c r="M962" s="10"/>
    </row>
    <row r="963" spans="13:13" x14ac:dyDescent="0.3">
      <c r="M963" s="10"/>
    </row>
    <row r="964" spans="13:13" x14ac:dyDescent="0.3">
      <c r="M964" s="10"/>
    </row>
    <row r="965" spans="13:13" x14ac:dyDescent="0.3">
      <c r="M965" s="10"/>
    </row>
    <row r="966" spans="13:13" x14ac:dyDescent="0.3">
      <c r="M966" s="10"/>
    </row>
    <row r="967" spans="13:13" x14ac:dyDescent="0.3">
      <c r="M967" s="10"/>
    </row>
    <row r="968" spans="13:13" x14ac:dyDescent="0.3">
      <c r="M968" s="10"/>
    </row>
    <row r="969" spans="13:13" x14ac:dyDescent="0.3">
      <c r="M969" s="10"/>
    </row>
    <row r="970" spans="13:13" x14ac:dyDescent="0.3">
      <c r="M970" s="10"/>
    </row>
    <row r="971" spans="13:13" x14ac:dyDescent="0.3">
      <c r="M971" s="10"/>
    </row>
    <row r="972" spans="13:13" x14ac:dyDescent="0.3">
      <c r="M972" s="10"/>
    </row>
    <row r="973" spans="13:13" x14ac:dyDescent="0.3">
      <c r="M973" s="10"/>
    </row>
    <row r="974" spans="13:13" x14ac:dyDescent="0.3">
      <c r="M974" s="10"/>
    </row>
    <row r="975" spans="13:13" x14ac:dyDescent="0.3">
      <c r="M975" s="10"/>
    </row>
    <row r="976" spans="13:13" x14ac:dyDescent="0.3">
      <c r="M976" s="10"/>
    </row>
    <row r="977" spans="13:13" x14ac:dyDescent="0.3">
      <c r="M977" s="10"/>
    </row>
    <row r="978" spans="13:13" x14ac:dyDescent="0.3">
      <c r="M978" s="10"/>
    </row>
    <row r="979" spans="13:13" x14ac:dyDescent="0.3">
      <c r="M979" s="10"/>
    </row>
    <row r="980" spans="13:13" x14ac:dyDescent="0.3">
      <c r="M980" s="10"/>
    </row>
    <row r="981" spans="13:13" x14ac:dyDescent="0.3">
      <c r="M981" s="10"/>
    </row>
    <row r="982" spans="13:13" x14ac:dyDescent="0.3">
      <c r="M982" s="10"/>
    </row>
    <row r="983" spans="13:13" x14ac:dyDescent="0.3">
      <c r="M983" s="10"/>
    </row>
    <row r="984" spans="13:13" x14ac:dyDescent="0.3">
      <c r="M984" s="10"/>
    </row>
    <row r="985" spans="13:13" x14ac:dyDescent="0.3">
      <c r="M985" s="10"/>
    </row>
    <row r="986" spans="13:13" x14ac:dyDescent="0.3">
      <c r="M986" s="10"/>
    </row>
    <row r="987" spans="13:13" x14ac:dyDescent="0.3">
      <c r="M987" s="10"/>
    </row>
    <row r="988" spans="13:13" x14ac:dyDescent="0.3">
      <c r="M988" s="10"/>
    </row>
    <row r="989" spans="13:13" x14ac:dyDescent="0.3">
      <c r="M989" s="10"/>
    </row>
    <row r="990" spans="13:13" x14ac:dyDescent="0.3">
      <c r="M990" s="10"/>
    </row>
    <row r="991" spans="13:13" x14ac:dyDescent="0.3">
      <c r="M991" s="10"/>
    </row>
    <row r="992" spans="13:13" x14ac:dyDescent="0.3">
      <c r="M992" s="10"/>
    </row>
    <row r="993" spans="13:13" x14ac:dyDescent="0.3">
      <c r="M993" s="10"/>
    </row>
    <row r="994" spans="13:13" x14ac:dyDescent="0.3">
      <c r="M994" s="10"/>
    </row>
    <row r="995" spans="13:13" x14ac:dyDescent="0.3">
      <c r="M995" s="10"/>
    </row>
    <row r="996" spans="13:13" x14ac:dyDescent="0.3">
      <c r="M996" s="10"/>
    </row>
    <row r="997" spans="13:13" x14ac:dyDescent="0.3">
      <c r="M997" s="10"/>
    </row>
    <row r="998" spans="13:13" x14ac:dyDescent="0.3">
      <c r="M998" s="10"/>
    </row>
    <row r="999" spans="13:13" x14ac:dyDescent="0.3">
      <c r="M999" s="10"/>
    </row>
    <row r="1000" spans="13:13" x14ac:dyDescent="0.3">
      <c r="M1000" s="10"/>
    </row>
    <row r="1001" spans="13:13" x14ac:dyDescent="0.3">
      <c r="M1001" s="10"/>
    </row>
    <row r="1002" spans="13:13" x14ac:dyDescent="0.3">
      <c r="M1002" s="10"/>
    </row>
    <row r="1003" spans="13:13" x14ac:dyDescent="0.3">
      <c r="M1003" s="10"/>
    </row>
    <row r="1004" spans="13:13" x14ac:dyDescent="0.3">
      <c r="M1004" s="10"/>
    </row>
    <row r="1005" spans="13:13" x14ac:dyDescent="0.3">
      <c r="M1005" s="10"/>
    </row>
    <row r="1006" spans="13:13" x14ac:dyDescent="0.3">
      <c r="M1006" s="10"/>
    </row>
    <row r="1007" spans="13:13" x14ac:dyDescent="0.3">
      <c r="M1007" s="10"/>
    </row>
    <row r="1008" spans="13:13" x14ac:dyDescent="0.3">
      <c r="M1008" s="10"/>
    </row>
    <row r="1009" spans="13:13" x14ac:dyDescent="0.3">
      <c r="M1009" s="10"/>
    </row>
    <row r="1010" spans="13:13" x14ac:dyDescent="0.3">
      <c r="M1010" s="10"/>
    </row>
    <row r="1011" spans="13:13" x14ac:dyDescent="0.3">
      <c r="M1011" s="10"/>
    </row>
    <row r="1012" spans="13:13" x14ac:dyDescent="0.3">
      <c r="M1012" s="10"/>
    </row>
    <row r="1013" spans="13:13" x14ac:dyDescent="0.3">
      <c r="M1013" s="10"/>
    </row>
    <row r="1014" spans="13:13" x14ac:dyDescent="0.3">
      <c r="M1014" s="10"/>
    </row>
    <row r="1015" spans="13:13" x14ac:dyDescent="0.3">
      <c r="M1015" s="10"/>
    </row>
    <row r="1016" spans="13:13" x14ac:dyDescent="0.3">
      <c r="M1016" s="10"/>
    </row>
    <row r="1017" spans="13:13" x14ac:dyDescent="0.3">
      <c r="M1017" s="10"/>
    </row>
    <row r="1018" spans="13:13" x14ac:dyDescent="0.3">
      <c r="M1018" s="10"/>
    </row>
    <row r="1019" spans="13:13" x14ac:dyDescent="0.3">
      <c r="M1019" s="10"/>
    </row>
    <row r="1020" spans="13:13" x14ac:dyDescent="0.3">
      <c r="M1020" s="10"/>
    </row>
    <row r="1021" spans="13:13" x14ac:dyDescent="0.3">
      <c r="M1021" s="10"/>
    </row>
    <row r="1022" spans="13:13" x14ac:dyDescent="0.3">
      <c r="M1022" s="10"/>
    </row>
    <row r="1023" spans="13:13" x14ac:dyDescent="0.3">
      <c r="M1023" s="10"/>
    </row>
    <row r="1024" spans="13:13" x14ac:dyDescent="0.3">
      <c r="M1024" s="10"/>
    </row>
    <row r="1025" spans="13:13" x14ac:dyDescent="0.3">
      <c r="M1025" s="10"/>
    </row>
    <row r="1026" spans="13:13" x14ac:dyDescent="0.3">
      <c r="M1026" s="10"/>
    </row>
    <row r="1027" spans="13:13" x14ac:dyDescent="0.3">
      <c r="M1027" s="10"/>
    </row>
    <row r="1028" spans="13:13" x14ac:dyDescent="0.3">
      <c r="M1028" s="10"/>
    </row>
    <row r="1029" spans="13:13" x14ac:dyDescent="0.3">
      <c r="M1029" s="10"/>
    </row>
    <row r="1030" spans="13:13" x14ac:dyDescent="0.3">
      <c r="M1030" s="10"/>
    </row>
    <row r="1031" spans="13:13" x14ac:dyDescent="0.3">
      <c r="M1031" s="10"/>
    </row>
    <row r="1032" spans="13:13" x14ac:dyDescent="0.3">
      <c r="M1032" s="10"/>
    </row>
    <row r="1033" spans="13:13" x14ac:dyDescent="0.3">
      <c r="M1033" s="10"/>
    </row>
    <row r="1034" spans="13:13" x14ac:dyDescent="0.3">
      <c r="M1034" s="10"/>
    </row>
    <row r="1035" spans="13:13" x14ac:dyDescent="0.3">
      <c r="M1035" s="10"/>
    </row>
    <row r="1036" spans="13:13" x14ac:dyDescent="0.3">
      <c r="M1036" s="10"/>
    </row>
    <row r="1037" spans="13:13" x14ac:dyDescent="0.3">
      <c r="M1037" s="10"/>
    </row>
    <row r="1038" spans="13:13" x14ac:dyDescent="0.3">
      <c r="M1038" s="10"/>
    </row>
    <row r="1039" spans="13:13" x14ac:dyDescent="0.3">
      <c r="M1039" s="10"/>
    </row>
    <row r="1040" spans="13:13" x14ac:dyDescent="0.3">
      <c r="M1040" s="10"/>
    </row>
    <row r="1041" spans="13:13" x14ac:dyDescent="0.3">
      <c r="M1041" s="10"/>
    </row>
    <row r="1042" spans="13:13" x14ac:dyDescent="0.3">
      <c r="M1042" s="10"/>
    </row>
    <row r="1043" spans="13:13" x14ac:dyDescent="0.3">
      <c r="M1043" s="10"/>
    </row>
    <row r="1044" spans="13:13" x14ac:dyDescent="0.3">
      <c r="M1044" s="10"/>
    </row>
    <row r="1045" spans="13:13" x14ac:dyDescent="0.3">
      <c r="M1045" s="10"/>
    </row>
    <row r="1046" spans="13:13" x14ac:dyDescent="0.3">
      <c r="M1046" s="10"/>
    </row>
    <row r="1047" spans="13:13" x14ac:dyDescent="0.3">
      <c r="M1047" s="10"/>
    </row>
    <row r="1048" spans="13:13" x14ac:dyDescent="0.3">
      <c r="M1048" s="10"/>
    </row>
    <row r="1049" spans="13:13" x14ac:dyDescent="0.3">
      <c r="M1049" s="10"/>
    </row>
    <row r="1050" spans="13:13" x14ac:dyDescent="0.3">
      <c r="M1050" s="10"/>
    </row>
    <row r="1051" spans="13:13" x14ac:dyDescent="0.3">
      <c r="M1051" s="10"/>
    </row>
    <row r="1052" spans="13:13" x14ac:dyDescent="0.3">
      <c r="M1052" s="10"/>
    </row>
    <row r="1053" spans="13:13" x14ac:dyDescent="0.3">
      <c r="M1053" s="10"/>
    </row>
    <row r="1054" spans="13:13" x14ac:dyDescent="0.3">
      <c r="M1054" s="10"/>
    </row>
    <row r="1055" spans="13:13" x14ac:dyDescent="0.3">
      <c r="M1055" s="10"/>
    </row>
    <row r="1056" spans="13:13" x14ac:dyDescent="0.3">
      <c r="M1056" s="10"/>
    </row>
    <row r="1057" spans="13:13" x14ac:dyDescent="0.3">
      <c r="M1057" s="10"/>
    </row>
    <row r="1058" spans="13:13" x14ac:dyDescent="0.3">
      <c r="M1058" s="10"/>
    </row>
    <row r="1059" spans="13:13" x14ac:dyDescent="0.3">
      <c r="M1059" s="10"/>
    </row>
    <row r="1060" spans="13:13" x14ac:dyDescent="0.3">
      <c r="M1060" s="10"/>
    </row>
    <row r="1061" spans="13:13" x14ac:dyDescent="0.3">
      <c r="M1061" s="10"/>
    </row>
    <row r="1062" spans="13:13" x14ac:dyDescent="0.3">
      <c r="M1062" s="10"/>
    </row>
    <row r="1063" spans="13:13" x14ac:dyDescent="0.3">
      <c r="M1063" s="10"/>
    </row>
    <row r="1064" spans="13:13" x14ac:dyDescent="0.3">
      <c r="M1064" s="10"/>
    </row>
    <row r="1065" spans="13:13" x14ac:dyDescent="0.3">
      <c r="M1065" s="10"/>
    </row>
    <row r="1066" spans="13:13" x14ac:dyDescent="0.3">
      <c r="M1066" s="10"/>
    </row>
    <row r="1067" spans="13:13" x14ac:dyDescent="0.3">
      <c r="M1067" s="10"/>
    </row>
    <row r="1068" spans="13:13" x14ac:dyDescent="0.3">
      <c r="M1068" s="10"/>
    </row>
    <row r="1069" spans="13:13" x14ac:dyDescent="0.3">
      <c r="M1069" s="10"/>
    </row>
    <row r="1070" spans="13:13" x14ac:dyDescent="0.3">
      <c r="M1070" s="10"/>
    </row>
    <row r="1071" spans="13:13" x14ac:dyDescent="0.3">
      <c r="M1071" s="10"/>
    </row>
    <row r="1072" spans="13:13" x14ac:dyDescent="0.3">
      <c r="M1072" s="10"/>
    </row>
    <row r="1073" spans="13:13" x14ac:dyDescent="0.3">
      <c r="M1073" s="10"/>
    </row>
    <row r="1074" spans="13:13" x14ac:dyDescent="0.3">
      <c r="M1074" s="10"/>
    </row>
    <row r="1075" spans="13:13" x14ac:dyDescent="0.3">
      <c r="M1075" s="10"/>
    </row>
    <row r="1076" spans="13:13" x14ac:dyDescent="0.3">
      <c r="M1076" s="10"/>
    </row>
    <row r="1077" spans="13:13" x14ac:dyDescent="0.3">
      <c r="M1077" s="10"/>
    </row>
    <row r="1078" spans="13:13" x14ac:dyDescent="0.3">
      <c r="M1078" s="10"/>
    </row>
    <row r="1079" spans="13:13" x14ac:dyDescent="0.3">
      <c r="M1079" s="10"/>
    </row>
    <row r="1080" spans="13:13" x14ac:dyDescent="0.3">
      <c r="M1080" s="10"/>
    </row>
    <row r="1081" spans="13:13" x14ac:dyDescent="0.3">
      <c r="M1081" s="10"/>
    </row>
    <row r="1082" spans="13:13" x14ac:dyDescent="0.3">
      <c r="M1082" s="10"/>
    </row>
    <row r="1083" spans="13:13" x14ac:dyDescent="0.3">
      <c r="M1083" s="10"/>
    </row>
    <row r="1084" spans="13:13" x14ac:dyDescent="0.3">
      <c r="M1084" s="10"/>
    </row>
    <row r="1085" spans="13:13" x14ac:dyDescent="0.3">
      <c r="M1085" s="10"/>
    </row>
    <row r="1086" spans="13:13" x14ac:dyDescent="0.3">
      <c r="M1086" s="10"/>
    </row>
    <row r="1087" spans="13:13" x14ac:dyDescent="0.3">
      <c r="M1087" s="10"/>
    </row>
    <row r="1088" spans="13:13" x14ac:dyDescent="0.3">
      <c r="M1088" s="10"/>
    </row>
    <row r="1089" spans="13:13" x14ac:dyDescent="0.3">
      <c r="M1089" s="10"/>
    </row>
    <row r="1090" spans="13:13" x14ac:dyDescent="0.3">
      <c r="M1090" s="10"/>
    </row>
    <row r="1091" spans="13:13" x14ac:dyDescent="0.3">
      <c r="M1091" s="10"/>
    </row>
    <row r="1092" spans="13:13" x14ac:dyDescent="0.3">
      <c r="M1092" s="10"/>
    </row>
    <row r="1093" spans="13:13" x14ac:dyDescent="0.3">
      <c r="M1093" s="10"/>
    </row>
    <row r="1094" spans="13:13" x14ac:dyDescent="0.3">
      <c r="M1094" s="10"/>
    </row>
    <row r="1095" spans="13:13" x14ac:dyDescent="0.3">
      <c r="M1095" s="10"/>
    </row>
    <row r="1096" spans="13:13" x14ac:dyDescent="0.3">
      <c r="M1096" s="10"/>
    </row>
    <row r="1097" spans="13:13" x14ac:dyDescent="0.3">
      <c r="M1097" s="10"/>
    </row>
    <row r="1098" spans="13:13" x14ac:dyDescent="0.3">
      <c r="M1098" s="10"/>
    </row>
    <row r="1099" spans="13:13" x14ac:dyDescent="0.3">
      <c r="M1099" s="10"/>
    </row>
    <row r="1100" spans="13:13" x14ac:dyDescent="0.3">
      <c r="M1100" s="10"/>
    </row>
    <row r="1101" spans="13:13" x14ac:dyDescent="0.3">
      <c r="M1101" s="10"/>
    </row>
    <row r="1102" spans="13:13" x14ac:dyDescent="0.3">
      <c r="M1102" s="10"/>
    </row>
    <row r="1103" spans="13:13" x14ac:dyDescent="0.3">
      <c r="M1103" s="10"/>
    </row>
    <row r="1104" spans="13:13" x14ac:dyDescent="0.3">
      <c r="M1104" s="10"/>
    </row>
    <row r="1105" spans="13:13" x14ac:dyDescent="0.3">
      <c r="M1105" s="10"/>
    </row>
    <row r="1106" spans="13:13" x14ac:dyDescent="0.3">
      <c r="M1106" s="10"/>
    </row>
    <row r="1107" spans="13:13" x14ac:dyDescent="0.3">
      <c r="M1107" s="10"/>
    </row>
    <row r="1108" spans="13:13" x14ac:dyDescent="0.3">
      <c r="M1108" s="10"/>
    </row>
    <row r="1109" spans="13:13" x14ac:dyDescent="0.3">
      <c r="M1109" s="10"/>
    </row>
    <row r="1110" spans="13:13" x14ac:dyDescent="0.3">
      <c r="M1110" s="10"/>
    </row>
    <row r="1111" spans="13:13" x14ac:dyDescent="0.3">
      <c r="M1111" s="10"/>
    </row>
    <row r="1112" spans="13:13" x14ac:dyDescent="0.3">
      <c r="M1112" s="10"/>
    </row>
    <row r="1113" spans="13:13" x14ac:dyDescent="0.3">
      <c r="M1113" s="10"/>
    </row>
    <row r="1114" spans="13:13" x14ac:dyDescent="0.3">
      <c r="M1114" s="10"/>
    </row>
    <row r="1115" spans="13:13" x14ac:dyDescent="0.3">
      <c r="M1115" s="10"/>
    </row>
    <row r="1116" spans="13:13" x14ac:dyDescent="0.3">
      <c r="M1116" s="10"/>
    </row>
    <row r="1117" spans="13:13" x14ac:dyDescent="0.3">
      <c r="M1117" s="10"/>
    </row>
    <row r="1118" spans="13:13" x14ac:dyDescent="0.3">
      <c r="M1118" s="10"/>
    </row>
    <row r="1119" spans="13:13" x14ac:dyDescent="0.3">
      <c r="M1119" s="10"/>
    </row>
    <row r="1120" spans="13:13" x14ac:dyDescent="0.3">
      <c r="M1120" s="10"/>
    </row>
    <row r="1121" spans="13:13" x14ac:dyDescent="0.3">
      <c r="M1121" s="10"/>
    </row>
    <row r="1122" spans="13:13" x14ac:dyDescent="0.3">
      <c r="M1122" s="10"/>
    </row>
    <row r="1123" spans="13:13" x14ac:dyDescent="0.3">
      <c r="M1123" s="10"/>
    </row>
    <row r="1124" spans="13:13" x14ac:dyDescent="0.3">
      <c r="M1124" s="10"/>
    </row>
    <row r="1125" spans="13:13" x14ac:dyDescent="0.3">
      <c r="M1125" s="10"/>
    </row>
    <row r="1126" spans="13:13" x14ac:dyDescent="0.3">
      <c r="M1126" s="10"/>
    </row>
    <row r="1127" spans="13:13" x14ac:dyDescent="0.3">
      <c r="M1127" s="10"/>
    </row>
    <row r="1128" spans="13:13" x14ac:dyDescent="0.3">
      <c r="M1128" s="10"/>
    </row>
    <row r="1129" spans="13:13" x14ac:dyDescent="0.3">
      <c r="M1129" s="10"/>
    </row>
    <row r="1130" spans="13:13" x14ac:dyDescent="0.3">
      <c r="M1130" s="10"/>
    </row>
    <row r="1131" spans="13:13" x14ac:dyDescent="0.3">
      <c r="M1131" s="10"/>
    </row>
    <row r="1132" spans="13:13" x14ac:dyDescent="0.3">
      <c r="M1132" s="10"/>
    </row>
    <row r="1133" spans="13:13" x14ac:dyDescent="0.3">
      <c r="M1133" s="10"/>
    </row>
    <row r="1134" spans="13:13" x14ac:dyDescent="0.3">
      <c r="M1134" s="10"/>
    </row>
    <row r="1135" spans="13:13" x14ac:dyDescent="0.3">
      <c r="M1135" s="10"/>
    </row>
    <row r="1136" spans="13:13" x14ac:dyDescent="0.3">
      <c r="M1136" s="10"/>
    </row>
    <row r="1137" spans="13:13" x14ac:dyDescent="0.3">
      <c r="M1137" s="10"/>
    </row>
    <row r="1138" spans="13:13" x14ac:dyDescent="0.3">
      <c r="M1138" s="10"/>
    </row>
    <row r="1139" spans="13:13" x14ac:dyDescent="0.3">
      <c r="M1139" s="10"/>
    </row>
    <row r="1140" spans="13:13" x14ac:dyDescent="0.3">
      <c r="M1140" s="10"/>
    </row>
    <row r="1141" spans="13:13" x14ac:dyDescent="0.3">
      <c r="M1141" s="10"/>
    </row>
    <row r="1142" spans="13:13" x14ac:dyDescent="0.3">
      <c r="M1142" s="10"/>
    </row>
    <row r="1143" spans="13:13" x14ac:dyDescent="0.3">
      <c r="M1143" s="10"/>
    </row>
    <row r="1144" spans="13:13" x14ac:dyDescent="0.3">
      <c r="M1144" s="10"/>
    </row>
    <row r="1145" spans="13:13" x14ac:dyDescent="0.3">
      <c r="M1145" s="10"/>
    </row>
    <row r="1146" spans="13:13" x14ac:dyDescent="0.3">
      <c r="M1146" s="10"/>
    </row>
    <row r="1147" spans="13:13" x14ac:dyDescent="0.3">
      <c r="M1147" s="10"/>
    </row>
    <row r="1148" spans="13:13" x14ac:dyDescent="0.3">
      <c r="M1148" s="10"/>
    </row>
    <row r="1149" spans="13:13" x14ac:dyDescent="0.3">
      <c r="M1149" s="10"/>
    </row>
    <row r="1150" spans="13:13" x14ac:dyDescent="0.3">
      <c r="M1150" s="10"/>
    </row>
    <row r="1151" spans="13:13" x14ac:dyDescent="0.3">
      <c r="M1151" s="10"/>
    </row>
    <row r="1152" spans="13:13" x14ac:dyDescent="0.3">
      <c r="M1152" s="10"/>
    </row>
    <row r="1153" spans="13:13" x14ac:dyDescent="0.3">
      <c r="M1153" s="10"/>
    </row>
    <row r="1154" spans="13:13" x14ac:dyDescent="0.3">
      <c r="M1154" s="10"/>
    </row>
    <row r="1155" spans="13:13" x14ac:dyDescent="0.3">
      <c r="M1155" s="10"/>
    </row>
    <row r="1156" spans="13:13" x14ac:dyDescent="0.3">
      <c r="M1156" s="10"/>
    </row>
    <row r="1157" spans="13:13" x14ac:dyDescent="0.3">
      <c r="M1157" s="10"/>
    </row>
    <row r="1158" spans="13:13" x14ac:dyDescent="0.3">
      <c r="M1158" s="10"/>
    </row>
    <row r="1159" spans="13:13" x14ac:dyDescent="0.3">
      <c r="M1159" s="10"/>
    </row>
    <row r="1160" spans="13:13" x14ac:dyDescent="0.3">
      <c r="M1160" s="10"/>
    </row>
    <row r="1161" spans="13:13" x14ac:dyDescent="0.3">
      <c r="M1161" s="10"/>
    </row>
    <row r="1162" spans="13:13" x14ac:dyDescent="0.3">
      <c r="M1162" s="10"/>
    </row>
    <row r="1163" spans="13:13" x14ac:dyDescent="0.3">
      <c r="M1163" s="10"/>
    </row>
    <row r="1164" spans="13:13" x14ac:dyDescent="0.3">
      <c r="M1164" s="10"/>
    </row>
    <row r="1165" spans="13:13" x14ac:dyDescent="0.3">
      <c r="M1165" s="10"/>
    </row>
    <row r="1166" spans="13:13" x14ac:dyDescent="0.3">
      <c r="M1166" s="10"/>
    </row>
    <row r="1167" spans="13:13" x14ac:dyDescent="0.3">
      <c r="M1167" s="10"/>
    </row>
    <row r="1168" spans="13:13" x14ac:dyDescent="0.3">
      <c r="M1168" s="10"/>
    </row>
    <row r="1169" spans="13:13" x14ac:dyDescent="0.3">
      <c r="M1169" s="10"/>
    </row>
    <row r="1170" spans="13:13" x14ac:dyDescent="0.3">
      <c r="M1170" s="10"/>
    </row>
    <row r="1171" spans="13:13" x14ac:dyDescent="0.3">
      <c r="M1171" s="10"/>
    </row>
    <row r="1172" spans="13:13" x14ac:dyDescent="0.3">
      <c r="M1172" s="10"/>
    </row>
    <row r="1173" spans="13:13" x14ac:dyDescent="0.3">
      <c r="M1173" s="10"/>
    </row>
    <row r="1174" spans="13:13" x14ac:dyDescent="0.3">
      <c r="M1174" s="10"/>
    </row>
    <row r="1175" spans="13:13" x14ac:dyDescent="0.3">
      <c r="M1175" s="10"/>
    </row>
    <row r="1176" spans="13:13" x14ac:dyDescent="0.3">
      <c r="M1176" s="10"/>
    </row>
    <row r="1177" spans="13:13" x14ac:dyDescent="0.3">
      <c r="M1177" s="10"/>
    </row>
    <row r="1178" spans="13:13" x14ac:dyDescent="0.3">
      <c r="M1178" s="10"/>
    </row>
    <row r="1179" spans="13:13" x14ac:dyDescent="0.3">
      <c r="M1179" s="10"/>
    </row>
    <row r="1180" spans="13:13" x14ac:dyDescent="0.3">
      <c r="M1180" s="10"/>
    </row>
    <row r="1181" spans="13:13" x14ac:dyDescent="0.3">
      <c r="M1181" s="10"/>
    </row>
    <row r="1182" spans="13:13" x14ac:dyDescent="0.3">
      <c r="M1182" s="10"/>
    </row>
    <row r="1183" spans="13:13" x14ac:dyDescent="0.3">
      <c r="M1183" s="10"/>
    </row>
    <row r="1184" spans="13:13" x14ac:dyDescent="0.3">
      <c r="M1184" s="10"/>
    </row>
    <row r="1185" spans="13:13" x14ac:dyDescent="0.3">
      <c r="M1185" s="10"/>
    </row>
    <row r="1186" spans="13:13" x14ac:dyDescent="0.3">
      <c r="M1186" s="10"/>
    </row>
    <row r="1187" spans="13:13" x14ac:dyDescent="0.3">
      <c r="M1187" s="10"/>
    </row>
    <row r="1188" spans="13:13" x14ac:dyDescent="0.3">
      <c r="M1188" s="10"/>
    </row>
    <row r="1189" spans="13:13" x14ac:dyDescent="0.3">
      <c r="M1189" s="10"/>
    </row>
    <row r="1190" spans="13:13" x14ac:dyDescent="0.3">
      <c r="M1190" s="10"/>
    </row>
    <row r="1191" spans="13:13" x14ac:dyDescent="0.3">
      <c r="M1191" s="10"/>
    </row>
    <row r="1192" spans="13:13" x14ac:dyDescent="0.3">
      <c r="M1192" s="10"/>
    </row>
    <row r="1193" spans="13:13" x14ac:dyDescent="0.3">
      <c r="M1193" s="10"/>
    </row>
    <row r="1194" spans="13:13" x14ac:dyDescent="0.3">
      <c r="M1194" s="10"/>
    </row>
    <row r="1195" spans="13:13" x14ac:dyDescent="0.3">
      <c r="M1195" s="10"/>
    </row>
    <row r="1196" spans="13:13" x14ac:dyDescent="0.3">
      <c r="M1196" s="10"/>
    </row>
    <row r="1197" spans="13:13" x14ac:dyDescent="0.3">
      <c r="M1197" s="10"/>
    </row>
    <row r="1198" spans="13:13" x14ac:dyDescent="0.3">
      <c r="M1198" s="10"/>
    </row>
    <row r="1199" spans="13:13" x14ac:dyDescent="0.3">
      <c r="M1199" s="10"/>
    </row>
    <row r="1200" spans="13:13" x14ac:dyDescent="0.3">
      <c r="M1200" s="10"/>
    </row>
    <row r="1201" spans="13:13" x14ac:dyDescent="0.3">
      <c r="M1201" s="10"/>
    </row>
    <row r="1202" spans="13:13" x14ac:dyDescent="0.3">
      <c r="M1202" s="10"/>
    </row>
    <row r="1203" spans="13:13" x14ac:dyDescent="0.3">
      <c r="M1203" s="10"/>
    </row>
    <row r="1204" spans="13:13" x14ac:dyDescent="0.3">
      <c r="M1204" s="10"/>
    </row>
    <row r="1205" spans="13:13" x14ac:dyDescent="0.3">
      <c r="M1205" s="10"/>
    </row>
    <row r="1206" spans="13:13" x14ac:dyDescent="0.3">
      <c r="M1206" s="10"/>
    </row>
    <row r="1207" spans="13:13" x14ac:dyDescent="0.3">
      <c r="M1207" s="10"/>
    </row>
    <row r="1208" spans="13:13" x14ac:dyDescent="0.3">
      <c r="M1208" s="10"/>
    </row>
    <row r="1209" spans="13:13" x14ac:dyDescent="0.3">
      <c r="M1209" s="10"/>
    </row>
    <row r="1210" spans="13:13" x14ac:dyDescent="0.3">
      <c r="M1210" s="10"/>
    </row>
    <row r="1211" spans="13:13" x14ac:dyDescent="0.3">
      <c r="M1211" s="10"/>
    </row>
    <row r="1212" spans="13:13" x14ac:dyDescent="0.3">
      <c r="M1212" s="10"/>
    </row>
    <row r="1213" spans="13:13" x14ac:dyDescent="0.3">
      <c r="M1213" s="10"/>
    </row>
    <row r="1214" spans="13:13" x14ac:dyDescent="0.3">
      <c r="M1214" s="10"/>
    </row>
    <row r="1215" spans="13:13" x14ac:dyDescent="0.3">
      <c r="M1215" s="10"/>
    </row>
    <row r="1216" spans="13:13" x14ac:dyDescent="0.3">
      <c r="M1216" s="10"/>
    </row>
    <row r="1217" spans="13:13" x14ac:dyDescent="0.3">
      <c r="M1217" s="10"/>
    </row>
    <row r="1218" spans="13:13" x14ac:dyDescent="0.3">
      <c r="M1218" s="10"/>
    </row>
    <row r="1219" spans="13:13" x14ac:dyDescent="0.3">
      <c r="M1219" s="10"/>
    </row>
    <row r="1220" spans="13:13" x14ac:dyDescent="0.3">
      <c r="M1220" s="10"/>
    </row>
    <row r="1221" spans="13:13" x14ac:dyDescent="0.3">
      <c r="M1221" s="10"/>
    </row>
    <row r="1222" spans="13:13" x14ac:dyDescent="0.3">
      <c r="M1222" s="10"/>
    </row>
    <row r="1223" spans="13:13" x14ac:dyDescent="0.3">
      <c r="M1223" s="10"/>
    </row>
    <row r="1224" spans="13:13" x14ac:dyDescent="0.3">
      <c r="M1224" s="10"/>
    </row>
    <row r="1225" spans="13:13" x14ac:dyDescent="0.3">
      <c r="M1225" s="10"/>
    </row>
    <row r="1226" spans="13:13" x14ac:dyDescent="0.3">
      <c r="M1226" s="10"/>
    </row>
    <row r="1227" spans="13:13" x14ac:dyDescent="0.3">
      <c r="M1227" s="10"/>
    </row>
    <row r="1228" spans="13:13" x14ac:dyDescent="0.3">
      <c r="M1228" s="10"/>
    </row>
    <row r="1229" spans="13:13" x14ac:dyDescent="0.3">
      <c r="M1229" s="10"/>
    </row>
    <row r="1230" spans="13:13" x14ac:dyDescent="0.3">
      <c r="M1230" s="10"/>
    </row>
    <row r="1231" spans="13:13" x14ac:dyDescent="0.3">
      <c r="M1231" s="10"/>
    </row>
    <row r="1232" spans="13:13" x14ac:dyDescent="0.3">
      <c r="M1232" s="10"/>
    </row>
    <row r="1233" spans="13:13" x14ac:dyDescent="0.3">
      <c r="M1233" s="10"/>
    </row>
    <row r="1234" spans="13:13" x14ac:dyDescent="0.3">
      <c r="M1234" s="10"/>
    </row>
    <row r="1235" spans="13:13" x14ac:dyDescent="0.3">
      <c r="M1235" s="10"/>
    </row>
    <row r="1236" spans="13:13" x14ac:dyDescent="0.3">
      <c r="M1236" s="10"/>
    </row>
    <row r="1237" spans="13:13" x14ac:dyDescent="0.3">
      <c r="M1237" s="10"/>
    </row>
    <row r="1238" spans="13:13" x14ac:dyDescent="0.3">
      <c r="M1238" s="10"/>
    </row>
    <row r="1239" spans="13:13" x14ac:dyDescent="0.3">
      <c r="M1239" s="10"/>
    </row>
    <row r="1240" spans="13:13" x14ac:dyDescent="0.3">
      <c r="M1240" s="10"/>
    </row>
    <row r="1241" spans="13:13" x14ac:dyDescent="0.3">
      <c r="M1241" s="10"/>
    </row>
    <row r="1242" spans="13:13" x14ac:dyDescent="0.3">
      <c r="M1242" s="10"/>
    </row>
    <row r="1243" spans="13:13" x14ac:dyDescent="0.3">
      <c r="M1243" s="10"/>
    </row>
    <row r="1244" spans="13:13" x14ac:dyDescent="0.3">
      <c r="M1244" s="10"/>
    </row>
    <row r="1245" spans="13:13" x14ac:dyDescent="0.3">
      <c r="M1245" s="10"/>
    </row>
    <row r="1246" spans="13:13" x14ac:dyDescent="0.3">
      <c r="M1246" s="10"/>
    </row>
    <row r="1247" spans="13:13" x14ac:dyDescent="0.3">
      <c r="M1247" s="10"/>
    </row>
    <row r="1248" spans="13:13" x14ac:dyDescent="0.3">
      <c r="M1248" s="10"/>
    </row>
    <row r="1249" spans="13:13" x14ac:dyDescent="0.3">
      <c r="M1249" s="10"/>
    </row>
    <row r="1250" spans="13:13" x14ac:dyDescent="0.3">
      <c r="M1250" s="10"/>
    </row>
    <row r="1251" spans="13:13" x14ac:dyDescent="0.3">
      <c r="M1251" s="10"/>
    </row>
    <row r="1252" spans="13:13" x14ac:dyDescent="0.3">
      <c r="M1252" s="10"/>
    </row>
    <row r="1253" spans="13:13" x14ac:dyDescent="0.3">
      <c r="M1253" s="10"/>
    </row>
    <row r="1254" spans="13:13" x14ac:dyDescent="0.3">
      <c r="M1254" s="10"/>
    </row>
    <row r="1255" spans="13:13" x14ac:dyDescent="0.3">
      <c r="M1255" s="10"/>
    </row>
    <row r="1256" spans="13:13" x14ac:dyDescent="0.3">
      <c r="M1256" s="10"/>
    </row>
    <row r="1257" spans="13:13" x14ac:dyDescent="0.3">
      <c r="M1257" s="10"/>
    </row>
    <row r="1258" spans="13:13" x14ac:dyDescent="0.3">
      <c r="M1258" s="10"/>
    </row>
    <row r="1259" spans="13:13" x14ac:dyDescent="0.3">
      <c r="M1259" s="10"/>
    </row>
    <row r="1260" spans="13:13" x14ac:dyDescent="0.3">
      <c r="M1260" s="10"/>
    </row>
    <row r="1261" spans="13:13" x14ac:dyDescent="0.3">
      <c r="M1261" s="10"/>
    </row>
    <row r="1262" spans="13:13" x14ac:dyDescent="0.3">
      <c r="M1262" s="10"/>
    </row>
    <row r="1263" spans="13:13" x14ac:dyDescent="0.3">
      <c r="M1263" s="10"/>
    </row>
    <row r="1264" spans="13:13" x14ac:dyDescent="0.3">
      <c r="M1264" s="10"/>
    </row>
    <row r="1265" spans="13:13" x14ac:dyDescent="0.3">
      <c r="M1265" s="10"/>
    </row>
    <row r="1266" spans="13:13" x14ac:dyDescent="0.3">
      <c r="M1266" s="10"/>
    </row>
    <row r="1267" spans="13:13" x14ac:dyDescent="0.3">
      <c r="M1267" s="10"/>
    </row>
    <row r="1268" spans="13:13" x14ac:dyDescent="0.3">
      <c r="M1268" s="10"/>
    </row>
    <row r="1269" spans="13:13" x14ac:dyDescent="0.3">
      <c r="M1269" s="10"/>
    </row>
    <row r="1270" spans="13:13" x14ac:dyDescent="0.3">
      <c r="M1270" s="10"/>
    </row>
    <row r="1271" spans="13:13" x14ac:dyDescent="0.3">
      <c r="M1271" s="10"/>
    </row>
    <row r="1272" spans="13:13" x14ac:dyDescent="0.3">
      <c r="M1272" s="10"/>
    </row>
    <row r="1273" spans="13:13" x14ac:dyDescent="0.3">
      <c r="M1273" s="10"/>
    </row>
    <row r="1274" spans="13:13" x14ac:dyDescent="0.3">
      <c r="M1274" s="10"/>
    </row>
    <row r="1275" spans="13:13" x14ac:dyDescent="0.3">
      <c r="M1275" s="10"/>
    </row>
    <row r="1276" spans="13:13" x14ac:dyDescent="0.3">
      <c r="M1276" s="10"/>
    </row>
    <row r="1277" spans="13:13" x14ac:dyDescent="0.3">
      <c r="M1277" s="10"/>
    </row>
    <row r="1278" spans="13:13" x14ac:dyDescent="0.3">
      <c r="M1278" s="10"/>
    </row>
    <row r="1279" spans="13:13" x14ac:dyDescent="0.3">
      <c r="M1279" s="10"/>
    </row>
    <row r="1280" spans="13:13" x14ac:dyDescent="0.3">
      <c r="M1280" s="10"/>
    </row>
    <row r="1281" spans="13:13" x14ac:dyDescent="0.3">
      <c r="M1281" s="10"/>
    </row>
    <row r="1282" spans="13:13" x14ac:dyDescent="0.3">
      <c r="M1282" s="10"/>
    </row>
    <row r="1283" spans="13:13" x14ac:dyDescent="0.3">
      <c r="M1283" s="10"/>
    </row>
    <row r="1284" spans="13:13" x14ac:dyDescent="0.3">
      <c r="M1284" s="10"/>
    </row>
    <row r="1285" spans="13:13" x14ac:dyDescent="0.3">
      <c r="M1285" s="10"/>
    </row>
    <row r="1286" spans="13:13" x14ac:dyDescent="0.3">
      <c r="M1286" s="10"/>
    </row>
    <row r="1287" spans="13:13" x14ac:dyDescent="0.3">
      <c r="M1287" s="10"/>
    </row>
    <row r="1288" spans="13:13" x14ac:dyDescent="0.3">
      <c r="M1288" s="10"/>
    </row>
    <row r="1289" spans="13:13" x14ac:dyDescent="0.3">
      <c r="M1289" s="10"/>
    </row>
    <row r="1290" spans="13:13" x14ac:dyDescent="0.3">
      <c r="M1290" s="10"/>
    </row>
    <row r="1291" spans="13:13" x14ac:dyDescent="0.3">
      <c r="M1291" s="10"/>
    </row>
    <row r="1292" spans="13:13" x14ac:dyDescent="0.3">
      <c r="M1292" s="10"/>
    </row>
    <row r="1293" spans="13:13" x14ac:dyDescent="0.3">
      <c r="M1293" s="10"/>
    </row>
    <row r="1294" spans="13:13" x14ac:dyDescent="0.3">
      <c r="M1294" s="10"/>
    </row>
    <row r="1295" spans="13:13" x14ac:dyDescent="0.3">
      <c r="M1295" s="10"/>
    </row>
    <row r="1296" spans="13:13" x14ac:dyDescent="0.3">
      <c r="M1296" s="10"/>
    </row>
    <row r="1297" spans="13:13" x14ac:dyDescent="0.3">
      <c r="M1297" s="10"/>
    </row>
    <row r="1298" spans="13:13" x14ac:dyDescent="0.3">
      <c r="M1298" s="10"/>
    </row>
    <row r="1299" spans="13:13" x14ac:dyDescent="0.3">
      <c r="M1299" s="10"/>
    </row>
    <row r="1300" spans="13:13" x14ac:dyDescent="0.3">
      <c r="M1300" s="10"/>
    </row>
    <row r="1301" spans="13:13" x14ac:dyDescent="0.3">
      <c r="M1301" s="10"/>
    </row>
    <row r="1302" spans="13:13" x14ac:dyDescent="0.3">
      <c r="M1302" s="10"/>
    </row>
    <row r="1303" spans="13:13" x14ac:dyDescent="0.3">
      <c r="M1303" s="10"/>
    </row>
    <row r="1304" spans="13:13" x14ac:dyDescent="0.3">
      <c r="M1304" s="10"/>
    </row>
    <row r="1305" spans="13:13" x14ac:dyDescent="0.3">
      <c r="M1305" s="10"/>
    </row>
    <row r="1306" spans="13:13" x14ac:dyDescent="0.3">
      <c r="M1306" s="10"/>
    </row>
    <row r="1307" spans="13:13" x14ac:dyDescent="0.3">
      <c r="M1307" s="10"/>
    </row>
    <row r="1308" spans="13:13" x14ac:dyDescent="0.3">
      <c r="M1308" s="10"/>
    </row>
    <row r="1309" spans="13:13" x14ac:dyDescent="0.3">
      <c r="M1309" s="10"/>
    </row>
    <row r="1310" spans="13:13" x14ac:dyDescent="0.3">
      <c r="M1310" s="10"/>
    </row>
    <row r="1311" spans="13:13" x14ac:dyDescent="0.3">
      <c r="M1311" s="10"/>
    </row>
    <row r="1312" spans="13:13" x14ac:dyDescent="0.3">
      <c r="M1312" s="10"/>
    </row>
    <row r="1313" spans="13:13" x14ac:dyDescent="0.3">
      <c r="M1313" s="10"/>
    </row>
    <row r="1314" spans="13:13" x14ac:dyDescent="0.3">
      <c r="M1314" s="10"/>
    </row>
    <row r="1315" spans="13:13" x14ac:dyDescent="0.3">
      <c r="M1315" s="10"/>
    </row>
    <row r="1316" spans="13:13" x14ac:dyDescent="0.3">
      <c r="M1316" s="10"/>
    </row>
    <row r="1317" spans="13:13" x14ac:dyDescent="0.3">
      <c r="M1317" s="10"/>
    </row>
    <row r="1318" spans="13:13" x14ac:dyDescent="0.3">
      <c r="M1318" s="10"/>
    </row>
    <row r="1319" spans="13:13" x14ac:dyDescent="0.3">
      <c r="M1319" s="10"/>
    </row>
    <row r="1320" spans="13:13" x14ac:dyDescent="0.3">
      <c r="M1320" s="10"/>
    </row>
    <row r="1321" spans="13:13" x14ac:dyDescent="0.3">
      <c r="M1321" s="10"/>
    </row>
    <row r="1322" spans="13:13" x14ac:dyDescent="0.3">
      <c r="M1322" s="10"/>
    </row>
    <row r="1323" spans="13:13" x14ac:dyDescent="0.3">
      <c r="M1323" s="10"/>
    </row>
    <row r="1324" spans="13:13" x14ac:dyDescent="0.3">
      <c r="M1324" s="10"/>
    </row>
    <row r="1325" spans="13:13" x14ac:dyDescent="0.3">
      <c r="M1325" s="10"/>
    </row>
    <row r="1326" spans="13:13" x14ac:dyDescent="0.3">
      <c r="M1326" s="10"/>
    </row>
    <row r="1327" spans="13:13" x14ac:dyDescent="0.3">
      <c r="M1327" s="10"/>
    </row>
    <row r="1328" spans="13:13" x14ac:dyDescent="0.3">
      <c r="M1328" s="10"/>
    </row>
    <row r="1329" spans="13:13" x14ac:dyDescent="0.3">
      <c r="M1329" s="10"/>
    </row>
    <row r="1330" spans="13:13" x14ac:dyDescent="0.3">
      <c r="M1330" s="10"/>
    </row>
    <row r="1331" spans="13:13" x14ac:dyDescent="0.3">
      <c r="M1331" s="10"/>
    </row>
    <row r="1332" spans="13:13" x14ac:dyDescent="0.3">
      <c r="M1332" s="10"/>
    </row>
    <row r="1333" spans="13:13" x14ac:dyDescent="0.3">
      <c r="M1333" s="10"/>
    </row>
    <row r="1334" spans="13:13" x14ac:dyDescent="0.3">
      <c r="M1334" s="10"/>
    </row>
    <row r="1335" spans="13:13" x14ac:dyDescent="0.3">
      <c r="M1335" s="10"/>
    </row>
    <row r="1336" spans="13:13" x14ac:dyDescent="0.3">
      <c r="M1336" s="10"/>
    </row>
    <row r="1337" spans="13:13" x14ac:dyDescent="0.3">
      <c r="M1337" s="10"/>
    </row>
    <row r="1338" spans="13:13" x14ac:dyDescent="0.3">
      <c r="M1338" s="10"/>
    </row>
    <row r="1339" spans="13:13" x14ac:dyDescent="0.3">
      <c r="M1339" s="10"/>
    </row>
    <row r="1340" spans="13:13" x14ac:dyDescent="0.3">
      <c r="M1340" s="10"/>
    </row>
    <row r="1341" spans="13:13" x14ac:dyDescent="0.3">
      <c r="M1341" s="10"/>
    </row>
    <row r="1342" spans="13:13" x14ac:dyDescent="0.3">
      <c r="M1342" s="10"/>
    </row>
    <row r="1343" spans="13:13" x14ac:dyDescent="0.3">
      <c r="M1343" s="10"/>
    </row>
    <row r="1344" spans="13:13" x14ac:dyDescent="0.3">
      <c r="M1344" s="10"/>
    </row>
    <row r="1345" spans="13:13" x14ac:dyDescent="0.3">
      <c r="M1345" s="10"/>
    </row>
    <row r="1346" spans="13:13" x14ac:dyDescent="0.3">
      <c r="M1346" s="10"/>
    </row>
    <row r="1347" spans="13:13" x14ac:dyDescent="0.3">
      <c r="M1347" s="10"/>
    </row>
    <row r="1348" spans="13:13" x14ac:dyDescent="0.3">
      <c r="M1348" s="10"/>
    </row>
    <row r="1349" spans="13:13" x14ac:dyDescent="0.3">
      <c r="M1349" s="10"/>
    </row>
    <row r="1350" spans="13:13" x14ac:dyDescent="0.3">
      <c r="M1350" s="10"/>
    </row>
    <row r="1351" spans="13:13" x14ac:dyDescent="0.3">
      <c r="M1351" s="10"/>
    </row>
    <row r="1352" spans="13:13" x14ac:dyDescent="0.3">
      <c r="M1352" s="10"/>
    </row>
    <row r="1353" spans="13:13" x14ac:dyDescent="0.3">
      <c r="M1353" s="10"/>
    </row>
    <row r="1354" spans="13:13" x14ac:dyDescent="0.3">
      <c r="M1354" s="10"/>
    </row>
    <row r="1355" spans="13:13" x14ac:dyDescent="0.3">
      <c r="M1355" s="10"/>
    </row>
    <row r="1356" spans="13:13" x14ac:dyDescent="0.3">
      <c r="M1356" s="10"/>
    </row>
    <row r="1357" spans="13:13" x14ac:dyDescent="0.3">
      <c r="M1357" s="10"/>
    </row>
    <row r="1358" spans="13:13" x14ac:dyDescent="0.3">
      <c r="M1358" s="10"/>
    </row>
    <row r="1359" spans="13:13" x14ac:dyDescent="0.3">
      <c r="M1359" s="10"/>
    </row>
    <row r="1360" spans="13:13" x14ac:dyDescent="0.3">
      <c r="M1360" s="10"/>
    </row>
    <row r="1361" spans="13:13" x14ac:dyDescent="0.3">
      <c r="M1361" s="10"/>
    </row>
    <row r="1362" spans="13:13" x14ac:dyDescent="0.3">
      <c r="M1362" s="10"/>
    </row>
    <row r="1363" spans="13:13" x14ac:dyDescent="0.3">
      <c r="M1363" s="10"/>
    </row>
    <row r="1364" spans="13:13" x14ac:dyDescent="0.3">
      <c r="M1364" s="10"/>
    </row>
    <row r="1365" spans="13:13" x14ac:dyDescent="0.3">
      <c r="M1365" s="10"/>
    </row>
    <row r="1366" spans="13:13" x14ac:dyDescent="0.3">
      <c r="M1366" s="10"/>
    </row>
    <row r="1367" spans="13:13" x14ac:dyDescent="0.3">
      <c r="M1367" s="10"/>
    </row>
    <row r="1368" spans="13:13" x14ac:dyDescent="0.3">
      <c r="M1368" s="10"/>
    </row>
    <row r="1369" spans="13:13" x14ac:dyDescent="0.3">
      <c r="M1369" s="10"/>
    </row>
    <row r="1370" spans="13:13" x14ac:dyDescent="0.3">
      <c r="M1370" s="10"/>
    </row>
    <row r="1371" spans="13:13" x14ac:dyDescent="0.3">
      <c r="M1371" s="10"/>
    </row>
    <row r="1372" spans="13:13" x14ac:dyDescent="0.3">
      <c r="M1372" s="10"/>
    </row>
    <row r="1373" spans="13:13" x14ac:dyDescent="0.3">
      <c r="M1373" s="10"/>
    </row>
    <row r="1374" spans="13:13" x14ac:dyDescent="0.3">
      <c r="M1374" s="10"/>
    </row>
    <row r="1375" spans="13:13" x14ac:dyDescent="0.3">
      <c r="M1375" s="10"/>
    </row>
    <row r="1376" spans="13:13" x14ac:dyDescent="0.3">
      <c r="M1376" s="10"/>
    </row>
    <row r="1377" spans="13:13" x14ac:dyDescent="0.3">
      <c r="M1377" s="10"/>
    </row>
    <row r="1378" spans="13:13" x14ac:dyDescent="0.3">
      <c r="M1378" s="10"/>
    </row>
    <row r="1379" spans="13:13" x14ac:dyDescent="0.3">
      <c r="M1379" s="10"/>
    </row>
    <row r="1380" spans="13:13" x14ac:dyDescent="0.3">
      <c r="M1380" s="10"/>
    </row>
    <row r="1381" spans="13:13" x14ac:dyDescent="0.3">
      <c r="M1381" s="10"/>
    </row>
    <row r="1382" spans="13:13" x14ac:dyDescent="0.3">
      <c r="M1382" s="10"/>
    </row>
    <row r="1383" spans="13:13" x14ac:dyDescent="0.3">
      <c r="M1383" s="10"/>
    </row>
    <row r="1384" spans="13:13" x14ac:dyDescent="0.3">
      <c r="M1384" s="10"/>
    </row>
    <row r="1385" spans="13:13" x14ac:dyDescent="0.3">
      <c r="M1385" s="10"/>
    </row>
    <row r="1386" spans="13:13" x14ac:dyDescent="0.3">
      <c r="M1386" s="10"/>
    </row>
    <row r="1387" spans="13:13" x14ac:dyDescent="0.3">
      <c r="M1387" s="10"/>
    </row>
    <row r="1388" spans="13:13" x14ac:dyDescent="0.3">
      <c r="M1388" s="10"/>
    </row>
    <row r="1389" spans="13:13" x14ac:dyDescent="0.3">
      <c r="M1389" s="10"/>
    </row>
    <row r="1390" spans="13:13" x14ac:dyDescent="0.3">
      <c r="M1390" s="10"/>
    </row>
    <row r="1391" spans="13:13" x14ac:dyDescent="0.3">
      <c r="M1391" s="10"/>
    </row>
    <row r="1392" spans="13:13" x14ac:dyDescent="0.3">
      <c r="M1392" s="10"/>
    </row>
    <row r="1393" spans="13:13" x14ac:dyDescent="0.3">
      <c r="M1393" s="10"/>
    </row>
    <row r="1394" spans="13:13" x14ac:dyDescent="0.3">
      <c r="M1394" s="10"/>
    </row>
    <row r="1395" spans="13:13" x14ac:dyDescent="0.3">
      <c r="M1395" s="10"/>
    </row>
    <row r="1396" spans="13:13" x14ac:dyDescent="0.3">
      <c r="M1396" s="10"/>
    </row>
    <row r="1397" spans="13:13" x14ac:dyDescent="0.3">
      <c r="M1397" s="10"/>
    </row>
    <row r="1398" spans="13:13" x14ac:dyDescent="0.3">
      <c r="M1398" s="10"/>
    </row>
    <row r="1399" spans="13:13" x14ac:dyDescent="0.3">
      <c r="M1399" s="10"/>
    </row>
    <row r="1400" spans="13:13" x14ac:dyDescent="0.3">
      <c r="M1400" s="10"/>
    </row>
    <row r="1401" spans="13:13" x14ac:dyDescent="0.3">
      <c r="M1401" s="10"/>
    </row>
    <row r="1402" spans="13:13" x14ac:dyDescent="0.3">
      <c r="M1402" s="10"/>
    </row>
    <row r="1403" spans="13:13" x14ac:dyDescent="0.3">
      <c r="M1403" s="10"/>
    </row>
    <row r="1404" spans="13:13" x14ac:dyDescent="0.3">
      <c r="M1404" s="10"/>
    </row>
    <row r="1405" spans="13:13" x14ac:dyDescent="0.3">
      <c r="M1405" s="10"/>
    </row>
    <row r="1406" spans="13:13" x14ac:dyDescent="0.3">
      <c r="M1406" s="10"/>
    </row>
    <row r="1407" spans="13:13" x14ac:dyDescent="0.3">
      <c r="M1407" s="10"/>
    </row>
    <row r="1408" spans="13:13" x14ac:dyDescent="0.3">
      <c r="M1408" s="10"/>
    </row>
    <row r="1409" spans="13:13" x14ac:dyDescent="0.3">
      <c r="M1409" s="10"/>
    </row>
    <row r="1410" spans="13:13" x14ac:dyDescent="0.3">
      <c r="M1410" s="10"/>
    </row>
    <row r="1411" spans="13:13" x14ac:dyDescent="0.3">
      <c r="M1411" s="10"/>
    </row>
    <row r="1412" spans="13:13" x14ac:dyDescent="0.3">
      <c r="M1412" s="10"/>
    </row>
    <row r="1413" spans="13:13" x14ac:dyDescent="0.3">
      <c r="M1413" s="10"/>
    </row>
    <row r="1414" spans="13:13" x14ac:dyDescent="0.3">
      <c r="M1414" s="10"/>
    </row>
    <row r="1415" spans="13:13" x14ac:dyDescent="0.3">
      <c r="M1415" s="10"/>
    </row>
    <row r="1416" spans="13:13" x14ac:dyDescent="0.3">
      <c r="M1416" s="10"/>
    </row>
    <row r="1417" spans="13:13" x14ac:dyDescent="0.3">
      <c r="M1417" s="10"/>
    </row>
    <row r="1418" spans="13:13" x14ac:dyDescent="0.3">
      <c r="M1418" s="10"/>
    </row>
    <row r="1419" spans="13:13" x14ac:dyDescent="0.3">
      <c r="M1419" s="10"/>
    </row>
    <row r="1420" spans="13:13" x14ac:dyDescent="0.3">
      <c r="M1420" s="10"/>
    </row>
    <row r="1421" spans="13:13" x14ac:dyDescent="0.3">
      <c r="M1421" s="10"/>
    </row>
    <row r="1422" spans="13:13" x14ac:dyDescent="0.3">
      <c r="M1422" s="10"/>
    </row>
    <row r="1423" spans="13:13" x14ac:dyDescent="0.3">
      <c r="M1423" s="10"/>
    </row>
    <row r="1424" spans="13:13" x14ac:dyDescent="0.3">
      <c r="M1424" s="10"/>
    </row>
    <row r="1425" spans="13:13" x14ac:dyDescent="0.3">
      <c r="M1425" s="10"/>
    </row>
    <row r="1426" spans="13:13" x14ac:dyDescent="0.3">
      <c r="M1426" s="10"/>
    </row>
    <row r="1427" spans="13:13" x14ac:dyDescent="0.3">
      <c r="M1427" s="10"/>
    </row>
    <row r="1428" spans="13:13" x14ac:dyDescent="0.3">
      <c r="M1428" s="10"/>
    </row>
    <row r="1429" spans="13:13" x14ac:dyDescent="0.3">
      <c r="M1429" s="10"/>
    </row>
    <row r="1430" spans="13:13" x14ac:dyDescent="0.3">
      <c r="M1430" s="10"/>
    </row>
    <row r="1431" spans="13:13" x14ac:dyDescent="0.3">
      <c r="M1431" s="10"/>
    </row>
    <row r="1432" spans="13:13" x14ac:dyDescent="0.3">
      <c r="M1432" s="10"/>
    </row>
    <row r="1433" spans="13:13" x14ac:dyDescent="0.3">
      <c r="M1433" s="10"/>
    </row>
    <row r="1434" spans="13:13" x14ac:dyDescent="0.3">
      <c r="M1434" s="10"/>
    </row>
    <row r="1435" spans="13:13" x14ac:dyDescent="0.3">
      <c r="M1435" s="10"/>
    </row>
    <row r="1436" spans="13:13" x14ac:dyDescent="0.3">
      <c r="M1436" s="10"/>
    </row>
    <row r="1437" spans="13:13" x14ac:dyDescent="0.3">
      <c r="M1437" s="10"/>
    </row>
    <row r="1438" spans="13:13" x14ac:dyDescent="0.3">
      <c r="M1438" s="10"/>
    </row>
    <row r="1439" spans="13:13" x14ac:dyDescent="0.3">
      <c r="M1439" s="10"/>
    </row>
    <row r="1440" spans="13:13" x14ac:dyDescent="0.3">
      <c r="M1440" s="10"/>
    </row>
    <row r="1441" spans="13:13" x14ac:dyDescent="0.3">
      <c r="M1441" s="10"/>
    </row>
    <row r="1442" spans="13:13" x14ac:dyDescent="0.3">
      <c r="M1442" s="10"/>
    </row>
    <row r="1443" spans="13:13" x14ac:dyDescent="0.3">
      <c r="M1443" s="10"/>
    </row>
    <row r="1444" spans="13:13" x14ac:dyDescent="0.3">
      <c r="M1444" s="10"/>
    </row>
    <row r="1445" spans="13:13" x14ac:dyDescent="0.3">
      <c r="M1445" s="10"/>
    </row>
    <row r="1446" spans="13:13" x14ac:dyDescent="0.3">
      <c r="M1446" s="10"/>
    </row>
    <row r="1447" spans="13:13" x14ac:dyDescent="0.3">
      <c r="M1447" s="10"/>
    </row>
    <row r="1448" spans="13:13" x14ac:dyDescent="0.3">
      <c r="M1448" s="10"/>
    </row>
    <row r="1449" spans="13:13" x14ac:dyDescent="0.3">
      <c r="M1449" s="10"/>
    </row>
    <row r="1450" spans="13:13" x14ac:dyDescent="0.3">
      <c r="M1450" s="10"/>
    </row>
    <row r="1451" spans="13:13" x14ac:dyDescent="0.3">
      <c r="M1451" s="10"/>
    </row>
    <row r="1452" spans="13:13" x14ac:dyDescent="0.3">
      <c r="M1452" s="10"/>
    </row>
    <row r="1453" spans="13:13" x14ac:dyDescent="0.3">
      <c r="M1453" s="10"/>
    </row>
    <row r="1454" spans="13:13" x14ac:dyDescent="0.3">
      <c r="M1454" s="10"/>
    </row>
    <row r="1455" spans="13:13" x14ac:dyDescent="0.3">
      <c r="M1455" s="10"/>
    </row>
    <row r="1456" spans="13:13" x14ac:dyDescent="0.3">
      <c r="M1456" s="10"/>
    </row>
    <row r="1457" spans="13:13" x14ac:dyDescent="0.3">
      <c r="M1457" s="10"/>
    </row>
    <row r="1458" spans="13:13" x14ac:dyDescent="0.3">
      <c r="M1458" s="10"/>
    </row>
    <row r="1459" spans="13:13" x14ac:dyDescent="0.3">
      <c r="M1459" s="10"/>
    </row>
    <row r="1460" spans="13:13" x14ac:dyDescent="0.3">
      <c r="M1460" s="10"/>
    </row>
    <row r="1461" spans="13:13" x14ac:dyDescent="0.3">
      <c r="M1461" s="10"/>
    </row>
    <row r="1462" spans="13:13" x14ac:dyDescent="0.3">
      <c r="M1462" s="10"/>
    </row>
    <row r="1463" spans="13:13" x14ac:dyDescent="0.3">
      <c r="M1463" s="10"/>
    </row>
    <row r="1464" spans="13:13" x14ac:dyDescent="0.3">
      <c r="M1464" s="10"/>
    </row>
    <row r="1465" spans="13:13" x14ac:dyDescent="0.3">
      <c r="M1465" s="10"/>
    </row>
    <row r="1466" spans="13:13" x14ac:dyDescent="0.3">
      <c r="M1466" s="10"/>
    </row>
    <row r="1467" spans="13:13" x14ac:dyDescent="0.3">
      <c r="M1467" s="10"/>
    </row>
    <row r="1468" spans="13:13" x14ac:dyDescent="0.3">
      <c r="M1468" s="10"/>
    </row>
    <row r="1469" spans="13:13" x14ac:dyDescent="0.3">
      <c r="M1469" s="10"/>
    </row>
    <row r="1470" spans="13:13" x14ac:dyDescent="0.3">
      <c r="M1470" s="10"/>
    </row>
    <row r="1471" spans="13:13" x14ac:dyDescent="0.3">
      <c r="M1471" s="10"/>
    </row>
    <row r="1472" spans="13:13" x14ac:dyDescent="0.3">
      <c r="M1472" s="10"/>
    </row>
    <row r="1473" spans="13:13" x14ac:dyDescent="0.3">
      <c r="M1473" s="10"/>
    </row>
    <row r="1474" spans="13:13" x14ac:dyDescent="0.3">
      <c r="M1474" s="10"/>
    </row>
    <row r="1475" spans="13:13" x14ac:dyDescent="0.3">
      <c r="M1475" s="10"/>
    </row>
    <row r="1476" spans="13:13" x14ac:dyDescent="0.3">
      <c r="M1476" s="10"/>
    </row>
    <row r="1477" spans="13:13" x14ac:dyDescent="0.3">
      <c r="M1477" s="10"/>
    </row>
    <row r="1478" spans="13:13" x14ac:dyDescent="0.3">
      <c r="M1478" s="10"/>
    </row>
    <row r="1479" spans="13:13" x14ac:dyDescent="0.3">
      <c r="M1479" s="10"/>
    </row>
    <row r="1480" spans="13:13" x14ac:dyDescent="0.3">
      <c r="M1480" s="10"/>
    </row>
    <row r="1481" spans="13:13" x14ac:dyDescent="0.3">
      <c r="M1481" s="10"/>
    </row>
    <row r="1482" spans="13:13" x14ac:dyDescent="0.3">
      <c r="M1482" s="10"/>
    </row>
    <row r="1483" spans="13:13" x14ac:dyDescent="0.3">
      <c r="M1483" s="10"/>
    </row>
    <row r="1484" spans="13:13" x14ac:dyDescent="0.3">
      <c r="M1484" s="10"/>
    </row>
    <row r="1485" spans="13:13" x14ac:dyDescent="0.3">
      <c r="M1485" s="10"/>
    </row>
    <row r="1486" spans="13:13" x14ac:dyDescent="0.3">
      <c r="M1486" s="10"/>
    </row>
    <row r="1487" spans="13:13" x14ac:dyDescent="0.3">
      <c r="M1487" s="10"/>
    </row>
    <row r="1488" spans="13:13" x14ac:dyDescent="0.3">
      <c r="M1488" s="10"/>
    </row>
    <row r="1489" spans="13:13" x14ac:dyDescent="0.3">
      <c r="M1489" s="10"/>
    </row>
    <row r="1490" spans="13:13" x14ac:dyDescent="0.3">
      <c r="M1490" s="10"/>
    </row>
    <row r="1491" spans="13:13" x14ac:dyDescent="0.3">
      <c r="M1491" s="10"/>
    </row>
    <row r="1492" spans="13:13" x14ac:dyDescent="0.3">
      <c r="M1492" s="10"/>
    </row>
    <row r="1493" spans="13:13" x14ac:dyDescent="0.3">
      <c r="M1493" s="10"/>
    </row>
    <row r="1494" spans="13:13" x14ac:dyDescent="0.3">
      <c r="M1494" s="10"/>
    </row>
    <row r="1495" spans="13:13" x14ac:dyDescent="0.3">
      <c r="M1495" s="10"/>
    </row>
    <row r="1496" spans="13:13" x14ac:dyDescent="0.3">
      <c r="M1496" s="10"/>
    </row>
    <row r="1497" spans="13:13" x14ac:dyDescent="0.3">
      <c r="M1497" s="10"/>
    </row>
    <row r="1498" spans="13:13" x14ac:dyDescent="0.3">
      <c r="M1498" s="10"/>
    </row>
    <row r="1499" spans="13:13" x14ac:dyDescent="0.3">
      <c r="M1499" s="10"/>
    </row>
    <row r="1500" spans="13:13" x14ac:dyDescent="0.3">
      <c r="M1500" s="10"/>
    </row>
    <row r="1501" spans="13:13" x14ac:dyDescent="0.3">
      <c r="M1501" s="10"/>
    </row>
    <row r="1502" spans="13:13" x14ac:dyDescent="0.3">
      <c r="M1502" s="10"/>
    </row>
    <row r="1503" spans="13:13" x14ac:dyDescent="0.3">
      <c r="M1503" s="10"/>
    </row>
    <row r="1504" spans="13:13" x14ac:dyDescent="0.3">
      <c r="M1504" s="10"/>
    </row>
    <row r="1505" spans="13:13" x14ac:dyDescent="0.3">
      <c r="M1505" s="10"/>
    </row>
    <row r="1506" spans="13:13" x14ac:dyDescent="0.3">
      <c r="M1506" s="10"/>
    </row>
    <row r="1507" spans="13:13" x14ac:dyDescent="0.3">
      <c r="M1507" s="10"/>
    </row>
    <row r="1508" spans="13:13" x14ac:dyDescent="0.3">
      <c r="M1508" s="10"/>
    </row>
    <row r="1509" spans="13:13" x14ac:dyDescent="0.3">
      <c r="M1509" s="10"/>
    </row>
    <row r="1510" spans="13:13" x14ac:dyDescent="0.3">
      <c r="M1510" s="10"/>
    </row>
    <row r="1511" spans="13:13" x14ac:dyDescent="0.3">
      <c r="M1511" s="10"/>
    </row>
    <row r="1512" spans="13:13" x14ac:dyDescent="0.3">
      <c r="M1512" s="10"/>
    </row>
    <row r="1513" spans="13:13" x14ac:dyDescent="0.3">
      <c r="M1513" s="10"/>
    </row>
    <row r="1514" spans="13:13" x14ac:dyDescent="0.3">
      <c r="M1514" s="10"/>
    </row>
    <row r="1515" spans="13:13" x14ac:dyDescent="0.3">
      <c r="M1515" s="10"/>
    </row>
    <row r="1516" spans="13:13" x14ac:dyDescent="0.3">
      <c r="M1516" s="10"/>
    </row>
    <row r="1517" spans="13:13" x14ac:dyDescent="0.3">
      <c r="M1517" s="10"/>
    </row>
    <row r="1518" spans="13:13" x14ac:dyDescent="0.3">
      <c r="M1518" s="10"/>
    </row>
    <row r="1519" spans="13:13" x14ac:dyDescent="0.3">
      <c r="M1519" s="10"/>
    </row>
    <row r="1520" spans="13:13" x14ac:dyDescent="0.3">
      <c r="M1520" s="10"/>
    </row>
    <row r="1521" spans="13:13" x14ac:dyDescent="0.3">
      <c r="M1521" s="10"/>
    </row>
    <row r="1522" spans="13:13" x14ac:dyDescent="0.3">
      <c r="M1522" s="10"/>
    </row>
    <row r="1523" spans="13:13" x14ac:dyDescent="0.3">
      <c r="M1523" s="10"/>
    </row>
    <row r="1524" spans="13:13" x14ac:dyDescent="0.3">
      <c r="M1524" s="10"/>
    </row>
    <row r="1525" spans="13:13" x14ac:dyDescent="0.3">
      <c r="M1525" s="10"/>
    </row>
    <row r="1526" spans="13:13" x14ac:dyDescent="0.3">
      <c r="M1526" s="10"/>
    </row>
    <row r="1527" spans="13:13" x14ac:dyDescent="0.3">
      <c r="M1527" s="10"/>
    </row>
    <row r="1528" spans="13:13" x14ac:dyDescent="0.3">
      <c r="M1528" s="10"/>
    </row>
    <row r="1529" spans="13:13" x14ac:dyDescent="0.3">
      <c r="M1529" s="10"/>
    </row>
    <row r="1530" spans="13:13" x14ac:dyDescent="0.3">
      <c r="M1530" s="10"/>
    </row>
    <row r="1531" spans="13:13" x14ac:dyDescent="0.3">
      <c r="M1531" s="10"/>
    </row>
    <row r="1532" spans="13:13" x14ac:dyDescent="0.3">
      <c r="M1532" s="10"/>
    </row>
    <row r="1533" spans="13:13" x14ac:dyDescent="0.3">
      <c r="M1533" s="10"/>
    </row>
    <row r="1534" spans="13:13" x14ac:dyDescent="0.3">
      <c r="M1534" s="10"/>
    </row>
    <row r="1535" spans="13:13" x14ac:dyDescent="0.3">
      <c r="M1535" s="10"/>
    </row>
    <row r="1536" spans="13:13" x14ac:dyDescent="0.3">
      <c r="M1536" s="10"/>
    </row>
    <row r="1537" spans="13:13" x14ac:dyDescent="0.3">
      <c r="M1537" s="10"/>
    </row>
    <row r="1538" spans="13:13" x14ac:dyDescent="0.3">
      <c r="M1538" s="10"/>
    </row>
    <row r="1539" spans="13:13" x14ac:dyDescent="0.3">
      <c r="M1539" s="10"/>
    </row>
    <row r="1540" spans="13:13" x14ac:dyDescent="0.3">
      <c r="M1540" s="10"/>
    </row>
    <row r="1541" spans="13:13" x14ac:dyDescent="0.3">
      <c r="M1541" s="10"/>
    </row>
    <row r="1542" spans="13:13" x14ac:dyDescent="0.3">
      <c r="M1542" s="10"/>
    </row>
    <row r="1543" spans="13:13" x14ac:dyDescent="0.3">
      <c r="M1543" s="10"/>
    </row>
    <row r="1544" spans="13:13" x14ac:dyDescent="0.3">
      <c r="M1544" s="10"/>
    </row>
    <row r="1545" spans="13:13" x14ac:dyDescent="0.3">
      <c r="M1545" s="10"/>
    </row>
    <row r="1546" spans="13:13" x14ac:dyDescent="0.3">
      <c r="M1546" s="10"/>
    </row>
    <row r="1547" spans="13:13" x14ac:dyDescent="0.3">
      <c r="M1547" s="10"/>
    </row>
    <row r="1548" spans="13:13" x14ac:dyDescent="0.3">
      <c r="M1548" s="10"/>
    </row>
    <row r="1549" spans="13:13" x14ac:dyDescent="0.3">
      <c r="M1549" s="10"/>
    </row>
    <row r="1550" spans="13:13" x14ac:dyDescent="0.3">
      <c r="M1550" s="10"/>
    </row>
    <row r="1551" spans="13:13" x14ac:dyDescent="0.3">
      <c r="M1551" s="10"/>
    </row>
    <row r="1552" spans="13:13" x14ac:dyDescent="0.3">
      <c r="M1552" s="10"/>
    </row>
    <row r="1553" spans="13:13" x14ac:dyDescent="0.3">
      <c r="M1553" s="10"/>
    </row>
    <row r="1554" spans="13:13" x14ac:dyDescent="0.3">
      <c r="M1554" s="10"/>
    </row>
    <row r="1555" spans="13:13" x14ac:dyDescent="0.3">
      <c r="M1555" s="10"/>
    </row>
    <row r="1556" spans="13:13" x14ac:dyDescent="0.3">
      <c r="M1556" s="10"/>
    </row>
    <row r="1557" spans="13:13" x14ac:dyDescent="0.3">
      <c r="M1557" s="10"/>
    </row>
    <row r="1558" spans="13:13" x14ac:dyDescent="0.3">
      <c r="M1558" s="10"/>
    </row>
    <row r="1559" spans="13:13" x14ac:dyDescent="0.3">
      <c r="M1559" s="10"/>
    </row>
    <row r="1560" spans="13:13" x14ac:dyDescent="0.3">
      <c r="M1560" s="10"/>
    </row>
    <row r="1561" spans="13:13" x14ac:dyDescent="0.3">
      <c r="M1561" s="10"/>
    </row>
    <row r="1562" spans="13:13" x14ac:dyDescent="0.3">
      <c r="M1562" s="10"/>
    </row>
    <row r="1563" spans="13:13" x14ac:dyDescent="0.3">
      <c r="M1563" s="10"/>
    </row>
    <row r="1564" spans="13:13" x14ac:dyDescent="0.3">
      <c r="M1564" s="10"/>
    </row>
    <row r="1565" spans="13:13" x14ac:dyDescent="0.3">
      <c r="M1565" s="10"/>
    </row>
    <row r="1566" spans="13:13" x14ac:dyDescent="0.3">
      <c r="M1566" s="10"/>
    </row>
    <row r="1567" spans="13:13" x14ac:dyDescent="0.3">
      <c r="M1567" s="10"/>
    </row>
    <row r="1568" spans="13:13" x14ac:dyDescent="0.3">
      <c r="M1568" s="10"/>
    </row>
    <row r="1569" spans="13:13" x14ac:dyDescent="0.3">
      <c r="M1569" s="10"/>
    </row>
    <row r="1570" spans="13:13" x14ac:dyDescent="0.3">
      <c r="M1570" s="10"/>
    </row>
    <row r="1571" spans="13:13" x14ac:dyDescent="0.3">
      <c r="M1571" s="10"/>
    </row>
    <row r="1572" spans="13:13" x14ac:dyDescent="0.3">
      <c r="M1572" s="10"/>
    </row>
    <row r="1573" spans="13:13" x14ac:dyDescent="0.3">
      <c r="M1573" s="10"/>
    </row>
    <row r="1574" spans="13:13" x14ac:dyDescent="0.3">
      <c r="M1574" s="10"/>
    </row>
    <row r="1575" spans="13:13" x14ac:dyDescent="0.3">
      <c r="M1575" s="10"/>
    </row>
    <row r="1576" spans="13:13" x14ac:dyDescent="0.3">
      <c r="M1576" s="10"/>
    </row>
    <row r="1577" spans="13:13" x14ac:dyDescent="0.3">
      <c r="M1577" s="10"/>
    </row>
    <row r="1578" spans="13:13" x14ac:dyDescent="0.3">
      <c r="M1578" s="10"/>
    </row>
    <row r="1579" spans="13:13" x14ac:dyDescent="0.3">
      <c r="M1579" s="10"/>
    </row>
    <row r="1580" spans="13:13" x14ac:dyDescent="0.3">
      <c r="M1580" s="10"/>
    </row>
    <row r="1581" spans="13:13" x14ac:dyDescent="0.3">
      <c r="M1581" s="10"/>
    </row>
    <row r="1582" spans="13:13" x14ac:dyDescent="0.3">
      <c r="M1582" s="10"/>
    </row>
    <row r="1583" spans="13:13" x14ac:dyDescent="0.3">
      <c r="M1583" s="10"/>
    </row>
    <row r="1584" spans="13:13" x14ac:dyDescent="0.3">
      <c r="M1584" s="10"/>
    </row>
    <row r="1585" spans="13:13" x14ac:dyDescent="0.3">
      <c r="M1585" s="10"/>
    </row>
    <row r="1586" spans="13:13" x14ac:dyDescent="0.3">
      <c r="M1586" s="10"/>
    </row>
    <row r="1587" spans="13:13" x14ac:dyDescent="0.3">
      <c r="M1587" s="10"/>
    </row>
    <row r="1588" spans="13:13" x14ac:dyDescent="0.3">
      <c r="M1588" s="10"/>
    </row>
    <row r="1589" spans="13:13" x14ac:dyDescent="0.3">
      <c r="M1589" s="10"/>
    </row>
    <row r="1590" spans="13:13" x14ac:dyDescent="0.3">
      <c r="M1590" s="10"/>
    </row>
    <row r="1591" spans="13:13" x14ac:dyDescent="0.3">
      <c r="M1591" s="10"/>
    </row>
    <row r="1592" spans="13:13" x14ac:dyDescent="0.3">
      <c r="M1592" s="10"/>
    </row>
    <row r="1593" spans="13:13" x14ac:dyDescent="0.3">
      <c r="M1593" s="10"/>
    </row>
    <row r="1594" spans="13:13" x14ac:dyDescent="0.3">
      <c r="M1594" s="10"/>
    </row>
    <row r="1595" spans="13:13" x14ac:dyDescent="0.3">
      <c r="M1595" s="10"/>
    </row>
    <row r="1596" spans="13:13" x14ac:dyDescent="0.3">
      <c r="M1596" s="10"/>
    </row>
    <row r="1597" spans="13:13" x14ac:dyDescent="0.3">
      <c r="M1597" s="10"/>
    </row>
    <row r="1598" spans="13:13" x14ac:dyDescent="0.3">
      <c r="M1598" s="10"/>
    </row>
    <row r="1599" spans="13:13" x14ac:dyDescent="0.3">
      <c r="M1599" s="10"/>
    </row>
    <row r="1600" spans="13:13" x14ac:dyDescent="0.3">
      <c r="M1600" s="10"/>
    </row>
    <row r="1601" spans="13:13" x14ac:dyDescent="0.3">
      <c r="M1601" s="10"/>
    </row>
    <row r="1602" spans="13:13" x14ac:dyDescent="0.3">
      <c r="M1602" s="10"/>
    </row>
    <row r="1603" spans="13:13" x14ac:dyDescent="0.3">
      <c r="M1603" s="10"/>
    </row>
    <row r="1604" spans="13:13" x14ac:dyDescent="0.3">
      <c r="M1604" s="10"/>
    </row>
    <row r="1605" spans="13:13" x14ac:dyDescent="0.3">
      <c r="M1605" s="10"/>
    </row>
    <row r="1606" spans="13:13" x14ac:dyDescent="0.3">
      <c r="M1606" s="10"/>
    </row>
    <row r="1607" spans="13:13" x14ac:dyDescent="0.3">
      <c r="M1607" s="10"/>
    </row>
    <row r="1608" spans="13:13" x14ac:dyDescent="0.3">
      <c r="M1608" s="10"/>
    </row>
    <row r="1609" spans="13:13" x14ac:dyDescent="0.3">
      <c r="M1609" s="10"/>
    </row>
    <row r="1610" spans="13:13" x14ac:dyDescent="0.3">
      <c r="M1610" s="10"/>
    </row>
    <row r="1611" spans="13:13" x14ac:dyDescent="0.3">
      <c r="M1611" s="10"/>
    </row>
    <row r="1612" spans="13:13" x14ac:dyDescent="0.3">
      <c r="M1612" s="10"/>
    </row>
    <row r="1613" spans="13:13" x14ac:dyDescent="0.3">
      <c r="M1613" s="10"/>
    </row>
    <row r="1614" spans="13:13" x14ac:dyDescent="0.3">
      <c r="M1614" s="10"/>
    </row>
    <row r="1615" spans="13:13" x14ac:dyDescent="0.3">
      <c r="M1615" s="10"/>
    </row>
    <row r="1616" spans="13:13" x14ac:dyDescent="0.3">
      <c r="M1616" s="10"/>
    </row>
    <row r="1617" spans="13:13" x14ac:dyDescent="0.3">
      <c r="M1617" s="10"/>
    </row>
    <row r="1618" spans="13:13" x14ac:dyDescent="0.3">
      <c r="M1618" s="10"/>
    </row>
    <row r="1619" spans="13:13" x14ac:dyDescent="0.3">
      <c r="M161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3D1A-F113-42DD-94B9-DDB2506C167E}">
  <dimension ref="A1:L4211"/>
  <sheetViews>
    <sheetView tabSelected="1" zoomScale="80" zoomScaleNormal="80" workbookViewId="0">
      <pane ySplit="1" topLeftCell="A2" activePane="bottomLeft" state="frozen"/>
      <selection pane="bottomLeft" activeCell="L3" sqref="L3:L6"/>
    </sheetView>
  </sheetViews>
  <sheetFormatPr defaultRowHeight="15.75" x14ac:dyDescent="0.3"/>
  <cols>
    <col min="1" max="1" width="18.125" bestFit="1" customWidth="1"/>
    <col min="2" max="2" width="50" customWidth="1"/>
    <col min="3" max="3" width="15.5" customWidth="1"/>
    <col min="4" max="4" width="21.75" style="3" bestFit="1" customWidth="1"/>
    <col min="5" max="5" width="10.75" customWidth="1"/>
    <col min="6" max="6" width="19.125" style="1" bestFit="1" customWidth="1"/>
    <col min="8" max="8" width="14.75" bestFit="1" customWidth="1"/>
    <col min="9" max="9" width="10.375" bestFit="1" customWidth="1"/>
    <col min="11" max="11" width="15" customWidth="1"/>
  </cols>
  <sheetData>
    <row r="1" spans="1:12" ht="29.25" customHeight="1" x14ac:dyDescent="0.3">
      <c r="A1" s="5" t="s">
        <v>0</v>
      </c>
      <c r="B1" s="5" t="s">
        <v>1</v>
      </c>
      <c r="C1" s="5" t="s">
        <v>1009</v>
      </c>
      <c r="D1" s="5" t="s">
        <v>2</v>
      </c>
      <c r="E1" s="5" t="s">
        <v>3</v>
      </c>
      <c r="F1" s="5" t="s">
        <v>4</v>
      </c>
      <c r="G1" s="5" t="s">
        <v>5</v>
      </c>
      <c r="H1" s="13" t="s">
        <v>1042</v>
      </c>
      <c r="I1" s="13" t="s">
        <v>1044</v>
      </c>
      <c r="J1" s="13" t="s">
        <v>1043</v>
      </c>
    </row>
    <row r="2" spans="1:12" x14ac:dyDescent="0.3">
      <c r="A2" s="2">
        <v>259078</v>
      </c>
      <c r="B2" s="3" t="s">
        <v>516</v>
      </c>
      <c r="C2" s="3" t="s">
        <v>1010</v>
      </c>
      <c r="D2" s="3" t="s">
        <v>209</v>
      </c>
      <c r="E2" s="3" t="s">
        <v>11</v>
      </c>
      <c r="F2" s="1">
        <v>45631</v>
      </c>
      <c r="G2" t="str">
        <f t="shared" ref="G2:G65" si="0">TEXT(F2,"mmm -YYYY")</f>
        <v>Dec -2024</v>
      </c>
      <c r="H2" s="12" t="s">
        <v>1039</v>
      </c>
      <c r="I2">
        <f t="shared" ref="I2:I19" si="1">COUNTIF(G:G,H2)</f>
        <v>10</v>
      </c>
      <c r="J2" s="14">
        <f>AVERAGE($I$2:I38)</f>
        <v>247.64705882352942</v>
      </c>
      <c r="K2" t="str">
        <f ca="1">IF(AND(MONTH(F2)=MONTH(TODAY()), YEAR(F2)=YEAR(TODAY())), D2, "")</f>
        <v/>
      </c>
      <c r="L2" t="str" cm="1">
        <f t="array" ref="L2:L6">_xlfn.UNIQUE(C:C)</f>
        <v>CR type</v>
      </c>
    </row>
    <row r="3" spans="1:12" x14ac:dyDescent="0.3">
      <c r="A3" s="2">
        <v>259159</v>
      </c>
      <c r="B3" s="3" t="s">
        <v>517</v>
      </c>
      <c r="C3" s="3" t="s">
        <v>1010</v>
      </c>
      <c r="D3" s="3" t="s">
        <v>209</v>
      </c>
      <c r="E3" s="3" t="s">
        <v>11</v>
      </c>
      <c r="F3" s="1">
        <v>45631</v>
      </c>
      <c r="G3" t="str">
        <f t="shared" si="0"/>
        <v>Dec -2024</v>
      </c>
      <c r="H3" s="12" t="s">
        <v>1040</v>
      </c>
      <c r="I3">
        <f t="shared" si="1"/>
        <v>42</v>
      </c>
      <c r="J3" s="14">
        <f>AVERAGE($I$2:I39)</f>
        <v>247.64705882352942</v>
      </c>
      <c r="L3" t="str">
        <v>MDG</v>
      </c>
    </row>
    <row r="4" spans="1:12" x14ac:dyDescent="0.3">
      <c r="A4" s="2">
        <v>259160</v>
      </c>
      <c r="B4" s="3" t="s">
        <v>518</v>
      </c>
      <c r="C4" s="3" t="s">
        <v>1010</v>
      </c>
      <c r="D4" s="3" t="s">
        <v>364</v>
      </c>
      <c r="E4" s="3" t="s">
        <v>7</v>
      </c>
      <c r="F4" s="1">
        <v>45631</v>
      </c>
      <c r="G4" t="str">
        <f t="shared" si="0"/>
        <v>Dec -2024</v>
      </c>
      <c r="H4" s="12" t="s">
        <v>1005</v>
      </c>
      <c r="I4">
        <f t="shared" si="1"/>
        <v>55</v>
      </c>
      <c r="J4" s="14">
        <f>AVERAGE($I$2:I40)</f>
        <v>247.64705882352942</v>
      </c>
      <c r="L4" t="str">
        <v>Make</v>
      </c>
    </row>
    <row r="5" spans="1:12" x14ac:dyDescent="0.3">
      <c r="A5" s="2">
        <v>259388</v>
      </c>
      <c r="B5" s="3" t="s">
        <v>519</v>
      </c>
      <c r="C5" s="3" t="s">
        <v>1010</v>
      </c>
      <c r="D5" s="3" t="s">
        <v>364</v>
      </c>
      <c r="E5" s="3" t="s">
        <v>7</v>
      </c>
      <c r="F5" s="1">
        <v>45632</v>
      </c>
      <c r="G5" t="str">
        <f t="shared" si="0"/>
        <v>Dec -2024</v>
      </c>
      <c r="H5" s="12" t="s">
        <v>1006</v>
      </c>
      <c r="I5">
        <f t="shared" si="1"/>
        <v>48</v>
      </c>
      <c r="J5" s="14">
        <f>AVERAGE($I$2:I41)</f>
        <v>247.64705882352942</v>
      </c>
      <c r="L5" t="str">
        <v>Mass</v>
      </c>
    </row>
    <row r="6" spans="1:12" x14ac:dyDescent="0.3">
      <c r="A6" s="2">
        <v>259389</v>
      </c>
      <c r="B6" s="3" t="s">
        <v>520</v>
      </c>
      <c r="C6" s="3" t="s">
        <v>1010</v>
      </c>
      <c r="D6" s="3" t="s">
        <v>364</v>
      </c>
      <c r="E6" s="3" t="s">
        <v>7</v>
      </c>
      <c r="F6" s="1">
        <v>45632</v>
      </c>
      <c r="G6" t="str">
        <f t="shared" si="0"/>
        <v>Dec -2024</v>
      </c>
      <c r="H6" s="12" t="s">
        <v>1004</v>
      </c>
      <c r="I6">
        <f t="shared" si="1"/>
        <v>91</v>
      </c>
      <c r="J6" s="14">
        <f>AVERAGE($I$2:I42)</f>
        <v>247.64705882352942</v>
      </c>
      <c r="L6">
        <v>0</v>
      </c>
    </row>
    <row r="7" spans="1:12" x14ac:dyDescent="0.3">
      <c r="A7" s="2">
        <v>263894</v>
      </c>
      <c r="B7" s="3" t="s">
        <v>521</v>
      </c>
      <c r="C7" s="3" t="s">
        <v>1010</v>
      </c>
      <c r="D7" s="3" t="s">
        <v>209</v>
      </c>
      <c r="E7" s="3" t="s">
        <v>11</v>
      </c>
      <c r="F7" s="1">
        <v>45635</v>
      </c>
      <c r="G7" t="str">
        <f t="shared" si="0"/>
        <v>Dec -2024</v>
      </c>
      <c r="H7" s="12" t="s">
        <v>1007</v>
      </c>
      <c r="I7">
        <f t="shared" si="1"/>
        <v>154</v>
      </c>
      <c r="J7" s="14">
        <f>AVERAGE($I$2:I43)</f>
        <v>247.64705882352942</v>
      </c>
    </row>
    <row r="8" spans="1:12" x14ac:dyDescent="0.3">
      <c r="A8" s="2">
        <v>266577</v>
      </c>
      <c r="B8" s="3" t="s">
        <v>522</v>
      </c>
      <c r="C8" s="3" t="s">
        <v>1010</v>
      </c>
      <c r="D8" s="3" t="s">
        <v>209</v>
      </c>
      <c r="E8" s="3" t="s">
        <v>11</v>
      </c>
      <c r="F8" s="1">
        <v>45638</v>
      </c>
      <c r="G8" t="str">
        <f t="shared" si="0"/>
        <v>Dec -2024</v>
      </c>
      <c r="H8" s="12" t="s">
        <v>8</v>
      </c>
      <c r="I8">
        <f t="shared" si="1"/>
        <v>211</v>
      </c>
      <c r="J8" s="14">
        <f>AVERAGE($I$2:I44)</f>
        <v>247.64705882352942</v>
      </c>
    </row>
    <row r="9" spans="1:12" x14ac:dyDescent="0.3">
      <c r="A9" s="2">
        <v>272445</v>
      </c>
      <c r="B9" s="3" t="s">
        <v>523</v>
      </c>
      <c r="C9" s="3" t="s">
        <v>1010</v>
      </c>
      <c r="D9" s="3" t="s">
        <v>209</v>
      </c>
      <c r="E9" s="3" t="s">
        <v>11</v>
      </c>
      <c r="F9" s="1">
        <v>45638</v>
      </c>
      <c r="G9" t="str">
        <f t="shared" si="0"/>
        <v>Dec -2024</v>
      </c>
      <c r="H9" s="12" t="s">
        <v>194</v>
      </c>
      <c r="I9">
        <f t="shared" si="1"/>
        <v>266</v>
      </c>
      <c r="J9" s="14">
        <f>AVERAGE($I$2:I45)</f>
        <v>247.64705882352942</v>
      </c>
    </row>
    <row r="10" spans="1:12" x14ac:dyDescent="0.3">
      <c r="A10" s="2">
        <v>272491</v>
      </c>
      <c r="B10" s="3" t="s">
        <v>524</v>
      </c>
      <c r="C10" s="3" t="s">
        <v>1010</v>
      </c>
      <c r="D10" s="3" t="s">
        <v>209</v>
      </c>
      <c r="E10" s="3" t="s">
        <v>11</v>
      </c>
      <c r="F10" s="1">
        <v>45638</v>
      </c>
      <c r="G10" t="str">
        <f t="shared" si="0"/>
        <v>Dec -2024</v>
      </c>
      <c r="H10" s="12" t="s">
        <v>372</v>
      </c>
      <c r="I10">
        <f t="shared" si="1"/>
        <v>252</v>
      </c>
      <c r="J10" s="14">
        <f>AVERAGE($I$2:I46)</f>
        <v>247.64705882352942</v>
      </c>
    </row>
    <row r="11" spans="1:12" x14ac:dyDescent="0.3">
      <c r="A11" s="2">
        <v>273410</v>
      </c>
      <c r="B11" s="3" t="s">
        <v>525</v>
      </c>
      <c r="C11" s="3" t="s">
        <v>1010</v>
      </c>
      <c r="D11" s="3" t="s">
        <v>209</v>
      </c>
      <c r="E11" s="3" t="s">
        <v>11</v>
      </c>
      <c r="F11" s="1">
        <v>45638</v>
      </c>
      <c r="G11" t="str">
        <f t="shared" si="0"/>
        <v>Dec -2024</v>
      </c>
      <c r="H11" s="12" t="s">
        <v>498</v>
      </c>
      <c r="I11">
        <f t="shared" si="1"/>
        <v>335</v>
      </c>
      <c r="J11" s="14">
        <f>AVERAGE($I$2:I47)</f>
        <v>247.64705882352942</v>
      </c>
    </row>
    <row r="12" spans="1:12" x14ac:dyDescent="0.3">
      <c r="A12" s="2">
        <v>315448</v>
      </c>
      <c r="B12" s="3" t="s">
        <v>526</v>
      </c>
      <c r="C12" s="3" t="s">
        <v>1010</v>
      </c>
      <c r="D12" s="3" t="s">
        <v>364</v>
      </c>
      <c r="E12" s="3" t="s">
        <v>7</v>
      </c>
      <c r="F12" s="1">
        <v>45663</v>
      </c>
      <c r="G12" t="str">
        <f t="shared" si="0"/>
        <v>Jan -2025</v>
      </c>
      <c r="H12" s="12" t="s">
        <v>1041</v>
      </c>
      <c r="I12">
        <f t="shared" si="1"/>
        <v>355</v>
      </c>
      <c r="J12" s="14">
        <f>AVERAGE($I$2:I48)</f>
        <v>247.64705882352942</v>
      </c>
    </row>
    <row r="13" spans="1:12" x14ac:dyDescent="0.3">
      <c r="A13" s="2">
        <v>315643</v>
      </c>
      <c r="B13" s="3" t="s">
        <v>527</v>
      </c>
      <c r="C13" s="3" t="s">
        <v>1010</v>
      </c>
      <c r="D13" s="3" t="s">
        <v>364</v>
      </c>
      <c r="E13" s="3" t="s">
        <v>7</v>
      </c>
      <c r="F13" s="1">
        <v>45663</v>
      </c>
      <c r="G13" t="str">
        <f t="shared" si="0"/>
        <v>Jan -2025</v>
      </c>
      <c r="H13" s="12" t="s">
        <v>1477</v>
      </c>
      <c r="I13">
        <f t="shared" si="1"/>
        <v>270</v>
      </c>
      <c r="J13" s="14">
        <f>AVERAGE($I$2:I49)</f>
        <v>247.64705882352942</v>
      </c>
    </row>
    <row r="14" spans="1:12" x14ac:dyDescent="0.3">
      <c r="A14" s="2">
        <v>316910</v>
      </c>
      <c r="B14" s="3" t="s">
        <v>528</v>
      </c>
      <c r="C14" s="3" t="s">
        <v>1010</v>
      </c>
      <c r="D14" s="3" t="s">
        <v>364</v>
      </c>
      <c r="E14" s="3" t="s">
        <v>7</v>
      </c>
      <c r="F14" s="1">
        <v>45664</v>
      </c>
      <c r="G14" t="str">
        <f t="shared" si="0"/>
        <v>Jan -2025</v>
      </c>
      <c r="H14" s="12" t="s">
        <v>1847</v>
      </c>
      <c r="I14">
        <f t="shared" si="1"/>
        <v>274</v>
      </c>
      <c r="J14" s="14">
        <f>AVERAGE($I$2:I50)</f>
        <v>247.64705882352942</v>
      </c>
    </row>
    <row r="15" spans="1:12" x14ac:dyDescent="0.3">
      <c r="A15" s="2">
        <v>316944</v>
      </c>
      <c r="B15" s="3" t="s">
        <v>529</v>
      </c>
      <c r="C15" s="3" t="s">
        <v>1010</v>
      </c>
      <c r="D15" s="3" t="s">
        <v>364</v>
      </c>
      <c r="E15" s="3" t="s">
        <v>7</v>
      </c>
      <c r="F15" s="1">
        <v>45664</v>
      </c>
      <c r="G15" t="str">
        <f t="shared" si="0"/>
        <v>Jan -2025</v>
      </c>
      <c r="H15" s="12" t="s">
        <v>1848</v>
      </c>
      <c r="I15">
        <f t="shared" si="1"/>
        <v>412</v>
      </c>
      <c r="J15" s="14">
        <f>AVERAGE($I$2:I51)</f>
        <v>247.64705882352942</v>
      </c>
    </row>
    <row r="16" spans="1:12" x14ac:dyDescent="0.3">
      <c r="A16" s="2">
        <v>317159</v>
      </c>
      <c r="B16" s="3" t="s">
        <v>530</v>
      </c>
      <c r="C16" s="3" t="s">
        <v>1010</v>
      </c>
      <c r="D16" s="3" t="s">
        <v>364</v>
      </c>
      <c r="E16" s="3" t="s">
        <v>15</v>
      </c>
      <c r="F16" s="1">
        <v>45665</v>
      </c>
      <c r="G16" t="str">
        <f t="shared" si="0"/>
        <v>Jan -2025</v>
      </c>
      <c r="H16" s="12" t="s">
        <v>2110</v>
      </c>
      <c r="I16">
        <f t="shared" si="1"/>
        <v>452</v>
      </c>
      <c r="J16" s="14">
        <f>AVERAGE($I$2:I52)</f>
        <v>247.64705882352942</v>
      </c>
    </row>
    <row r="17" spans="1:10" x14ac:dyDescent="0.3">
      <c r="A17" s="2">
        <v>317124</v>
      </c>
      <c r="B17" s="3" t="s">
        <v>531</v>
      </c>
      <c r="C17" s="3" t="s">
        <v>1010</v>
      </c>
      <c r="D17" s="3" t="s">
        <v>364</v>
      </c>
      <c r="E17" s="3" t="s">
        <v>15</v>
      </c>
      <c r="F17" s="1">
        <v>45666</v>
      </c>
      <c r="G17" t="str">
        <f t="shared" si="0"/>
        <v>Jan -2025</v>
      </c>
      <c r="H17" s="12" t="s">
        <v>3076</v>
      </c>
      <c r="I17">
        <f t="shared" si="1"/>
        <v>517</v>
      </c>
      <c r="J17" s="14">
        <f>AVERAGE($I$2:I53)</f>
        <v>247.64705882352942</v>
      </c>
    </row>
    <row r="18" spans="1:10" x14ac:dyDescent="0.3">
      <c r="A18" s="2">
        <v>322183</v>
      </c>
      <c r="B18" s="3" t="s">
        <v>532</v>
      </c>
      <c r="C18" s="3" t="s">
        <v>1010</v>
      </c>
      <c r="D18" s="3" t="s">
        <v>209</v>
      </c>
      <c r="E18" s="3" t="s">
        <v>11</v>
      </c>
      <c r="F18" s="1">
        <v>45667</v>
      </c>
      <c r="G18" t="str">
        <f t="shared" si="0"/>
        <v>Jan -2025</v>
      </c>
      <c r="H18" s="12" t="s">
        <v>3077</v>
      </c>
      <c r="I18">
        <f t="shared" si="1"/>
        <v>466</v>
      </c>
      <c r="J18" s="14">
        <f>AVERAGE($I$2:I54)</f>
        <v>247.64705882352942</v>
      </c>
    </row>
    <row r="19" spans="1:10" x14ac:dyDescent="0.3">
      <c r="A19" s="2">
        <v>322186</v>
      </c>
      <c r="B19" s="3" t="s">
        <v>533</v>
      </c>
      <c r="C19" s="3" t="s">
        <v>1010</v>
      </c>
      <c r="D19" s="3" t="s">
        <v>209</v>
      </c>
      <c r="E19" s="3" t="s">
        <v>11</v>
      </c>
      <c r="F19" s="1">
        <v>45667</v>
      </c>
      <c r="G19" t="str">
        <f t="shared" si="0"/>
        <v>Jan -2025</v>
      </c>
      <c r="H19" s="12"/>
    </row>
    <row r="20" spans="1:10" x14ac:dyDescent="0.3">
      <c r="A20" s="2">
        <v>266131</v>
      </c>
      <c r="B20" s="3" t="s">
        <v>534</v>
      </c>
      <c r="C20" s="3" t="s">
        <v>1010</v>
      </c>
      <c r="D20" s="3" t="s">
        <v>364</v>
      </c>
      <c r="E20" s="3" t="s">
        <v>15</v>
      </c>
      <c r="F20" s="1">
        <v>45670</v>
      </c>
      <c r="G20" t="str">
        <f t="shared" si="0"/>
        <v>Jan -2025</v>
      </c>
      <c r="H20" s="12"/>
    </row>
    <row r="21" spans="1:10" x14ac:dyDescent="0.3">
      <c r="A21" s="2">
        <v>295544</v>
      </c>
      <c r="B21" s="3" t="s">
        <v>535</v>
      </c>
      <c r="C21" s="3" t="s">
        <v>1010</v>
      </c>
      <c r="D21" s="3" t="s">
        <v>364</v>
      </c>
      <c r="E21" s="3" t="s">
        <v>15</v>
      </c>
      <c r="F21" s="1">
        <v>45672</v>
      </c>
      <c r="G21" t="str">
        <f t="shared" si="0"/>
        <v>Jan -2025</v>
      </c>
      <c r="H21" s="12"/>
    </row>
    <row r="22" spans="1:10" x14ac:dyDescent="0.3">
      <c r="A22" s="2">
        <v>326568</v>
      </c>
      <c r="B22" s="3" t="s">
        <v>536</v>
      </c>
      <c r="C22" s="3" t="s">
        <v>1010</v>
      </c>
      <c r="D22" s="3" t="s">
        <v>209</v>
      </c>
      <c r="E22" s="3" t="s">
        <v>11</v>
      </c>
      <c r="F22" s="1">
        <v>45672</v>
      </c>
      <c r="G22" t="str">
        <f t="shared" si="0"/>
        <v>Jan -2025</v>
      </c>
      <c r="H22" s="12"/>
    </row>
    <row r="23" spans="1:10" x14ac:dyDescent="0.3">
      <c r="A23" s="2">
        <v>326752</v>
      </c>
      <c r="B23" s="3" t="s">
        <v>537</v>
      </c>
      <c r="C23" s="3" t="s">
        <v>1010</v>
      </c>
      <c r="D23" s="3" t="s">
        <v>209</v>
      </c>
      <c r="E23" s="3" t="s">
        <v>11</v>
      </c>
      <c r="F23" s="1">
        <v>45672</v>
      </c>
      <c r="G23" t="str">
        <f t="shared" si="0"/>
        <v>Jan -2025</v>
      </c>
      <c r="H23" s="12"/>
    </row>
    <row r="24" spans="1:10" x14ac:dyDescent="0.3">
      <c r="A24" s="2">
        <v>326754</v>
      </c>
      <c r="B24" s="3" t="s">
        <v>538</v>
      </c>
      <c r="C24" s="3" t="s">
        <v>1010</v>
      </c>
      <c r="D24" s="3" t="s">
        <v>209</v>
      </c>
      <c r="E24" s="3" t="s">
        <v>11</v>
      </c>
      <c r="F24" s="1">
        <v>45672</v>
      </c>
      <c r="G24" t="str">
        <f t="shared" si="0"/>
        <v>Jan -2025</v>
      </c>
      <c r="H24" s="12"/>
    </row>
    <row r="25" spans="1:10" x14ac:dyDescent="0.3">
      <c r="A25" s="2">
        <v>326755</v>
      </c>
      <c r="B25" s="3" t="s">
        <v>539</v>
      </c>
      <c r="C25" s="3" t="s">
        <v>1010</v>
      </c>
      <c r="D25" s="3" t="s">
        <v>209</v>
      </c>
      <c r="E25" s="3" t="s">
        <v>11</v>
      </c>
      <c r="F25" s="1">
        <v>45672</v>
      </c>
      <c r="G25" t="str">
        <f t="shared" si="0"/>
        <v>Jan -2025</v>
      </c>
      <c r="H25" s="12"/>
    </row>
    <row r="26" spans="1:10" x14ac:dyDescent="0.3">
      <c r="A26" s="2">
        <v>327307</v>
      </c>
      <c r="B26" s="3" t="s">
        <v>540</v>
      </c>
      <c r="C26" s="3" t="s">
        <v>1010</v>
      </c>
      <c r="D26" s="3" t="s">
        <v>209</v>
      </c>
      <c r="E26" s="3" t="s">
        <v>11</v>
      </c>
      <c r="F26" s="1">
        <v>45673</v>
      </c>
      <c r="G26" t="str">
        <f t="shared" si="0"/>
        <v>Jan -2025</v>
      </c>
      <c r="H26" s="12"/>
    </row>
    <row r="27" spans="1:10" x14ac:dyDescent="0.3">
      <c r="A27" s="2">
        <v>327320</v>
      </c>
      <c r="B27" s="3" t="s">
        <v>541</v>
      </c>
      <c r="C27" s="3" t="s">
        <v>1010</v>
      </c>
      <c r="D27" s="3" t="s">
        <v>209</v>
      </c>
      <c r="E27" s="3" t="s">
        <v>11</v>
      </c>
      <c r="F27" s="1">
        <v>45673</v>
      </c>
      <c r="G27" t="str">
        <f t="shared" si="0"/>
        <v>Jan -2025</v>
      </c>
      <c r="H27" s="12"/>
    </row>
    <row r="28" spans="1:10" x14ac:dyDescent="0.3">
      <c r="A28" s="2">
        <v>327380</v>
      </c>
      <c r="B28" s="3" t="s">
        <v>542</v>
      </c>
      <c r="C28" s="3" t="s">
        <v>1010</v>
      </c>
      <c r="D28" s="3" t="s">
        <v>364</v>
      </c>
      <c r="E28" s="3" t="s">
        <v>7</v>
      </c>
      <c r="F28" s="1">
        <v>45673</v>
      </c>
      <c r="G28" t="str">
        <f t="shared" si="0"/>
        <v>Jan -2025</v>
      </c>
      <c r="H28" s="12"/>
    </row>
    <row r="29" spans="1:10" x14ac:dyDescent="0.3">
      <c r="A29" s="2">
        <v>327746</v>
      </c>
      <c r="B29" s="3" t="s">
        <v>543</v>
      </c>
      <c r="C29" s="3" t="s">
        <v>1010</v>
      </c>
      <c r="D29" s="3" t="s">
        <v>10</v>
      </c>
      <c r="E29" s="3" t="s">
        <v>11</v>
      </c>
      <c r="F29" s="1">
        <v>45673</v>
      </c>
      <c r="G29" t="str">
        <f t="shared" si="0"/>
        <v>Jan -2025</v>
      </c>
      <c r="H29" s="12"/>
    </row>
    <row r="30" spans="1:10" x14ac:dyDescent="0.3">
      <c r="A30" s="2">
        <v>327780</v>
      </c>
      <c r="B30" s="3" t="s">
        <v>544</v>
      </c>
      <c r="C30" s="3" t="s">
        <v>1010</v>
      </c>
      <c r="D30" s="3" t="s">
        <v>364</v>
      </c>
      <c r="E30" s="3" t="s">
        <v>7</v>
      </c>
      <c r="F30" s="1">
        <v>45673</v>
      </c>
      <c r="G30" t="str">
        <f t="shared" si="0"/>
        <v>Jan -2025</v>
      </c>
      <c r="H30" s="12"/>
    </row>
    <row r="31" spans="1:10" x14ac:dyDescent="0.3">
      <c r="A31" s="2">
        <v>296631</v>
      </c>
      <c r="B31" s="3" t="s">
        <v>545</v>
      </c>
      <c r="C31" s="3" t="s">
        <v>1010</v>
      </c>
      <c r="D31" s="3" t="s">
        <v>364</v>
      </c>
      <c r="E31" s="3" t="s">
        <v>15</v>
      </c>
      <c r="F31" s="1">
        <v>45674</v>
      </c>
      <c r="G31" t="str">
        <f t="shared" si="0"/>
        <v>Jan -2025</v>
      </c>
      <c r="H31" s="12"/>
    </row>
    <row r="32" spans="1:10" x14ac:dyDescent="0.3">
      <c r="A32" s="2">
        <v>328702</v>
      </c>
      <c r="B32" s="3" t="s">
        <v>459</v>
      </c>
      <c r="C32" s="3" t="s">
        <v>1010</v>
      </c>
      <c r="D32" s="3" t="s">
        <v>209</v>
      </c>
      <c r="E32" s="3" t="s">
        <v>11</v>
      </c>
      <c r="F32" s="1">
        <v>45674</v>
      </c>
      <c r="G32" t="str">
        <f t="shared" si="0"/>
        <v>Jan -2025</v>
      </c>
      <c r="H32" s="12"/>
    </row>
    <row r="33" spans="1:8" x14ac:dyDescent="0.3">
      <c r="A33" s="2">
        <v>333982</v>
      </c>
      <c r="B33" s="3" t="s">
        <v>546</v>
      </c>
      <c r="C33" s="3" t="s">
        <v>1010</v>
      </c>
      <c r="D33" s="3" t="s">
        <v>209</v>
      </c>
      <c r="E33" s="3" t="s">
        <v>11</v>
      </c>
      <c r="F33" s="1">
        <v>45677</v>
      </c>
      <c r="G33" t="str">
        <f t="shared" si="0"/>
        <v>Jan -2025</v>
      </c>
      <c r="H33" s="12"/>
    </row>
    <row r="34" spans="1:8" x14ac:dyDescent="0.3">
      <c r="A34" s="2">
        <v>333894</v>
      </c>
      <c r="B34" s="3" t="s">
        <v>547</v>
      </c>
      <c r="C34" s="3" t="s">
        <v>1010</v>
      </c>
      <c r="D34" s="3" t="s">
        <v>209</v>
      </c>
      <c r="E34" s="3" t="s">
        <v>11</v>
      </c>
      <c r="F34" s="1">
        <v>45679</v>
      </c>
      <c r="G34" t="str">
        <f t="shared" si="0"/>
        <v>Jan -2025</v>
      </c>
      <c r="H34" s="12"/>
    </row>
    <row r="35" spans="1:8" x14ac:dyDescent="0.3">
      <c r="A35" s="2">
        <v>333895</v>
      </c>
      <c r="B35" s="3" t="s">
        <v>547</v>
      </c>
      <c r="C35" s="3" t="s">
        <v>1010</v>
      </c>
      <c r="D35" s="3" t="s">
        <v>209</v>
      </c>
      <c r="E35" s="3" t="s">
        <v>11</v>
      </c>
      <c r="F35" s="1">
        <v>45679</v>
      </c>
      <c r="G35" t="str">
        <f t="shared" si="0"/>
        <v>Jan -2025</v>
      </c>
      <c r="H35" s="12"/>
    </row>
    <row r="36" spans="1:8" x14ac:dyDescent="0.3">
      <c r="A36" s="2">
        <v>334727</v>
      </c>
      <c r="B36" s="3" t="s">
        <v>548</v>
      </c>
      <c r="C36" s="3" t="s">
        <v>1010</v>
      </c>
      <c r="D36" s="3" t="s">
        <v>10</v>
      </c>
      <c r="E36" s="3" t="s">
        <v>11</v>
      </c>
      <c r="F36" s="1">
        <v>45679</v>
      </c>
      <c r="G36" t="str">
        <f t="shared" si="0"/>
        <v>Jan -2025</v>
      </c>
      <c r="H36" s="12"/>
    </row>
    <row r="37" spans="1:8" x14ac:dyDescent="0.3">
      <c r="A37" s="2">
        <v>334809</v>
      </c>
      <c r="B37" s="3" t="s">
        <v>549</v>
      </c>
      <c r="C37" s="3" t="s">
        <v>1010</v>
      </c>
      <c r="D37" s="3" t="s">
        <v>209</v>
      </c>
      <c r="E37" s="3" t="s">
        <v>11</v>
      </c>
      <c r="F37" s="1">
        <v>45679</v>
      </c>
      <c r="G37" t="str">
        <f t="shared" si="0"/>
        <v>Jan -2025</v>
      </c>
      <c r="H37" s="12"/>
    </row>
    <row r="38" spans="1:8" x14ac:dyDescent="0.3">
      <c r="A38" s="2">
        <v>340567</v>
      </c>
      <c r="B38" s="3" t="s">
        <v>550</v>
      </c>
      <c r="C38" s="3" t="s">
        <v>1010</v>
      </c>
      <c r="D38" s="3" t="s">
        <v>364</v>
      </c>
      <c r="E38" s="3" t="s">
        <v>7</v>
      </c>
      <c r="F38" s="1">
        <v>45684</v>
      </c>
      <c r="G38" t="str">
        <f t="shared" si="0"/>
        <v>Jan -2025</v>
      </c>
      <c r="H38" s="12"/>
    </row>
    <row r="39" spans="1:8" x14ac:dyDescent="0.3">
      <c r="A39" s="2">
        <v>336760</v>
      </c>
      <c r="B39" s="3" t="s">
        <v>551</v>
      </c>
      <c r="C39" s="3" t="s">
        <v>1010</v>
      </c>
      <c r="D39" s="3" t="s">
        <v>10</v>
      </c>
      <c r="E39" s="3" t="s">
        <v>11</v>
      </c>
      <c r="F39" s="1">
        <v>45685</v>
      </c>
      <c r="G39" t="str">
        <f t="shared" si="0"/>
        <v>Jan -2025</v>
      </c>
      <c r="H39" s="12"/>
    </row>
    <row r="40" spans="1:8" x14ac:dyDescent="0.3">
      <c r="A40" s="2">
        <v>340533</v>
      </c>
      <c r="B40" s="3" t="s">
        <v>552</v>
      </c>
      <c r="C40" s="3" t="s">
        <v>1010</v>
      </c>
      <c r="D40" s="3" t="s">
        <v>10</v>
      </c>
      <c r="E40" s="3" t="s">
        <v>11</v>
      </c>
      <c r="F40" s="1">
        <v>45685</v>
      </c>
      <c r="G40" t="str">
        <f t="shared" si="0"/>
        <v>Jan -2025</v>
      </c>
      <c r="H40" s="12"/>
    </row>
    <row r="41" spans="1:8" x14ac:dyDescent="0.3">
      <c r="A41" s="2">
        <v>340681</v>
      </c>
      <c r="B41" s="3" t="s">
        <v>553</v>
      </c>
      <c r="C41" s="3" t="s">
        <v>1010</v>
      </c>
      <c r="D41" s="3" t="s">
        <v>364</v>
      </c>
      <c r="E41" s="3" t="s">
        <v>7</v>
      </c>
      <c r="F41" s="1">
        <v>45685</v>
      </c>
      <c r="G41" t="str">
        <f t="shared" si="0"/>
        <v>Jan -2025</v>
      </c>
      <c r="H41" s="12"/>
    </row>
    <row r="42" spans="1:8" x14ac:dyDescent="0.3">
      <c r="A42" s="2">
        <v>343487</v>
      </c>
      <c r="B42" s="3" t="s">
        <v>554</v>
      </c>
      <c r="C42" s="3" t="s">
        <v>1010</v>
      </c>
      <c r="D42" s="3" t="s">
        <v>364</v>
      </c>
      <c r="E42" s="3" t="s">
        <v>7</v>
      </c>
      <c r="F42" s="1">
        <v>45685</v>
      </c>
      <c r="G42" t="str">
        <f t="shared" si="0"/>
        <v>Jan -2025</v>
      </c>
      <c r="H42" s="12"/>
    </row>
    <row r="43" spans="1:8" x14ac:dyDescent="0.3">
      <c r="A43" s="2">
        <v>334887</v>
      </c>
      <c r="B43" s="3" t="s">
        <v>53</v>
      </c>
      <c r="C43" s="3" t="s">
        <v>1010</v>
      </c>
      <c r="D43" s="3" t="s">
        <v>10</v>
      </c>
      <c r="E43" s="3" t="s">
        <v>11</v>
      </c>
      <c r="F43" s="1">
        <v>45686</v>
      </c>
      <c r="G43" t="str">
        <f t="shared" si="0"/>
        <v>Jan -2025</v>
      </c>
      <c r="H43" s="12"/>
    </row>
    <row r="44" spans="1:8" x14ac:dyDescent="0.3">
      <c r="A44" s="2">
        <v>343411</v>
      </c>
      <c r="B44" s="3" t="s">
        <v>555</v>
      </c>
      <c r="C44" s="3" t="s">
        <v>1010</v>
      </c>
      <c r="D44" s="3" t="s">
        <v>10</v>
      </c>
      <c r="E44" s="3" t="s">
        <v>11</v>
      </c>
      <c r="F44" s="1">
        <v>45686</v>
      </c>
      <c r="G44" t="str">
        <f t="shared" si="0"/>
        <v>Jan -2025</v>
      </c>
      <c r="H44" s="12"/>
    </row>
    <row r="45" spans="1:8" x14ac:dyDescent="0.3">
      <c r="A45" s="2">
        <v>346002</v>
      </c>
      <c r="B45" s="3" t="s">
        <v>556</v>
      </c>
      <c r="C45" s="3" t="s">
        <v>1010</v>
      </c>
      <c r="D45" s="3" t="s">
        <v>364</v>
      </c>
      <c r="E45" s="3" t="s">
        <v>7</v>
      </c>
      <c r="F45" s="1">
        <v>45686</v>
      </c>
      <c r="G45" t="str">
        <f t="shared" si="0"/>
        <v>Jan -2025</v>
      </c>
      <c r="H45" s="12"/>
    </row>
    <row r="46" spans="1:8" x14ac:dyDescent="0.3">
      <c r="A46" s="2">
        <v>350364</v>
      </c>
      <c r="B46" s="3" t="s">
        <v>557</v>
      </c>
      <c r="C46" s="3" t="s">
        <v>1010</v>
      </c>
      <c r="D46" s="3" t="s">
        <v>364</v>
      </c>
      <c r="E46" s="3" t="s">
        <v>7</v>
      </c>
      <c r="F46" s="1">
        <v>45686</v>
      </c>
      <c r="G46" t="str">
        <f t="shared" si="0"/>
        <v>Jan -2025</v>
      </c>
      <c r="H46" s="12"/>
    </row>
    <row r="47" spans="1:8" x14ac:dyDescent="0.3">
      <c r="A47" s="2">
        <v>348637</v>
      </c>
      <c r="B47" s="3" t="s">
        <v>558</v>
      </c>
      <c r="C47" s="3" t="s">
        <v>1010</v>
      </c>
      <c r="D47" s="3" t="s">
        <v>364</v>
      </c>
      <c r="E47" s="3" t="s">
        <v>7</v>
      </c>
      <c r="F47" s="1">
        <v>45686</v>
      </c>
      <c r="G47" t="str">
        <f t="shared" si="0"/>
        <v>Jan -2025</v>
      </c>
      <c r="H47" s="12"/>
    </row>
    <row r="48" spans="1:8" x14ac:dyDescent="0.3">
      <c r="A48" s="2">
        <v>348638</v>
      </c>
      <c r="B48" s="3" t="s">
        <v>559</v>
      </c>
      <c r="C48" s="3" t="s">
        <v>1010</v>
      </c>
      <c r="D48" s="3" t="s">
        <v>364</v>
      </c>
      <c r="E48" s="3" t="s">
        <v>7</v>
      </c>
      <c r="F48" s="1">
        <v>45686</v>
      </c>
      <c r="G48" t="str">
        <f t="shared" si="0"/>
        <v>Jan -2025</v>
      </c>
      <c r="H48" s="12"/>
    </row>
    <row r="49" spans="1:8" x14ac:dyDescent="0.3">
      <c r="A49" s="2">
        <v>350861</v>
      </c>
      <c r="B49" s="3" t="s">
        <v>557</v>
      </c>
      <c r="C49" s="3" t="s">
        <v>1010</v>
      </c>
      <c r="D49" s="3" t="s">
        <v>364</v>
      </c>
      <c r="E49" s="3" t="s">
        <v>7</v>
      </c>
      <c r="F49" s="1">
        <v>45686</v>
      </c>
      <c r="G49" t="str">
        <f t="shared" si="0"/>
        <v>Jan -2025</v>
      </c>
      <c r="H49" s="12"/>
    </row>
    <row r="50" spans="1:8" x14ac:dyDescent="0.3">
      <c r="A50" s="2">
        <v>360070</v>
      </c>
      <c r="B50" s="3" t="s">
        <v>560</v>
      </c>
      <c r="C50" s="3" t="s">
        <v>1010</v>
      </c>
      <c r="D50" s="3" t="s">
        <v>364</v>
      </c>
      <c r="E50" s="3" t="s">
        <v>7</v>
      </c>
      <c r="F50" s="1">
        <v>45687</v>
      </c>
      <c r="G50" t="str">
        <f t="shared" si="0"/>
        <v>Jan -2025</v>
      </c>
      <c r="H50" s="12"/>
    </row>
    <row r="51" spans="1:8" x14ac:dyDescent="0.3">
      <c r="A51" s="2">
        <v>359915</v>
      </c>
      <c r="B51" s="3" t="s">
        <v>561</v>
      </c>
      <c r="C51" s="3" t="s">
        <v>1010</v>
      </c>
      <c r="D51" s="3" t="s">
        <v>364</v>
      </c>
      <c r="E51" s="3" t="s">
        <v>7</v>
      </c>
      <c r="F51" s="1">
        <v>45687</v>
      </c>
      <c r="G51" t="str">
        <f t="shared" si="0"/>
        <v>Jan -2025</v>
      </c>
      <c r="H51" s="12"/>
    </row>
    <row r="52" spans="1:8" x14ac:dyDescent="0.3">
      <c r="A52" s="2">
        <v>360062</v>
      </c>
      <c r="B52" s="3" t="s">
        <v>562</v>
      </c>
      <c r="C52" s="3" t="s">
        <v>1010</v>
      </c>
      <c r="D52" s="3" t="s">
        <v>364</v>
      </c>
      <c r="E52" s="3" t="s">
        <v>7</v>
      </c>
      <c r="F52" s="1">
        <v>45687</v>
      </c>
      <c r="G52" t="str">
        <f t="shared" si="0"/>
        <v>Jan -2025</v>
      </c>
      <c r="H52" s="12"/>
    </row>
    <row r="53" spans="1:8" x14ac:dyDescent="0.3">
      <c r="A53" s="2">
        <v>360069</v>
      </c>
      <c r="B53" s="3" t="s">
        <v>560</v>
      </c>
      <c r="C53" s="3" t="s">
        <v>1010</v>
      </c>
      <c r="D53" s="3" t="s">
        <v>364</v>
      </c>
      <c r="E53" s="3" t="s">
        <v>7</v>
      </c>
      <c r="F53" s="1">
        <v>45687</v>
      </c>
      <c r="G53" t="str">
        <f t="shared" si="0"/>
        <v>Jan -2025</v>
      </c>
      <c r="H53" s="12"/>
    </row>
    <row r="54" spans="1:8" x14ac:dyDescent="0.3">
      <c r="A54" s="2">
        <v>343331</v>
      </c>
      <c r="B54" s="3" t="s">
        <v>563</v>
      </c>
      <c r="C54" s="3" t="s">
        <v>1010</v>
      </c>
      <c r="D54" s="3" t="s">
        <v>10</v>
      </c>
      <c r="E54" s="3" t="s">
        <v>11</v>
      </c>
      <c r="F54" s="1">
        <v>45691</v>
      </c>
      <c r="G54" t="str">
        <f t="shared" si="0"/>
        <v>Feb -2025</v>
      </c>
      <c r="H54" s="12"/>
    </row>
    <row r="55" spans="1:8" x14ac:dyDescent="0.3">
      <c r="A55" s="2">
        <v>316948</v>
      </c>
      <c r="B55" s="3" t="s">
        <v>564</v>
      </c>
      <c r="C55" s="3" t="s">
        <v>1010</v>
      </c>
      <c r="D55" s="3" t="s">
        <v>364</v>
      </c>
      <c r="E55" s="3" t="s">
        <v>15</v>
      </c>
      <c r="F55" s="1">
        <v>45692</v>
      </c>
      <c r="G55" t="str">
        <f t="shared" si="0"/>
        <v>Feb -2025</v>
      </c>
      <c r="H55" s="12"/>
    </row>
    <row r="56" spans="1:8" x14ac:dyDescent="0.3">
      <c r="A56" s="2">
        <v>317165</v>
      </c>
      <c r="B56" s="3" t="s">
        <v>564</v>
      </c>
      <c r="C56" s="3" t="s">
        <v>1010</v>
      </c>
      <c r="D56" s="3" t="s">
        <v>364</v>
      </c>
      <c r="E56" s="3" t="s">
        <v>15</v>
      </c>
      <c r="F56" s="1">
        <v>45692</v>
      </c>
      <c r="G56" t="str">
        <f t="shared" si="0"/>
        <v>Feb -2025</v>
      </c>
      <c r="H56" s="12"/>
    </row>
    <row r="57" spans="1:8" x14ac:dyDescent="0.3">
      <c r="A57" s="2">
        <v>359962</v>
      </c>
      <c r="B57" s="3" t="s">
        <v>565</v>
      </c>
      <c r="C57" s="3" t="s">
        <v>1010</v>
      </c>
      <c r="D57" s="3" t="s">
        <v>10</v>
      </c>
      <c r="E57" s="3" t="s">
        <v>11</v>
      </c>
      <c r="F57" s="1">
        <v>45692</v>
      </c>
      <c r="G57" t="str">
        <f t="shared" si="0"/>
        <v>Feb -2025</v>
      </c>
      <c r="H57" s="12"/>
    </row>
    <row r="58" spans="1:8" x14ac:dyDescent="0.3">
      <c r="A58" s="2">
        <v>396333</v>
      </c>
      <c r="B58" s="3" t="s">
        <v>566</v>
      </c>
      <c r="C58" s="3" t="s">
        <v>1010</v>
      </c>
      <c r="D58" s="3" t="s">
        <v>209</v>
      </c>
      <c r="E58" s="3" t="s">
        <v>11</v>
      </c>
      <c r="F58" s="1">
        <v>45692</v>
      </c>
      <c r="G58" t="str">
        <f t="shared" si="0"/>
        <v>Feb -2025</v>
      </c>
      <c r="H58" s="12"/>
    </row>
    <row r="59" spans="1:8" x14ac:dyDescent="0.3">
      <c r="A59" s="2">
        <v>405784</v>
      </c>
      <c r="B59" s="3" t="s">
        <v>567</v>
      </c>
      <c r="C59" s="3" t="s">
        <v>1010</v>
      </c>
      <c r="D59" s="3" t="s">
        <v>364</v>
      </c>
      <c r="E59" s="3" t="s">
        <v>7</v>
      </c>
      <c r="F59" s="1">
        <v>45693</v>
      </c>
      <c r="G59" t="str">
        <f t="shared" si="0"/>
        <v>Feb -2025</v>
      </c>
      <c r="H59" s="12"/>
    </row>
    <row r="60" spans="1:8" x14ac:dyDescent="0.3">
      <c r="A60" s="2">
        <v>406104</v>
      </c>
      <c r="B60" s="3" t="s">
        <v>568</v>
      </c>
      <c r="C60" s="3" t="s">
        <v>1010</v>
      </c>
      <c r="D60" s="3" t="s">
        <v>364</v>
      </c>
      <c r="E60" s="3" t="s">
        <v>7</v>
      </c>
      <c r="F60" s="1">
        <v>45693</v>
      </c>
      <c r="G60" t="str">
        <f t="shared" si="0"/>
        <v>Feb -2025</v>
      </c>
      <c r="H60" s="12"/>
    </row>
    <row r="61" spans="1:8" x14ac:dyDescent="0.3">
      <c r="A61" s="2">
        <v>410275</v>
      </c>
      <c r="B61" s="3" t="s">
        <v>569</v>
      </c>
      <c r="C61" s="3" t="s">
        <v>1010</v>
      </c>
      <c r="D61" s="3" t="s">
        <v>364</v>
      </c>
      <c r="E61" s="3" t="s">
        <v>7</v>
      </c>
      <c r="F61" s="1">
        <v>45693</v>
      </c>
      <c r="G61" t="str">
        <f t="shared" si="0"/>
        <v>Feb -2025</v>
      </c>
      <c r="H61" s="12"/>
    </row>
    <row r="62" spans="1:8" x14ac:dyDescent="0.3">
      <c r="A62" s="2">
        <v>410276</v>
      </c>
      <c r="B62" s="3" t="s">
        <v>570</v>
      </c>
      <c r="C62" s="3" t="s">
        <v>1010</v>
      </c>
      <c r="D62" s="3" t="s">
        <v>364</v>
      </c>
      <c r="E62" s="3" t="s">
        <v>7</v>
      </c>
      <c r="F62" s="1">
        <v>45693</v>
      </c>
      <c r="G62" t="str">
        <f t="shared" si="0"/>
        <v>Feb -2025</v>
      </c>
      <c r="H62" s="12"/>
    </row>
    <row r="63" spans="1:8" x14ac:dyDescent="0.3">
      <c r="A63" s="2">
        <v>410384</v>
      </c>
      <c r="B63" s="3" t="s">
        <v>571</v>
      </c>
      <c r="C63" s="3" t="s">
        <v>1010</v>
      </c>
      <c r="D63" s="3" t="s">
        <v>209</v>
      </c>
      <c r="E63" s="3" t="s">
        <v>11</v>
      </c>
      <c r="F63" s="1">
        <v>45693</v>
      </c>
      <c r="G63" t="str">
        <f t="shared" si="0"/>
        <v>Feb -2025</v>
      </c>
      <c r="H63" s="12"/>
    </row>
    <row r="64" spans="1:8" x14ac:dyDescent="0.3">
      <c r="A64" s="2">
        <v>409473</v>
      </c>
      <c r="B64" s="3" t="s">
        <v>572</v>
      </c>
      <c r="C64" s="3" t="s">
        <v>1010</v>
      </c>
      <c r="D64" s="3" t="s">
        <v>364</v>
      </c>
      <c r="E64" s="3" t="s">
        <v>7</v>
      </c>
      <c r="F64" s="1">
        <v>45693</v>
      </c>
      <c r="G64" t="str">
        <f t="shared" si="0"/>
        <v>Feb -2025</v>
      </c>
      <c r="H64" s="12"/>
    </row>
    <row r="65" spans="1:8" x14ac:dyDescent="0.3">
      <c r="A65" s="2">
        <v>409475</v>
      </c>
      <c r="B65" s="3" t="s">
        <v>573</v>
      </c>
      <c r="C65" s="3" t="s">
        <v>1010</v>
      </c>
      <c r="D65" s="3" t="s">
        <v>364</v>
      </c>
      <c r="E65" s="3" t="s">
        <v>7</v>
      </c>
      <c r="F65" s="1">
        <v>45693</v>
      </c>
      <c r="G65" t="str">
        <f t="shared" si="0"/>
        <v>Feb -2025</v>
      </c>
      <c r="H65" s="12"/>
    </row>
    <row r="66" spans="1:8" x14ac:dyDescent="0.3">
      <c r="A66" s="2">
        <v>371200</v>
      </c>
      <c r="B66" s="3" t="s">
        <v>574</v>
      </c>
      <c r="C66" s="3" t="s">
        <v>1010</v>
      </c>
      <c r="D66" s="3" t="s">
        <v>1259</v>
      </c>
      <c r="E66" s="3" t="s">
        <v>15</v>
      </c>
      <c r="F66" s="1">
        <v>45694</v>
      </c>
      <c r="G66" t="str">
        <f t="shared" ref="G66:G129" si="2">TEXT(F66,"mmm -YYYY")</f>
        <v>Feb -2025</v>
      </c>
      <c r="H66" s="12"/>
    </row>
    <row r="67" spans="1:8" x14ac:dyDescent="0.3">
      <c r="A67" s="2">
        <v>413169</v>
      </c>
      <c r="B67" s="3" t="s">
        <v>571</v>
      </c>
      <c r="C67" s="3" t="s">
        <v>1010</v>
      </c>
      <c r="D67" s="3" t="s">
        <v>209</v>
      </c>
      <c r="E67" s="3" t="s">
        <v>11</v>
      </c>
      <c r="F67" s="1">
        <v>45694</v>
      </c>
      <c r="G67" t="str">
        <f t="shared" si="2"/>
        <v>Feb -2025</v>
      </c>
      <c r="H67" s="12"/>
    </row>
    <row r="68" spans="1:8" x14ac:dyDescent="0.3">
      <c r="A68" s="2">
        <v>413170</v>
      </c>
      <c r="B68" s="3" t="s">
        <v>571</v>
      </c>
      <c r="C68" s="3" t="s">
        <v>1010</v>
      </c>
      <c r="D68" s="3" t="s">
        <v>209</v>
      </c>
      <c r="E68" s="3" t="s">
        <v>11</v>
      </c>
      <c r="F68" s="1">
        <v>45694</v>
      </c>
      <c r="G68" t="str">
        <f t="shared" si="2"/>
        <v>Feb -2025</v>
      </c>
      <c r="H68" s="12"/>
    </row>
    <row r="69" spans="1:8" x14ac:dyDescent="0.3">
      <c r="A69" s="2">
        <v>413448</v>
      </c>
      <c r="B69" s="3" t="s">
        <v>575</v>
      </c>
      <c r="C69" s="3" t="s">
        <v>1010</v>
      </c>
      <c r="D69" s="3" t="s">
        <v>209</v>
      </c>
      <c r="E69" s="3" t="s">
        <v>11</v>
      </c>
      <c r="F69" s="1">
        <v>45694</v>
      </c>
      <c r="G69" t="str">
        <f t="shared" si="2"/>
        <v>Feb -2025</v>
      </c>
      <c r="H69" s="12"/>
    </row>
    <row r="70" spans="1:8" x14ac:dyDescent="0.3">
      <c r="A70" s="2">
        <v>413663</v>
      </c>
      <c r="B70" s="3" t="s">
        <v>576</v>
      </c>
      <c r="C70" s="3" t="s">
        <v>1010</v>
      </c>
      <c r="D70" s="3" t="s">
        <v>209</v>
      </c>
      <c r="E70" s="3" t="s">
        <v>11</v>
      </c>
      <c r="F70" s="1">
        <v>45694</v>
      </c>
      <c r="G70" t="str">
        <f t="shared" si="2"/>
        <v>Feb -2025</v>
      </c>
      <c r="H70" s="12"/>
    </row>
    <row r="71" spans="1:8" x14ac:dyDescent="0.3">
      <c r="A71" s="2">
        <v>413731</v>
      </c>
      <c r="B71" s="3" t="s">
        <v>576</v>
      </c>
      <c r="C71" s="3" t="s">
        <v>1010</v>
      </c>
      <c r="D71" s="3" t="s">
        <v>209</v>
      </c>
      <c r="E71" s="3" t="s">
        <v>11</v>
      </c>
      <c r="F71" s="1">
        <v>45694</v>
      </c>
      <c r="G71" t="str">
        <f t="shared" si="2"/>
        <v>Feb -2025</v>
      </c>
      <c r="H71" s="12"/>
    </row>
    <row r="72" spans="1:8" x14ac:dyDescent="0.3">
      <c r="A72" s="2">
        <v>360058</v>
      </c>
      <c r="B72" s="3" t="s">
        <v>577</v>
      </c>
      <c r="C72" s="3" t="s">
        <v>1010</v>
      </c>
      <c r="D72" s="3" t="s">
        <v>364</v>
      </c>
      <c r="E72" s="3" t="s">
        <v>15</v>
      </c>
      <c r="F72" s="1">
        <v>45695</v>
      </c>
      <c r="G72" t="str">
        <f t="shared" si="2"/>
        <v>Feb -2025</v>
      </c>
      <c r="H72" s="12"/>
    </row>
    <row r="73" spans="1:8" x14ac:dyDescent="0.3">
      <c r="A73" s="2">
        <v>413961</v>
      </c>
      <c r="B73" s="3" t="s">
        <v>578</v>
      </c>
      <c r="C73" s="3" t="s">
        <v>1010</v>
      </c>
      <c r="D73" s="3" t="s">
        <v>364</v>
      </c>
      <c r="E73" s="3" t="s">
        <v>7</v>
      </c>
      <c r="F73" s="1">
        <v>45695</v>
      </c>
      <c r="G73" t="str">
        <f t="shared" si="2"/>
        <v>Feb -2025</v>
      </c>
      <c r="H73" s="12"/>
    </row>
    <row r="74" spans="1:8" x14ac:dyDescent="0.3">
      <c r="A74" s="2">
        <v>418075</v>
      </c>
      <c r="B74" s="3" t="s">
        <v>579</v>
      </c>
      <c r="C74" s="3" t="s">
        <v>1010</v>
      </c>
      <c r="D74" s="3" t="s">
        <v>10</v>
      </c>
      <c r="E74" s="3" t="s">
        <v>11</v>
      </c>
      <c r="F74" s="1">
        <v>45695</v>
      </c>
      <c r="G74" t="str">
        <f t="shared" si="2"/>
        <v>Feb -2025</v>
      </c>
      <c r="H74" s="12"/>
    </row>
    <row r="75" spans="1:8" x14ac:dyDescent="0.3">
      <c r="A75" s="2">
        <v>418077</v>
      </c>
      <c r="B75" s="3" t="s">
        <v>579</v>
      </c>
      <c r="C75" s="3" t="s">
        <v>1010</v>
      </c>
      <c r="D75" s="3" t="s">
        <v>10</v>
      </c>
      <c r="E75" s="3" t="s">
        <v>11</v>
      </c>
      <c r="F75" s="1">
        <v>45695</v>
      </c>
      <c r="G75" t="str">
        <f t="shared" si="2"/>
        <v>Feb -2025</v>
      </c>
      <c r="H75" s="12"/>
    </row>
    <row r="76" spans="1:8" x14ac:dyDescent="0.3">
      <c r="A76" s="2">
        <v>418078</v>
      </c>
      <c r="B76" s="3" t="s">
        <v>579</v>
      </c>
      <c r="C76" s="3" t="s">
        <v>1010</v>
      </c>
      <c r="D76" s="3" t="s">
        <v>10</v>
      </c>
      <c r="E76" s="3" t="s">
        <v>11</v>
      </c>
      <c r="F76" s="1">
        <v>45695</v>
      </c>
      <c r="G76" t="str">
        <f t="shared" si="2"/>
        <v>Feb -2025</v>
      </c>
      <c r="H76" s="12"/>
    </row>
    <row r="77" spans="1:8" x14ac:dyDescent="0.3">
      <c r="A77" s="2">
        <v>418451</v>
      </c>
      <c r="B77" s="3" t="s">
        <v>580</v>
      </c>
      <c r="C77" s="3" t="s">
        <v>1010</v>
      </c>
      <c r="D77" s="3" t="s">
        <v>364</v>
      </c>
      <c r="E77" s="3" t="s">
        <v>7</v>
      </c>
      <c r="F77" s="1">
        <v>45695</v>
      </c>
      <c r="G77" t="str">
        <f t="shared" si="2"/>
        <v>Feb -2025</v>
      </c>
      <c r="H77" s="12"/>
    </row>
    <row r="78" spans="1:8" x14ac:dyDescent="0.3">
      <c r="A78" s="2">
        <v>418454</v>
      </c>
      <c r="B78" s="3" t="s">
        <v>581</v>
      </c>
      <c r="C78" s="3" t="s">
        <v>1010</v>
      </c>
      <c r="D78" s="3" t="s">
        <v>364</v>
      </c>
      <c r="E78" s="3" t="s">
        <v>7</v>
      </c>
      <c r="F78" s="1">
        <v>45695</v>
      </c>
      <c r="G78" t="str">
        <f t="shared" si="2"/>
        <v>Feb -2025</v>
      </c>
      <c r="H78" s="12"/>
    </row>
    <row r="79" spans="1:8" x14ac:dyDescent="0.3">
      <c r="A79" s="2">
        <v>404737</v>
      </c>
      <c r="B79" s="3" t="s">
        <v>582</v>
      </c>
      <c r="C79" s="3" t="s">
        <v>1010</v>
      </c>
      <c r="D79" s="3" t="s">
        <v>10</v>
      </c>
      <c r="E79" s="3" t="s">
        <v>11</v>
      </c>
      <c r="F79" s="1">
        <v>45698</v>
      </c>
      <c r="G79" t="str">
        <f t="shared" si="2"/>
        <v>Feb -2025</v>
      </c>
      <c r="H79" s="12"/>
    </row>
    <row r="80" spans="1:8" x14ac:dyDescent="0.3">
      <c r="A80" s="2">
        <v>405406</v>
      </c>
      <c r="B80" s="3" t="s">
        <v>583</v>
      </c>
      <c r="C80" s="3" t="s">
        <v>1010</v>
      </c>
      <c r="D80" s="3" t="s">
        <v>10</v>
      </c>
      <c r="E80" s="3" t="s">
        <v>11</v>
      </c>
      <c r="F80" s="1">
        <v>45698</v>
      </c>
      <c r="G80" t="str">
        <f t="shared" si="2"/>
        <v>Feb -2025</v>
      </c>
      <c r="H80" s="12"/>
    </row>
    <row r="81" spans="1:8" x14ac:dyDescent="0.3">
      <c r="A81" s="2">
        <v>419048</v>
      </c>
      <c r="B81" s="3" t="s">
        <v>584</v>
      </c>
      <c r="C81" s="3" t="s">
        <v>1010</v>
      </c>
      <c r="D81" s="3" t="s">
        <v>364</v>
      </c>
      <c r="E81" s="3" t="s">
        <v>7</v>
      </c>
      <c r="F81" s="1">
        <v>45698</v>
      </c>
      <c r="G81" t="str">
        <f t="shared" si="2"/>
        <v>Feb -2025</v>
      </c>
      <c r="H81" s="12"/>
    </row>
    <row r="82" spans="1:8" x14ac:dyDescent="0.3">
      <c r="A82" s="2">
        <v>417900</v>
      </c>
      <c r="B82" s="3" t="s">
        <v>496</v>
      </c>
      <c r="C82" s="3" t="s">
        <v>1010</v>
      </c>
      <c r="D82" s="3" t="s">
        <v>10</v>
      </c>
      <c r="E82" s="3" t="s">
        <v>11</v>
      </c>
      <c r="F82" s="1">
        <v>45699</v>
      </c>
      <c r="G82" t="str">
        <f t="shared" si="2"/>
        <v>Feb -2025</v>
      </c>
      <c r="H82" s="12"/>
    </row>
    <row r="83" spans="1:8" x14ac:dyDescent="0.3">
      <c r="A83" s="2">
        <v>417936</v>
      </c>
      <c r="B83" s="3" t="s">
        <v>496</v>
      </c>
      <c r="C83" s="3" t="s">
        <v>1010</v>
      </c>
      <c r="D83" s="3" t="s">
        <v>10</v>
      </c>
      <c r="E83" s="3" t="s">
        <v>11</v>
      </c>
      <c r="F83" s="1">
        <v>45699</v>
      </c>
      <c r="G83" t="str">
        <f t="shared" si="2"/>
        <v>Feb -2025</v>
      </c>
      <c r="H83" s="12"/>
    </row>
    <row r="84" spans="1:8" x14ac:dyDescent="0.3">
      <c r="A84" s="2">
        <v>418039</v>
      </c>
      <c r="B84" s="3" t="s">
        <v>496</v>
      </c>
      <c r="C84" s="3" t="s">
        <v>1010</v>
      </c>
      <c r="D84" s="3" t="s">
        <v>10</v>
      </c>
      <c r="E84" s="3" t="s">
        <v>11</v>
      </c>
      <c r="F84" s="1">
        <v>45699</v>
      </c>
      <c r="G84" t="str">
        <f t="shared" si="2"/>
        <v>Feb -2025</v>
      </c>
      <c r="H84" s="12"/>
    </row>
    <row r="85" spans="1:8" x14ac:dyDescent="0.3">
      <c r="A85" s="2">
        <v>418082</v>
      </c>
      <c r="B85" s="3" t="s">
        <v>496</v>
      </c>
      <c r="C85" s="3" t="s">
        <v>1010</v>
      </c>
      <c r="D85" s="3" t="s">
        <v>10</v>
      </c>
      <c r="E85" s="3" t="s">
        <v>11</v>
      </c>
      <c r="F85" s="1">
        <v>45699</v>
      </c>
      <c r="G85" t="str">
        <f t="shared" si="2"/>
        <v>Feb -2025</v>
      </c>
      <c r="H85" s="12"/>
    </row>
    <row r="86" spans="1:8" x14ac:dyDescent="0.3">
      <c r="A86" s="2">
        <v>428942</v>
      </c>
      <c r="B86" s="3" t="s">
        <v>495</v>
      </c>
      <c r="C86" s="3" t="s">
        <v>1010</v>
      </c>
      <c r="D86" s="3" t="s">
        <v>10</v>
      </c>
      <c r="E86" s="3" t="s">
        <v>11</v>
      </c>
      <c r="F86" s="1">
        <v>45699</v>
      </c>
      <c r="G86" t="str">
        <f t="shared" si="2"/>
        <v>Feb -2025</v>
      </c>
      <c r="H86" s="12"/>
    </row>
    <row r="87" spans="1:8" x14ac:dyDescent="0.3">
      <c r="A87" s="2">
        <v>434166</v>
      </c>
      <c r="B87" s="3" t="s">
        <v>585</v>
      </c>
      <c r="C87" s="3" t="s">
        <v>1010</v>
      </c>
      <c r="D87" s="3" t="s">
        <v>209</v>
      </c>
      <c r="E87" s="3" t="s">
        <v>11</v>
      </c>
      <c r="F87" s="1">
        <v>45700</v>
      </c>
      <c r="G87" t="str">
        <f t="shared" si="2"/>
        <v>Feb -2025</v>
      </c>
      <c r="H87" s="12"/>
    </row>
    <row r="88" spans="1:8" x14ac:dyDescent="0.3">
      <c r="A88" s="2">
        <v>438220</v>
      </c>
      <c r="B88" s="3" t="s">
        <v>586</v>
      </c>
      <c r="C88" s="3" t="s">
        <v>1010</v>
      </c>
      <c r="D88" s="3" t="s">
        <v>10</v>
      </c>
      <c r="E88" s="3" t="s">
        <v>11</v>
      </c>
      <c r="F88" s="1">
        <v>45700</v>
      </c>
      <c r="G88" t="str">
        <f t="shared" si="2"/>
        <v>Feb -2025</v>
      </c>
      <c r="H88" s="12"/>
    </row>
    <row r="89" spans="1:8" x14ac:dyDescent="0.3">
      <c r="A89" s="2">
        <v>438448</v>
      </c>
      <c r="B89" s="3" t="s">
        <v>586</v>
      </c>
      <c r="C89" s="3" t="s">
        <v>1010</v>
      </c>
      <c r="D89" s="3" t="s">
        <v>10</v>
      </c>
      <c r="E89" s="3" t="s">
        <v>11</v>
      </c>
      <c r="F89" s="1">
        <v>45700</v>
      </c>
      <c r="G89" t="str">
        <f t="shared" si="2"/>
        <v>Feb -2025</v>
      </c>
      <c r="H89" s="12"/>
    </row>
    <row r="90" spans="1:8" x14ac:dyDescent="0.3">
      <c r="A90" s="2">
        <v>433652</v>
      </c>
      <c r="B90" s="3" t="s">
        <v>587</v>
      </c>
      <c r="C90" s="3" t="s">
        <v>1010</v>
      </c>
      <c r="D90" s="3" t="s">
        <v>10</v>
      </c>
      <c r="E90" s="3" t="s">
        <v>11</v>
      </c>
      <c r="F90" s="1">
        <v>45706</v>
      </c>
      <c r="G90" t="str">
        <f t="shared" si="2"/>
        <v>Feb -2025</v>
      </c>
      <c r="H90" s="12"/>
    </row>
    <row r="91" spans="1:8" x14ac:dyDescent="0.3">
      <c r="A91" s="2">
        <v>433672</v>
      </c>
      <c r="B91" s="3" t="s">
        <v>587</v>
      </c>
      <c r="C91" s="3" t="s">
        <v>1010</v>
      </c>
      <c r="D91" s="3" t="s">
        <v>10</v>
      </c>
      <c r="E91" s="3" t="s">
        <v>11</v>
      </c>
      <c r="F91" s="1">
        <v>45706</v>
      </c>
      <c r="G91" t="str">
        <f t="shared" si="2"/>
        <v>Feb -2025</v>
      </c>
      <c r="H91" s="12"/>
    </row>
    <row r="92" spans="1:8" x14ac:dyDescent="0.3">
      <c r="A92" s="2">
        <v>433721</v>
      </c>
      <c r="B92" s="3" t="s">
        <v>587</v>
      </c>
      <c r="C92" s="3" t="s">
        <v>1010</v>
      </c>
      <c r="D92" s="3" t="s">
        <v>10</v>
      </c>
      <c r="E92" s="3" t="s">
        <v>11</v>
      </c>
      <c r="F92" s="1">
        <v>45706</v>
      </c>
      <c r="G92" t="str">
        <f t="shared" si="2"/>
        <v>Feb -2025</v>
      </c>
      <c r="H92" s="12"/>
    </row>
    <row r="93" spans="1:8" x14ac:dyDescent="0.3">
      <c r="A93" s="2">
        <v>475142</v>
      </c>
      <c r="B93" s="3" t="s">
        <v>588</v>
      </c>
      <c r="C93" s="3" t="s">
        <v>1010</v>
      </c>
      <c r="D93" s="3" t="s">
        <v>364</v>
      </c>
      <c r="E93" s="3" t="s">
        <v>7</v>
      </c>
      <c r="F93" s="1">
        <v>45709</v>
      </c>
      <c r="G93" t="str">
        <f t="shared" si="2"/>
        <v>Feb -2025</v>
      </c>
      <c r="H93" s="12"/>
    </row>
    <row r="94" spans="1:8" x14ac:dyDescent="0.3">
      <c r="A94" s="2">
        <v>475368</v>
      </c>
      <c r="B94" s="3" t="s">
        <v>589</v>
      </c>
      <c r="C94" s="3" t="s">
        <v>1010</v>
      </c>
      <c r="D94" s="3" t="s">
        <v>364</v>
      </c>
      <c r="E94" s="3" t="s">
        <v>7</v>
      </c>
      <c r="F94" s="1">
        <v>45709</v>
      </c>
      <c r="G94" t="str">
        <f t="shared" si="2"/>
        <v>Feb -2025</v>
      </c>
      <c r="H94" s="12"/>
    </row>
    <row r="95" spans="1:8" x14ac:dyDescent="0.3">
      <c r="A95" s="2">
        <v>475374</v>
      </c>
      <c r="B95" s="3" t="s">
        <v>590</v>
      </c>
      <c r="C95" s="3" t="s">
        <v>1010</v>
      </c>
      <c r="D95" s="3" t="s">
        <v>364</v>
      </c>
      <c r="E95" s="3" t="s">
        <v>7</v>
      </c>
      <c r="F95" s="1">
        <v>45709</v>
      </c>
      <c r="G95" t="str">
        <f t="shared" si="2"/>
        <v>Feb -2025</v>
      </c>
      <c r="H95" s="12"/>
    </row>
    <row r="96" spans="1:8" x14ac:dyDescent="0.3">
      <c r="A96" s="2">
        <v>477538</v>
      </c>
      <c r="B96" s="3" t="s">
        <v>591</v>
      </c>
      <c r="C96" s="3" t="s">
        <v>1010</v>
      </c>
      <c r="D96" s="3" t="s">
        <v>10</v>
      </c>
      <c r="E96" s="3" t="s">
        <v>11</v>
      </c>
      <c r="F96" s="1">
        <v>45712</v>
      </c>
      <c r="G96" t="str">
        <f t="shared" si="2"/>
        <v>Feb -2025</v>
      </c>
      <c r="H96" s="12"/>
    </row>
    <row r="97" spans="1:8" x14ac:dyDescent="0.3">
      <c r="A97" s="2">
        <v>477702</v>
      </c>
      <c r="B97" s="3" t="s">
        <v>592</v>
      </c>
      <c r="C97" s="3" t="s">
        <v>1010</v>
      </c>
      <c r="D97" s="3" t="s">
        <v>10</v>
      </c>
      <c r="E97" s="3" t="s">
        <v>11</v>
      </c>
      <c r="F97" s="1">
        <v>45712</v>
      </c>
      <c r="G97" t="str">
        <f t="shared" si="2"/>
        <v>Feb -2025</v>
      </c>
      <c r="H97" s="12"/>
    </row>
    <row r="98" spans="1:8" x14ac:dyDescent="0.3">
      <c r="A98" s="2">
        <v>413450</v>
      </c>
      <c r="B98" s="3" t="s">
        <v>593</v>
      </c>
      <c r="C98" s="3" t="s">
        <v>1010</v>
      </c>
      <c r="D98" s="3" t="s">
        <v>364</v>
      </c>
      <c r="E98" s="3" t="s">
        <v>15</v>
      </c>
      <c r="F98" s="1">
        <v>45713</v>
      </c>
      <c r="G98" t="str">
        <f t="shared" si="2"/>
        <v>Feb -2025</v>
      </c>
      <c r="H98" s="12"/>
    </row>
    <row r="99" spans="1:8" x14ac:dyDescent="0.3">
      <c r="A99" s="2">
        <v>444511</v>
      </c>
      <c r="B99" s="3" t="s">
        <v>594</v>
      </c>
      <c r="C99" s="3" t="s">
        <v>1010</v>
      </c>
      <c r="D99" s="3" t="s">
        <v>364</v>
      </c>
      <c r="E99" s="3" t="s">
        <v>15</v>
      </c>
      <c r="F99" s="1">
        <v>45713</v>
      </c>
      <c r="G99" t="str">
        <f t="shared" si="2"/>
        <v>Feb -2025</v>
      </c>
      <c r="H99" s="12"/>
    </row>
    <row r="100" spans="1:8" x14ac:dyDescent="0.3">
      <c r="A100" s="2">
        <v>477469</v>
      </c>
      <c r="B100" s="3" t="s">
        <v>595</v>
      </c>
      <c r="C100" s="3" t="s">
        <v>1010</v>
      </c>
      <c r="D100" s="3" t="s">
        <v>10</v>
      </c>
      <c r="E100" s="3" t="s">
        <v>11</v>
      </c>
      <c r="F100" s="1">
        <v>45713</v>
      </c>
      <c r="G100" t="str">
        <f t="shared" si="2"/>
        <v>Feb -2025</v>
      </c>
      <c r="H100" s="12"/>
    </row>
    <row r="101" spans="1:8" x14ac:dyDescent="0.3">
      <c r="A101" s="2">
        <v>477718</v>
      </c>
      <c r="B101" s="3" t="s">
        <v>595</v>
      </c>
      <c r="C101" s="3" t="s">
        <v>1010</v>
      </c>
      <c r="D101" s="3" t="s">
        <v>10</v>
      </c>
      <c r="E101" s="3" t="s">
        <v>11</v>
      </c>
      <c r="F101" s="1">
        <v>45713</v>
      </c>
      <c r="G101" t="str">
        <f t="shared" si="2"/>
        <v>Feb -2025</v>
      </c>
      <c r="H101" s="12"/>
    </row>
    <row r="102" spans="1:8" x14ac:dyDescent="0.3">
      <c r="A102" s="2">
        <v>480704</v>
      </c>
      <c r="B102" s="3" t="s">
        <v>596</v>
      </c>
      <c r="C102" s="3" t="s">
        <v>1010</v>
      </c>
      <c r="D102" s="3" t="s">
        <v>364</v>
      </c>
      <c r="E102" s="3" t="s">
        <v>7</v>
      </c>
      <c r="F102" s="1">
        <v>45713</v>
      </c>
      <c r="G102" t="str">
        <f t="shared" si="2"/>
        <v>Feb -2025</v>
      </c>
      <c r="H102" s="12"/>
    </row>
    <row r="103" spans="1:8" x14ac:dyDescent="0.3">
      <c r="A103" s="2">
        <v>480705</v>
      </c>
      <c r="B103" s="3" t="s">
        <v>597</v>
      </c>
      <c r="C103" s="3" t="s">
        <v>1010</v>
      </c>
      <c r="D103" s="3" t="s">
        <v>364</v>
      </c>
      <c r="E103" s="3" t="s">
        <v>7</v>
      </c>
      <c r="F103" s="1">
        <v>45713</v>
      </c>
      <c r="G103" t="str">
        <f t="shared" si="2"/>
        <v>Feb -2025</v>
      </c>
      <c r="H103" s="12"/>
    </row>
    <row r="104" spans="1:8" x14ac:dyDescent="0.3">
      <c r="A104" s="2">
        <v>485619</v>
      </c>
      <c r="B104" s="3" t="s">
        <v>598</v>
      </c>
      <c r="C104" s="3" t="s">
        <v>1010</v>
      </c>
      <c r="D104" s="3" t="s">
        <v>364</v>
      </c>
      <c r="E104" s="3" t="s">
        <v>7</v>
      </c>
      <c r="F104" s="1">
        <v>45715</v>
      </c>
      <c r="G104" t="str">
        <f t="shared" si="2"/>
        <v>Feb -2025</v>
      </c>
      <c r="H104" s="12"/>
    </row>
    <row r="105" spans="1:8" x14ac:dyDescent="0.3">
      <c r="A105" s="2" t="s">
        <v>776</v>
      </c>
      <c r="B105" s="3" t="s">
        <v>777</v>
      </c>
      <c r="C105" s="3" t="s">
        <v>1011</v>
      </c>
      <c r="D105" s="3" t="s">
        <v>972</v>
      </c>
      <c r="E105" s="3" t="s">
        <v>965</v>
      </c>
      <c r="F105" s="1">
        <v>45715</v>
      </c>
      <c r="G105" t="str">
        <f t="shared" si="2"/>
        <v>Feb -2025</v>
      </c>
      <c r="H105" s="12"/>
    </row>
    <row r="106" spans="1:8" x14ac:dyDescent="0.3">
      <c r="A106" s="2">
        <v>481022</v>
      </c>
      <c r="B106" s="3" t="s">
        <v>495</v>
      </c>
      <c r="C106" s="3" t="s">
        <v>1010</v>
      </c>
      <c r="D106" s="3" t="s">
        <v>10</v>
      </c>
      <c r="E106" s="3" t="s">
        <v>11</v>
      </c>
      <c r="F106" s="1">
        <v>45716</v>
      </c>
      <c r="G106" t="str">
        <f t="shared" si="2"/>
        <v>Feb -2025</v>
      </c>
      <c r="H106" s="12"/>
    </row>
    <row r="107" spans="1:8" x14ac:dyDescent="0.3">
      <c r="A107" s="2">
        <v>486744</v>
      </c>
      <c r="B107" s="3" t="s">
        <v>599</v>
      </c>
      <c r="C107" s="3" t="s">
        <v>1010</v>
      </c>
      <c r="D107" s="3" t="s">
        <v>364</v>
      </c>
      <c r="E107" s="3" t="s">
        <v>7</v>
      </c>
      <c r="F107" s="1">
        <v>45716</v>
      </c>
      <c r="G107" t="str">
        <f t="shared" si="2"/>
        <v>Feb -2025</v>
      </c>
      <c r="H107" s="12"/>
    </row>
    <row r="108" spans="1:8" x14ac:dyDescent="0.3">
      <c r="A108" s="2">
        <v>486746</v>
      </c>
      <c r="B108" s="3" t="s">
        <v>600</v>
      </c>
      <c r="C108" s="3" t="s">
        <v>1010</v>
      </c>
      <c r="D108" s="3" t="s">
        <v>364</v>
      </c>
      <c r="E108" s="3" t="s">
        <v>7</v>
      </c>
      <c r="F108" s="1">
        <v>45716</v>
      </c>
      <c r="G108" t="str">
        <f t="shared" si="2"/>
        <v>Feb -2025</v>
      </c>
      <c r="H108" s="12"/>
    </row>
    <row r="109" spans="1:8" x14ac:dyDescent="0.3">
      <c r="A109" s="2" t="s">
        <v>778</v>
      </c>
      <c r="B109" s="3" t="s">
        <v>777</v>
      </c>
      <c r="C109" s="3" t="s">
        <v>1011</v>
      </c>
      <c r="D109" s="3" t="s">
        <v>972</v>
      </c>
      <c r="E109" s="3" t="s">
        <v>965</v>
      </c>
      <c r="F109" s="1">
        <v>45719</v>
      </c>
      <c r="G109" t="str">
        <f t="shared" si="2"/>
        <v>Mar -2025</v>
      </c>
      <c r="H109" s="12"/>
    </row>
    <row r="110" spans="1:8" x14ac:dyDescent="0.3">
      <c r="A110" s="2">
        <v>500445</v>
      </c>
      <c r="B110" s="3" t="s">
        <v>601</v>
      </c>
      <c r="C110" s="3" t="s">
        <v>1010</v>
      </c>
      <c r="D110" s="3" t="s">
        <v>209</v>
      </c>
      <c r="E110" s="3" t="s">
        <v>11</v>
      </c>
      <c r="F110" s="1">
        <v>45720</v>
      </c>
      <c r="G110" t="str">
        <f t="shared" si="2"/>
        <v>Mar -2025</v>
      </c>
      <c r="H110" s="12"/>
    </row>
    <row r="111" spans="1:8" x14ac:dyDescent="0.3">
      <c r="A111" s="2">
        <v>480291</v>
      </c>
      <c r="B111" s="3" t="s">
        <v>602</v>
      </c>
      <c r="C111" s="3" t="s">
        <v>1010</v>
      </c>
      <c r="D111" s="3" t="s">
        <v>364</v>
      </c>
      <c r="E111" s="3" t="s">
        <v>15</v>
      </c>
      <c r="F111" s="1">
        <v>45721</v>
      </c>
      <c r="G111" t="str">
        <f t="shared" si="2"/>
        <v>Mar -2025</v>
      </c>
      <c r="H111" s="12"/>
    </row>
    <row r="112" spans="1:8" x14ac:dyDescent="0.3">
      <c r="A112" s="2">
        <v>482102</v>
      </c>
      <c r="B112" s="3" t="s">
        <v>603</v>
      </c>
      <c r="C112" s="3" t="s">
        <v>1010</v>
      </c>
      <c r="D112" s="3" t="s">
        <v>364</v>
      </c>
      <c r="E112" s="3" t="s">
        <v>15</v>
      </c>
      <c r="F112" s="1">
        <v>45722</v>
      </c>
      <c r="G112" t="str">
        <f t="shared" si="2"/>
        <v>Mar -2025</v>
      </c>
      <c r="H112" s="12"/>
    </row>
    <row r="113" spans="1:8" x14ac:dyDescent="0.3">
      <c r="A113" s="2">
        <v>482105</v>
      </c>
      <c r="B113" s="3" t="s">
        <v>604</v>
      </c>
      <c r="C113" s="3" t="s">
        <v>1010</v>
      </c>
      <c r="D113" s="3" t="s">
        <v>364</v>
      </c>
      <c r="E113" s="3" t="s">
        <v>15</v>
      </c>
      <c r="F113" s="1">
        <v>45722</v>
      </c>
      <c r="G113" t="str">
        <f t="shared" si="2"/>
        <v>Mar -2025</v>
      </c>
      <c r="H113" s="12"/>
    </row>
    <row r="114" spans="1:8" x14ac:dyDescent="0.3">
      <c r="A114" s="2">
        <v>510127</v>
      </c>
      <c r="B114" s="3" t="s">
        <v>605</v>
      </c>
      <c r="C114" s="3" t="s">
        <v>1010</v>
      </c>
      <c r="D114" s="3" t="s">
        <v>364</v>
      </c>
      <c r="E114" s="3" t="s">
        <v>7</v>
      </c>
      <c r="F114" s="1">
        <v>45722</v>
      </c>
      <c r="G114" t="str">
        <f t="shared" si="2"/>
        <v>Mar -2025</v>
      </c>
      <c r="H114" s="12"/>
    </row>
    <row r="115" spans="1:8" x14ac:dyDescent="0.3">
      <c r="A115" s="2" t="s">
        <v>779</v>
      </c>
      <c r="B115" s="3" t="s">
        <v>777</v>
      </c>
      <c r="C115" s="3" t="s">
        <v>1011</v>
      </c>
      <c r="D115" s="3" t="s">
        <v>972</v>
      </c>
      <c r="E115" s="3" t="s">
        <v>965</v>
      </c>
      <c r="F115" s="1">
        <v>45723</v>
      </c>
      <c r="G115" t="str">
        <f t="shared" si="2"/>
        <v>Mar -2025</v>
      </c>
      <c r="H115" s="12"/>
    </row>
    <row r="116" spans="1:8" x14ac:dyDescent="0.3">
      <c r="A116" s="2">
        <v>481912</v>
      </c>
      <c r="B116" s="3" t="s">
        <v>41</v>
      </c>
      <c r="C116" s="3" t="s">
        <v>1010</v>
      </c>
      <c r="D116" s="3" t="s">
        <v>10</v>
      </c>
      <c r="E116" s="3" t="s">
        <v>11</v>
      </c>
      <c r="F116" s="1">
        <v>45726</v>
      </c>
      <c r="G116" t="str">
        <f t="shared" si="2"/>
        <v>Mar -2025</v>
      </c>
      <c r="H116" s="12"/>
    </row>
    <row r="117" spans="1:8" x14ac:dyDescent="0.3">
      <c r="A117" s="2">
        <v>506660</v>
      </c>
      <c r="B117" s="3" t="s">
        <v>606</v>
      </c>
      <c r="C117" s="3" t="s">
        <v>1010</v>
      </c>
      <c r="D117" s="3" t="s">
        <v>10</v>
      </c>
      <c r="E117" s="3" t="s">
        <v>11</v>
      </c>
      <c r="F117" s="1">
        <v>45726</v>
      </c>
      <c r="G117" t="str">
        <f t="shared" si="2"/>
        <v>Mar -2025</v>
      </c>
      <c r="H117" s="12"/>
    </row>
    <row r="118" spans="1:8" x14ac:dyDescent="0.3">
      <c r="A118" s="2">
        <v>541363</v>
      </c>
      <c r="B118" s="3" t="s">
        <v>607</v>
      </c>
      <c r="C118" s="3" t="s">
        <v>1010</v>
      </c>
      <c r="D118" s="3" t="s">
        <v>364</v>
      </c>
      <c r="E118" s="3" t="s">
        <v>7</v>
      </c>
      <c r="F118" s="1">
        <v>45726</v>
      </c>
      <c r="G118" t="str">
        <f t="shared" si="2"/>
        <v>Mar -2025</v>
      </c>
      <c r="H118" s="12"/>
    </row>
    <row r="119" spans="1:8" x14ac:dyDescent="0.3">
      <c r="A119" s="2">
        <v>541654</v>
      </c>
      <c r="B119" s="3" t="s">
        <v>608</v>
      </c>
      <c r="C119" s="3" t="s">
        <v>1010</v>
      </c>
      <c r="D119" s="3" t="s">
        <v>364</v>
      </c>
      <c r="E119" s="3" t="s">
        <v>7</v>
      </c>
      <c r="F119" s="1">
        <v>45726</v>
      </c>
      <c r="G119" t="str">
        <f t="shared" si="2"/>
        <v>Mar -2025</v>
      </c>
      <c r="H119" s="12"/>
    </row>
    <row r="120" spans="1:8" x14ac:dyDescent="0.3">
      <c r="A120" s="2">
        <v>541915</v>
      </c>
      <c r="B120" s="3" t="s">
        <v>608</v>
      </c>
      <c r="C120" s="3" t="s">
        <v>1010</v>
      </c>
      <c r="D120" s="3" t="s">
        <v>364</v>
      </c>
      <c r="E120" s="3" t="s">
        <v>7</v>
      </c>
      <c r="F120" s="1">
        <v>45726</v>
      </c>
      <c r="G120" t="str">
        <f t="shared" si="2"/>
        <v>Mar -2025</v>
      </c>
      <c r="H120" s="12"/>
    </row>
    <row r="121" spans="1:8" x14ac:dyDescent="0.3">
      <c r="A121" s="2">
        <v>541281</v>
      </c>
      <c r="B121" s="3" t="s">
        <v>609</v>
      </c>
      <c r="C121" s="3" t="s">
        <v>1010</v>
      </c>
      <c r="D121" s="3" t="s">
        <v>364</v>
      </c>
      <c r="E121" s="3" t="s">
        <v>7</v>
      </c>
      <c r="F121" s="1">
        <v>45726</v>
      </c>
      <c r="G121" t="str">
        <f t="shared" si="2"/>
        <v>Mar -2025</v>
      </c>
      <c r="H121" s="12"/>
    </row>
    <row r="122" spans="1:8" x14ac:dyDescent="0.3">
      <c r="A122" s="2">
        <v>541283</v>
      </c>
      <c r="B122" s="3" t="s">
        <v>607</v>
      </c>
      <c r="C122" s="3" t="s">
        <v>1010</v>
      </c>
      <c r="D122" s="3" t="s">
        <v>364</v>
      </c>
      <c r="E122" s="3" t="s">
        <v>7</v>
      </c>
      <c r="F122" s="1">
        <v>45726</v>
      </c>
      <c r="G122" t="str">
        <f t="shared" si="2"/>
        <v>Mar -2025</v>
      </c>
      <c r="H122" s="12"/>
    </row>
    <row r="123" spans="1:8" x14ac:dyDescent="0.3">
      <c r="A123" s="2">
        <v>541285</v>
      </c>
      <c r="B123" s="3" t="s">
        <v>610</v>
      </c>
      <c r="C123" s="3" t="s">
        <v>1010</v>
      </c>
      <c r="D123" s="3" t="s">
        <v>364</v>
      </c>
      <c r="E123" s="3" t="s">
        <v>7</v>
      </c>
      <c r="F123" s="1">
        <v>45726</v>
      </c>
      <c r="G123" t="str">
        <f t="shared" si="2"/>
        <v>Mar -2025</v>
      </c>
      <c r="H123" s="12"/>
    </row>
    <row r="124" spans="1:8" x14ac:dyDescent="0.3">
      <c r="A124" s="2">
        <v>546370</v>
      </c>
      <c r="B124" s="3" t="s">
        <v>611</v>
      </c>
      <c r="C124" s="3" t="s">
        <v>1010</v>
      </c>
      <c r="D124" s="3" t="s">
        <v>364</v>
      </c>
      <c r="E124" s="3" t="s">
        <v>7</v>
      </c>
      <c r="F124" s="1">
        <v>45727</v>
      </c>
      <c r="G124" t="str">
        <f t="shared" si="2"/>
        <v>Mar -2025</v>
      </c>
      <c r="H124" s="12"/>
    </row>
    <row r="125" spans="1:8" x14ac:dyDescent="0.3">
      <c r="A125" s="2">
        <v>546427</v>
      </c>
      <c r="B125" s="3" t="s">
        <v>612</v>
      </c>
      <c r="C125" s="3" t="s">
        <v>1010</v>
      </c>
      <c r="D125" s="3" t="s">
        <v>364</v>
      </c>
      <c r="E125" s="3" t="s">
        <v>7</v>
      </c>
      <c r="F125" s="1">
        <v>45727</v>
      </c>
      <c r="G125" t="str">
        <f t="shared" si="2"/>
        <v>Mar -2025</v>
      </c>
      <c r="H125" s="12"/>
    </row>
    <row r="126" spans="1:8" x14ac:dyDescent="0.3">
      <c r="A126" s="2">
        <v>547147</v>
      </c>
      <c r="B126" s="3" t="s">
        <v>613</v>
      </c>
      <c r="C126" s="3" t="s">
        <v>1010</v>
      </c>
      <c r="D126" s="3" t="s">
        <v>364</v>
      </c>
      <c r="E126" s="3" t="s">
        <v>7</v>
      </c>
      <c r="F126" s="1">
        <v>45727</v>
      </c>
      <c r="G126" t="str">
        <f t="shared" si="2"/>
        <v>Mar -2025</v>
      </c>
      <c r="H126" s="12"/>
    </row>
    <row r="127" spans="1:8" x14ac:dyDescent="0.3">
      <c r="A127" s="2">
        <v>550624</v>
      </c>
      <c r="B127" s="3" t="s">
        <v>614</v>
      </c>
      <c r="C127" s="3" t="s">
        <v>1010</v>
      </c>
      <c r="D127" s="3" t="s">
        <v>364</v>
      </c>
      <c r="E127" s="3" t="s">
        <v>15</v>
      </c>
      <c r="F127" s="1">
        <v>45728</v>
      </c>
      <c r="G127" t="str">
        <f t="shared" si="2"/>
        <v>Mar -2025</v>
      </c>
      <c r="H127" s="12"/>
    </row>
    <row r="128" spans="1:8" x14ac:dyDescent="0.3">
      <c r="A128" s="2">
        <v>516683</v>
      </c>
      <c r="B128" s="3" t="s">
        <v>615</v>
      </c>
      <c r="C128" s="3" t="s">
        <v>1010</v>
      </c>
      <c r="D128" s="3" t="s">
        <v>209</v>
      </c>
      <c r="E128" s="3" t="s">
        <v>11</v>
      </c>
      <c r="F128" s="1">
        <v>45729</v>
      </c>
      <c r="G128" t="str">
        <f t="shared" si="2"/>
        <v>Mar -2025</v>
      </c>
      <c r="H128" s="12"/>
    </row>
    <row r="129" spans="1:8" x14ac:dyDescent="0.3">
      <c r="A129" s="2">
        <v>559953</v>
      </c>
      <c r="B129" s="3" t="s">
        <v>616</v>
      </c>
      <c r="C129" s="3" t="s">
        <v>1010</v>
      </c>
      <c r="D129" s="3" t="s">
        <v>364</v>
      </c>
      <c r="E129" s="3" t="s">
        <v>15</v>
      </c>
      <c r="F129" s="1">
        <v>45730</v>
      </c>
      <c r="G129" t="str">
        <f t="shared" si="2"/>
        <v>Mar -2025</v>
      </c>
      <c r="H129" s="12"/>
    </row>
    <row r="130" spans="1:8" x14ac:dyDescent="0.3">
      <c r="A130" s="2">
        <v>100001642</v>
      </c>
      <c r="B130" s="3" t="s">
        <v>780</v>
      </c>
      <c r="C130" s="3" t="s">
        <v>1011</v>
      </c>
      <c r="D130" s="3" t="s">
        <v>973</v>
      </c>
      <c r="E130" s="3" t="s">
        <v>966</v>
      </c>
      <c r="F130" s="1">
        <v>45733</v>
      </c>
      <c r="G130" t="str">
        <f t="shared" ref="G130:G193" si="3">TEXT(F130,"mmm -YYYY")</f>
        <v>Mar -2025</v>
      </c>
      <c r="H130" s="12"/>
    </row>
    <row r="131" spans="1:8" x14ac:dyDescent="0.3">
      <c r="A131" s="2">
        <v>100001644</v>
      </c>
      <c r="B131" s="3" t="s">
        <v>781</v>
      </c>
      <c r="C131" s="3" t="s">
        <v>1011</v>
      </c>
      <c r="D131" s="3" t="s">
        <v>973</v>
      </c>
      <c r="E131" s="3" t="s">
        <v>966</v>
      </c>
      <c r="F131" s="1">
        <v>45733</v>
      </c>
      <c r="G131" t="str">
        <f t="shared" si="3"/>
        <v>Mar -2025</v>
      </c>
      <c r="H131" s="12"/>
    </row>
    <row r="132" spans="1:8" x14ac:dyDescent="0.3">
      <c r="A132" s="2">
        <v>100001548</v>
      </c>
      <c r="B132" s="3" t="s">
        <v>782</v>
      </c>
      <c r="C132" s="3" t="s">
        <v>1011</v>
      </c>
      <c r="D132" s="3" t="s">
        <v>973</v>
      </c>
      <c r="E132" s="3" t="s">
        <v>966</v>
      </c>
      <c r="F132" s="1">
        <v>45733</v>
      </c>
      <c r="G132" t="str">
        <f t="shared" si="3"/>
        <v>Mar -2025</v>
      </c>
      <c r="H132" s="12"/>
    </row>
    <row r="133" spans="1:8" x14ac:dyDescent="0.3">
      <c r="A133" s="2">
        <v>584900</v>
      </c>
      <c r="B133" s="3" t="s">
        <v>617</v>
      </c>
      <c r="C133" s="3" t="s">
        <v>1010</v>
      </c>
      <c r="D133" s="3" t="s">
        <v>364</v>
      </c>
      <c r="E133" s="3" t="s">
        <v>15</v>
      </c>
      <c r="F133" s="1">
        <v>45734</v>
      </c>
      <c r="G133" t="str">
        <f t="shared" si="3"/>
        <v>Mar -2025</v>
      </c>
      <c r="H133" s="12"/>
    </row>
    <row r="134" spans="1:8" x14ac:dyDescent="0.3">
      <c r="A134" s="2">
        <v>584282</v>
      </c>
      <c r="B134" s="3" t="s">
        <v>618</v>
      </c>
      <c r="C134" s="3" t="s">
        <v>1010</v>
      </c>
      <c r="D134" s="3" t="s">
        <v>364</v>
      </c>
      <c r="E134" s="3" t="s">
        <v>7</v>
      </c>
      <c r="F134" s="1">
        <v>45734</v>
      </c>
      <c r="G134" t="str">
        <f t="shared" si="3"/>
        <v>Mar -2025</v>
      </c>
      <c r="H134" s="12"/>
    </row>
    <row r="135" spans="1:8" x14ac:dyDescent="0.3">
      <c r="A135" s="2">
        <v>585030</v>
      </c>
      <c r="B135" s="3" t="s">
        <v>619</v>
      </c>
      <c r="C135" s="3" t="s">
        <v>1010</v>
      </c>
      <c r="D135" s="3" t="s">
        <v>364</v>
      </c>
      <c r="E135" s="3" t="s">
        <v>7</v>
      </c>
      <c r="F135" s="1">
        <v>45734</v>
      </c>
      <c r="G135" t="str">
        <f t="shared" si="3"/>
        <v>Mar -2025</v>
      </c>
      <c r="H135" s="12"/>
    </row>
    <row r="136" spans="1:8" x14ac:dyDescent="0.3">
      <c r="A136" s="2">
        <v>595791</v>
      </c>
      <c r="B136" s="3" t="s">
        <v>620</v>
      </c>
      <c r="C136" s="3" t="s">
        <v>1010</v>
      </c>
      <c r="D136" s="3" t="s">
        <v>364</v>
      </c>
      <c r="E136" s="3" t="s">
        <v>7</v>
      </c>
      <c r="F136" s="1">
        <v>45736</v>
      </c>
      <c r="G136" t="str">
        <f t="shared" si="3"/>
        <v>Mar -2025</v>
      </c>
      <c r="H136" s="12"/>
    </row>
    <row r="137" spans="1:8" x14ac:dyDescent="0.3">
      <c r="A137" s="2">
        <v>593012</v>
      </c>
      <c r="B137" s="3" t="s">
        <v>621</v>
      </c>
      <c r="C137" s="3" t="s">
        <v>1010</v>
      </c>
      <c r="D137" s="3" t="s">
        <v>364</v>
      </c>
      <c r="E137" s="3" t="s">
        <v>7</v>
      </c>
      <c r="F137" s="1">
        <v>45736</v>
      </c>
      <c r="G137" t="str">
        <f t="shared" si="3"/>
        <v>Mar -2025</v>
      </c>
      <c r="H137" s="12"/>
    </row>
    <row r="138" spans="1:8" x14ac:dyDescent="0.3">
      <c r="A138" s="2">
        <v>484121</v>
      </c>
      <c r="B138" s="3" t="s">
        <v>47</v>
      </c>
      <c r="C138" s="3" t="s">
        <v>1010</v>
      </c>
      <c r="D138" s="3" t="s">
        <v>10</v>
      </c>
      <c r="E138" s="3" t="s">
        <v>11</v>
      </c>
      <c r="F138" s="1">
        <v>45737</v>
      </c>
      <c r="G138" t="str">
        <f t="shared" si="3"/>
        <v>Mar -2025</v>
      </c>
      <c r="H138" s="12"/>
    </row>
    <row r="139" spans="1:8" x14ac:dyDescent="0.3">
      <c r="A139" s="2">
        <v>503605</v>
      </c>
      <c r="B139" s="3" t="s">
        <v>53</v>
      </c>
      <c r="C139" s="3" t="s">
        <v>1010</v>
      </c>
      <c r="D139" s="3" t="s">
        <v>10</v>
      </c>
      <c r="E139" s="3" t="s">
        <v>11</v>
      </c>
      <c r="F139" s="1">
        <v>45737</v>
      </c>
      <c r="G139" t="str">
        <f t="shared" si="3"/>
        <v>Mar -2025</v>
      </c>
      <c r="H139" s="12"/>
    </row>
    <row r="140" spans="1:8" x14ac:dyDescent="0.3">
      <c r="A140" s="2">
        <v>480469</v>
      </c>
      <c r="B140" s="3" t="s">
        <v>622</v>
      </c>
      <c r="C140" s="3" t="s">
        <v>1010</v>
      </c>
      <c r="D140" s="3" t="s">
        <v>364</v>
      </c>
      <c r="E140" s="3" t="s">
        <v>15</v>
      </c>
      <c r="F140" s="1">
        <v>45738</v>
      </c>
      <c r="G140" t="str">
        <f t="shared" si="3"/>
        <v>Mar -2025</v>
      </c>
      <c r="H140" s="12"/>
    </row>
    <row r="141" spans="1:8" x14ac:dyDescent="0.3">
      <c r="A141" s="2">
        <v>481025</v>
      </c>
      <c r="B141" s="3" t="s">
        <v>623</v>
      </c>
      <c r="C141" s="3" t="s">
        <v>1010</v>
      </c>
      <c r="D141" s="3" t="s">
        <v>364</v>
      </c>
      <c r="E141" s="3" t="s">
        <v>15</v>
      </c>
      <c r="F141" s="1">
        <v>45738</v>
      </c>
      <c r="G141" t="str">
        <f t="shared" si="3"/>
        <v>Mar -2025</v>
      </c>
      <c r="H141" s="12"/>
    </row>
    <row r="142" spans="1:8" x14ac:dyDescent="0.3">
      <c r="A142" s="2">
        <v>486899</v>
      </c>
      <c r="B142" s="3" t="s">
        <v>624</v>
      </c>
      <c r="C142" s="3" t="s">
        <v>1010</v>
      </c>
      <c r="D142" s="3" t="s">
        <v>364</v>
      </c>
      <c r="E142" s="3" t="s">
        <v>15</v>
      </c>
      <c r="F142" s="1">
        <v>45738</v>
      </c>
      <c r="G142" t="str">
        <f t="shared" si="3"/>
        <v>Mar -2025</v>
      </c>
      <c r="H142" s="12"/>
    </row>
    <row r="143" spans="1:8" x14ac:dyDescent="0.3">
      <c r="A143" s="2">
        <v>490397</v>
      </c>
      <c r="B143" s="3" t="s">
        <v>625</v>
      </c>
      <c r="C143" s="3" t="s">
        <v>1010</v>
      </c>
      <c r="D143" s="3" t="s">
        <v>364</v>
      </c>
      <c r="E143" s="3" t="s">
        <v>15</v>
      </c>
      <c r="F143" s="1">
        <v>45738</v>
      </c>
      <c r="G143" t="str">
        <f t="shared" si="3"/>
        <v>Mar -2025</v>
      </c>
      <c r="H143" s="12"/>
    </row>
    <row r="144" spans="1:8" x14ac:dyDescent="0.3">
      <c r="A144" s="2">
        <v>546847</v>
      </c>
      <c r="B144" s="3" t="s">
        <v>626</v>
      </c>
      <c r="C144" s="3" t="s">
        <v>1010</v>
      </c>
      <c r="D144" s="3" t="s">
        <v>364</v>
      </c>
      <c r="E144" s="3" t="s">
        <v>15</v>
      </c>
      <c r="F144" s="1">
        <v>45738</v>
      </c>
      <c r="G144" t="str">
        <f t="shared" si="3"/>
        <v>Mar -2025</v>
      </c>
      <c r="H144" s="12"/>
    </row>
    <row r="145" spans="1:8" x14ac:dyDescent="0.3">
      <c r="A145" s="2" t="s">
        <v>783</v>
      </c>
      <c r="B145" s="3" t="s">
        <v>777</v>
      </c>
      <c r="C145" s="3" t="s">
        <v>1011</v>
      </c>
      <c r="D145" s="3" t="s">
        <v>972</v>
      </c>
      <c r="E145" s="3" t="s">
        <v>965</v>
      </c>
      <c r="F145" s="1">
        <v>45738</v>
      </c>
      <c r="G145" t="str">
        <f t="shared" si="3"/>
        <v>Mar -2025</v>
      </c>
      <c r="H145" s="12"/>
    </row>
    <row r="146" spans="1:8" x14ac:dyDescent="0.3">
      <c r="A146" s="2">
        <v>615114</v>
      </c>
      <c r="B146" s="3" t="s">
        <v>627</v>
      </c>
      <c r="C146" s="3" t="s">
        <v>1010</v>
      </c>
      <c r="D146" s="3" t="s">
        <v>209</v>
      </c>
      <c r="E146" s="3" t="s">
        <v>11</v>
      </c>
      <c r="F146" s="1">
        <v>45741</v>
      </c>
      <c r="G146" t="str">
        <f t="shared" si="3"/>
        <v>Mar -2025</v>
      </c>
      <c r="H146" s="12"/>
    </row>
    <row r="147" spans="1:8" x14ac:dyDescent="0.3">
      <c r="A147" s="2">
        <v>619393</v>
      </c>
      <c r="B147" s="3" t="s">
        <v>628</v>
      </c>
      <c r="C147" s="3" t="s">
        <v>1010</v>
      </c>
      <c r="D147" s="3" t="s">
        <v>209</v>
      </c>
      <c r="E147" s="3" t="s">
        <v>11</v>
      </c>
      <c r="F147" s="1">
        <v>45741</v>
      </c>
      <c r="G147" t="str">
        <f t="shared" si="3"/>
        <v>Mar -2025</v>
      </c>
      <c r="H147" s="12"/>
    </row>
    <row r="148" spans="1:8" x14ac:dyDescent="0.3">
      <c r="A148" s="2">
        <v>618132</v>
      </c>
      <c r="B148" s="3" t="s">
        <v>629</v>
      </c>
      <c r="C148" s="3" t="s">
        <v>1010</v>
      </c>
      <c r="D148" s="3" t="s">
        <v>364</v>
      </c>
      <c r="E148" s="3" t="s">
        <v>7</v>
      </c>
      <c r="F148" s="1">
        <v>45741</v>
      </c>
      <c r="G148" t="str">
        <f t="shared" si="3"/>
        <v>Mar -2025</v>
      </c>
      <c r="H148" s="12"/>
    </row>
    <row r="149" spans="1:8" x14ac:dyDescent="0.3">
      <c r="A149" s="2">
        <v>623322</v>
      </c>
      <c r="B149" s="3" t="s">
        <v>459</v>
      </c>
      <c r="C149" s="3" t="s">
        <v>1010</v>
      </c>
      <c r="D149" s="3" t="s">
        <v>209</v>
      </c>
      <c r="E149" s="3" t="s">
        <v>11</v>
      </c>
      <c r="F149" s="1">
        <v>45742</v>
      </c>
      <c r="G149" t="str">
        <f t="shared" si="3"/>
        <v>Mar -2025</v>
      </c>
      <c r="H149" s="12"/>
    </row>
    <row r="150" spans="1:8" x14ac:dyDescent="0.3">
      <c r="A150" s="2">
        <v>482190</v>
      </c>
      <c r="B150" s="3" t="s">
        <v>630</v>
      </c>
      <c r="C150" s="3" t="s">
        <v>1010</v>
      </c>
      <c r="D150" s="3" t="s">
        <v>364</v>
      </c>
      <c r="E150" s="3" t="s">
        <v>15</v>
      </c>
      <c r="F150" s="1">
        <v>45743</v>
      </c>
      <c r="G150" t="str">
        <f t="shared" si="3"/>
        <v>Mar -2025</v>
      </c>
      <c r="H150" s="12"/>
    </row>
    <row r="151" spans="1:8" x14ac:dyDescent="0.3">
      <c r="A151" s="2">
        <v>483623</v>
      </c>
      <c r="B151" s="3" t="s">
        <v>631</v>
      </c>
      <c r="C151" s="3" t="s">
        <v>1010</v>
      </c>
      <c r="D151" s="3" t="s">
        <v>364</v>
      </c>
      <c r="E151" s="3" t="s">
        <v>15</v>
      </c>
      <c r="F151" s="1">
        <v>45743</v>
      </c>
      <c r="G151" t="str">
        <f t="shared" si="3"/>
        <v>Mar -2025</v>
      </c>
      <c r="H151" s="12"/>
    </row>
    <row r="152" spans="1:8" x14ac:dyDescent="0.3">
      <c r="A152" s="2">
        <v>615804</v>
      </c>
      <c r="B152" s="3" t="s">
        <v>632</v>
      </c>
      <c r="C152" s="3" t="s">
        <v>1010</v>
      </c>
      <c r="D152" s="3" t="s">
        <v>10</v>
      </c>
      <c r="E152" s="3" t="s">
        <v>11</v>
      </c>
      <c r="F152" s="1">
        <v>45743</v>
      </c>
      <c r="G152" t="str">
        <f t="shared" si="3"/>
        <v>Mar -2025</v>
      </c>
      <c r="H152" s="12"/>
    </row>
    <row r="153" spans="1:8" x14ac:dyDescent="0.3">
      <c r="A153" s="2">
        <v>626044</v>
      </c>
      <c r="B153" s="3" t="s">
        <v>633</v>
      </c>
      <c r="C153" s="3" t="s">
        <v>1010</v>
      </c>
      <c r="D153" s="3" t="s">
        <v>364</v>
      </c>
      <c r="E153" s="3" t="s">
        <v>15</v>
      </c>
      <c r="F153" s="1">
        <v>45743</v>
      </c>
      <c r="G153" t="str">
        <f t="shared" si="3"/>
        <v>Mar -2025</v>
      </c>
      <c r="H153" s="12"/>
    </row>
    <row r="154" spans="1:8" x14ac:dyDescent="0.3">
      <c r="A154" s="2">
        <v>626717</v>
      </c>
      <c r="B154" s="3" t="s">
        <v>634</v>
      </c>
      <c r="C154" s="3" t="s">
        <v>1010</v>
      </c>
      <c r="D154" s="3" t="s">
        <v>209</v>
      </c>
      <c r="E154" s="3" t="s">
        <v>11</v>
      </c>
      <c r="F154" s="1">
        <v>45743</v>
      </c>
      <c r="G154" t="str">
        <f t="shared" si="3"/>
        <v>Mar -2025</v>
      </c>
      <c r="H154" s="12"/>
    </row>
    <row r="155" spans="1:8" x14ac:dyDescent="0.3">
      <c r="A155" s="2">
        <v>626901</v>
      </c>
      <c r="B155" s="3" t="s">
        <v>634</v>
      </c>
      <c r="C155" s="3" t="s">
        <v>1010</v>
      </c>
      <c r="D155" s="3" t="s">
        <v>209</v>
      </c>
      <c r="E155" s="3" t="s">
        <v>11</v>
      </c>
      <c r="F155" s="1">
        <v>45743</v>
      </c>
      <c r="G155" t="str">
        <f t="shared" si="3"/>
        <v>Mar -2025</v>
      </c>
      <c r="H155" s="12"/>
    </row>
    <row r="156" spans="1:8" x14ac:dyDescent="0.3">
      <c r="A156" s="2" t="s">
        <v>784</v>
      </c>
      <c r="B156" s="3" t="s">
        <v>777</v>
      </c>
      <c r="C156" s="3" t="s">
        <v>1011</v>
      </c>
      <c r="D156" s="3" t="s">
        <v>972</v>
      </c>
      <c r="E156" s="3" t="s">
        <v>965</v>
      </c>
      <c r="F156" s="1">
        <v>45743</v>
      </c>
      <c r="G156" t="str">
        <f t="shared" si="3"/>
        <v>Mar -2025</v>
      </c>
      <c r="H156" s="12"/>
    </row>
    <row r="157" spans="1:8" x14ac:dyDescent="0.3">
      <c r="A157" s="2">
        <v>599903</v>
      </c>
      <c r="B157" s="3" t="s">
        <v>635</v>
      </c>
      <c r="C157" s="3" t="s">
        <v>1010</v>
      </c>
      <c r="D157" s="3" t="s">
        <v>364</v>
      </c>
      <c r="E157" s="3" t="s">
        <v>15</v>
      </c>
      <c r="F157" s="1">
        <v>45748</v>
      </c>
      <c r="G157" t="str">
        <f t="shared" si="3"/>
        <v>Apr -2025</v>
      </c>
      <c r="H157" s="12"/>
    </row>
    <row r="158" spans="1:8" x14ac:dyDescent="0.3">
      <c r="A158" s="2">
        <v>600044</v>
      </c>
      <c r="B158" s="3" t="s">
        <v>636</v>
      </c>
      <c r="C158" s="3" t="s">
        <v>1010</v>
      </c>
      <c r="D158" s="3" t="s">
        <v>364</v>
      </c>
      <c r="E158" s="3" t="s">
        <v>15</v>
      </c>
      <c r="F158" s="1">
        <v>45748</v>
      </c>
      <c r="G158" t="str">
        <f t="shared" si="3"/>
        <v>Apr -2025</v>
      </c>
      <c r="H158" s="12"/>
    </row>
    <row r="159" spans="1:8" x14ac:dyDescent="0.3">
      <c r="A159" s="2">
        <v>614202</v>
      </c>
      <c r="B159" s="3" t="s">
        <v>637</v>
      </c>
      <c r="C159" s="3" t="s">
        <v>1010</v>
      </c>
      <c r="D159" s="3" t="s">
        <v>364</v>
      </c>
      <c r="E159" s="3" t="s">
        <v>15</v>
      </c>
      <c r="F159" s="1">
        <v>45748</v>
      </c>
      <c r="G159" t="str">
        <f t="shared" si="3"/>
        <v>Apr -2025</v>
      </c>
      <c r="H159" s="12"/>
    </row>
    <row r="160" spans="1:8" x14ac:dyDescent="0.3">
      <c r="A160" s="2">
        <v>644744</v>
      </c>
      <c r="B160" s="3" t="s">
        <v>638</v>
      </c>
      <c r="C160" s="3" t="s">
        <v>1010</v>
      </c>
      <c r="D160" s="3" t="s">
        <v>364</v>
      </c>
      <c r="E160" s="3" t="s">
        <v>15</v>
      </c>
      <c r="F160" s="1">
        <v>45748</v>
      </c>
      <c r="G160" t="str">
        <f t="shared" si="3"/>
        <v>Apr -2025</v>
      </c>
      <c r="H160" s="12"/>
    </row>
    <row r="161" spans="1:8" x14ac:dyDescent="0.3">
      <c r="A161" s="2">
        <v>644914</v>
      </c>
      <c r="B161" s="3" t="s">
        <v>638</v>
      </c>
      <c r="C161" s="3" t="s">
        <v>1010</v>
      </c>
      <c r="D161" s="3" t="s">
        <v>364</v>
      </c>
      <c r="E161" s="3" t="s">
        <v>15</v>
      </c>
      <c r="F161" s="1">
        <v>45748</v>
      </c>
      <c r="G161" t="str">
        <f t="shared" si="3"/>
        <v>Apr -2025</v>
      </c>
      <c r="H161" s="12"/>
    </row>
    <row r="162" spans="1:8" x14ac:dyDescent="0.3">
      <c r="A162" s="2">
        <v>645366</v>
      </c>
      <c r="B162" s="3" t="s">
        <v>639</v>
      </c>
      <c r="C162" s="3" t="s">
        <v>1010</v>
      </c>
      <c r="D162" s="3" t="s">
        <v>209</v>
      </c>
      <c r="E162" s="3" t="s">
        <v>11</v>
      </c>
      <c r="F162" s="1">
        <v>45748</v>
      </c>
      <c r="G162" t="str">
        <f t="shared" si="3"/>
        <v>Apr -2025</v>
      </c>
      <c r="H162" s="12"/>
    </row>
    <row r="163" spans="1:8" x14ac:dyDescent="0.3">
      <c r="A163" s="2">
        <v>516576</v>
      </c>
      <c r="B163" s="3" t="s">
        <v>640</v>
      </c>
      <c r="C163" s="3" t="s">
        <v>1010</v>
      </c>
      <c r="D163" s="3" t="s">
        <v>364</v>
      </c>
      <c r="E163" s="3" t="s">
        <v>15</v>
      </c>
      <c r="F163" s="1">
        <v>45749</v>
      </c>
      <c r="G163" t="str">
        <f t="shared" si="3"/>
        <v>Apr -2025</v>
      </c>
      <c r="H163" s="12"/>
    </row>
    <row r="164" spans="1:8" x14ac:dyDescent="0.3">
      <c r="A164" s="2">
        <v>614848</v>
      </c>
      <c r="B164" s="3" t="s">
        <v>641</v>
      </c>
      <c r="C164" s="3" t="s">
        <v>1010</v>
      </c>
      <c r="D164" s="3" t="s">
        <v>364</v>
      </c>
      <c r="E164" s="3" t="s">
        <v>15</v>
      </c>
      <c r="F164" s="1">
        <v>45749</v>
      </c>
      <c r="G164" t="str">
        <f t="shared" si="3"/>
        <v>Apr -2025</v>
      </c>
      <c r="H164" s="12"/>
    </row>
    <row r="165" spans="1:8" x14ac:dyDescent="0.3">
      <c r="A165" s="2">
        <v>649730</v>
      </c>
      <c r="B165" s="3" t="s">
        <v>642</v>
      </c>
      <c r="C165" s="3" t="s">
        <v>1010</v>
      </c>
      <c r="D165" s="3" t="s">
        <v>364</v>
      </c>
      <c r="E165" s="3" t="s">
        <v>7</v>
      </c>
      <c r="F165" s="1">
        <v>45749</v>
      </c>
      <c r="G165" t="str">
        <f t="shared" si="3"/>
        <v>Apr -2025</v>
      </c>
      <c r="H165" s="12"/>
    </row>
    <row r="166" spans="1:8" x14ac:dyDescent="0.3">
      <c r="A166" s="2">
        <v>649868</v>
      </c>
      <c r="B166" s="3" t="s">
        <v>643</v>
      </c>
      <c r="C166" s="3" t="s">
        <v>1010</v>
      </c>
      <c r="D166" s="3" t="s">
        <v>364</v>
      </c>
      <c r="E166" s="3" t="s">
        <v>7</v>
      </c>
      <c r="F166" s="1">
        <v>45749</v>
      </c>
      <c r="G166" t="str">
        <f t="shared" si="3"/>
        <v>Apr -2025</v>
      </c>
      <c r="H166" s="12"/>
    </row>
    <row r="167" spans="1:8" x14ac:dyDescent="0.3">
      <c r="A167" s="2">
        <v>100001884</v>
      </c>
      <c r="B167" s="3" t="s">
        <v>785</v>
      </c>
      <c r="C167" s="3" t="s">
        <v>1011</v>
      </c>
      <c r="D167" s="3" t="s">
        <v>973</v>
      </c>
      <c r="E167" s="3" t="s">
        <v>966</v>
      </c>
      <c r="F167" s="1">
        <v>45749</v>
      </c>
      <c r="G167" t="str">
        <f t="shared" si="3"/>
        <v>Apr -2025</v>
      </c>
      <c r="H167" s="12"/>
    </row>
    <row r="168" spans="1:8" x14ac:dyDescent="0.3">
      <c r="A168" s="2">
        <v>100001883</v>
      </c>
      <c r="B168" s="3" t="s">
        <v>785</v>
      </c>
      <c r="C168" s="3" t="s">
        <v>1011</v>
      </c>
      <c r="D168" s="3" t="s">
        <v>973</v>
      </c>
      <c r="E168" s="3" t="s">
        <v>966</v>
      </c>
      <c r="F168" s="1">
        <v>45749</v>
      </c>
      <c r="G168" t="str">
        <f t="shared" si="3"/>
        <v>Apr -2025</v>
      </c>
      <c r="H168" s="12"/>
    </row>
    <row r="169" spans="1:8" x14ac:dyDescent="0.3">
      <c r="A169" s="2">
        <v>593504</v>
      </c>
      <c r="B169" s="3" t="s">
        <v>644</v>
      </c>
      <c r="C169" s="3" t="s">
        <v>1010</v>
      </c>
      <c r="D169" s="3" t="s">
        <v>364</v>
      </c>
      <c r="E169" s="3" t="s">
        <v>15</v>
      </c>
      <c r="F169" s="1">
        <v>45751</v>
      </c>
      <c r="G169" t="str">
        <f t="shared" si="3"/>
        <v>Apr -2025</v>
      </c>
      <c r="H169" s="12"/>
    </row>
    <row r="170" spans="1:8" x14ac:dyDescent="0.3">
      <c r="A170" s="2">
        <v>660683</v>
      </c>
      <c r="B170" s="3" t="s">
        <v>645</v>
      </c>
      <c r="C170" s="3" t="s">
        <v>1010</v>
      </c>
      <c r="D170" s="3" t="s">
        <v>364</v>
      </c>
      <c r="E170" s="3" t="s">
        <v>7</v>
      </c>
      <c r="F170" s="1">
        <v>45751</v>
      </c>
      <c r="G170" t="str">
        <f t="shared" si="3"/>
        <v>Apr -2025</v>
      </c>
      <c r="H170" s="12"/>
    </row>
    <row r="171" spans="1:8" x14ac:dyDescent="0.3">
      <c r="A171" s="2" t="s">
        <v>786</v>
      </c>
      <c r="B171" s="3" t="s">
        <v>777</v>
      </c>
      <c r="C171" s="3" t="s">
        <v>1011</v>
      </c>
      <c r="D171" s="3" t="s">
        <v>972</v>
      </c>
      <c r="E171" s="3" t="s">
        <v>965</v>
      </c>
      <c r="F171" s="1">
        <v>45751</v>
      </c>
      <c r="G171" t="str">
        <f t="shared" si="3"/>
        <v>Apr -2025</v>
      </c>
      <c r="H171" s="12"/>
    </row>
    <row r="172" spans="1:8" x14ac:dyDescent="0.3">
      <c r="A172" s="2">
        <v>500359</v>
      </c>
      <c r="B172" s="3" t="s">
        <v>646</v>
      </c>
      <c r="C172" s="3" t="s">
        <v>1010</v>
      </c>
      <c r="D172" s="3" t="s">
        <v>364</v>
      </c>
      <c r="E172" s="3" t="s">
        <v>15</v>
      </c>
      <c r="F172" s="1">
        <v>45754</v>
      </c>
      <c r="G172" t="str">
        <f t="shared" si="3"/>
        <v>Apr -2025</v>
      </c>
      <c r="H172" s="12"/>
    </row>
    <row r="173" spans="1:8" x14ac:dyDescent="0.3">
      <c r="A173" s="2">
        <v>593539</v>
      </c>
      <c r="B173" s="3" t="s">
        <v>647</v>
      </c>
      <c r="C173" s="3" t="s">
        <v>1010</v>
      </c>
      <c r="D173" s="3" t="s">
        <v>364</v>
      </c>
      <c r="E173" s="3" t="s">
        <v>15</v>
      </c>
      <c r="F173" s="1">
        <v>45754</v>
      </c>
      <c r="G173" t="str">
        <f t="shared" si="3"/>
        <v>Apr -2025</v>
      </c>
      <c r="H173" s="12"/>
    </row>
    <row r="174" spans="1:8" x14ac:dyDescent="0.3">
      <c r="A174" s="2">
        <v>607656</v>
      </c>
      <c r="B174" s="3" t="s">
        <v>648</v>
      </c>
      <c r="C174" s="3" t="s">
        <v>1010</v>
      </c>
      <c r="D174" s="3" t="s">
        <v>364</v>
      </c>
      <c r="E174" s="3" t="s">
        <v>15</v>
      </c>
      <c r="F174" s="1">
        <v>45754</v>
      </c>
      <c r="G174" t="str">
        <f t="shared" si="3"/>
        <v>Apr -2025</v>
      </c>
      <c r="H174" s="12"/>
    </row>
    <row r="175" spans="1:8" x14ac:dyDescent="0.3">
      <c r="A175" s="2">
        <v>607657</v>
      </c>
      <c r="B175" s="3" t="s">
        <v>649</v>
      </c>
      <c r="C175" s="3" t="s">
        <v>1010</v>
      </c>
      <c r="D175" s="3" t="s">
        <v>364</v>
      </c>
      <c r="E175" s="3" t="s">
        <v>15</v>
      </c>
      <c r="F175" s="1">
        <v>45754</v>
      </c>
      <c r="G175" t="str">
        <f t="shared" si="3"/>
        <v>Apr -2025</v>
      </c>
      <c r="H175" s="12"/>
    </row>
    <row r="176" spans="1:8" x14ac:dyDescent="0.3">
      <c r="A176" s="2">
        <v>619386</v>
      </c>
      <c r="B176" s="3" t="s">
        <v>650</v>
      </c>
      <c r="C176" s="3" t="s">
        <v>1010</v>
      </c>
      <c r="D176" s="3" t="s">
        <v>364</v>
      </c>
      <c r="E176" s="3" t="s">
        <v>15</v>
      </c>
      <c r="F176" s="1">
        <v>45754</v>
      </c>
      <c r="G176" t="str">
        <f t="shared" si="3"/>
        <v>Apr -2025</v>
      </c>
      <c r="H176" s="12"/>
    </row>
    <row r="177" spans="1:8" x14ac:dyDescent="0.3">
      <c r="A177" s="2" t="s">
        <v>787</v>
      </c>
      <c r="B177" s="3" t="s">
        <v>777</v>
      </c>
      <c r="C177" s="3" t="s">
        <v>1011</v>
      </c>
      <c r="D177" s="3" t="s">
        <v>972</v>
      </c>
      <c r="E177" s="3" t="s">
        <v>965</v>
      </c>
      <c r="F177" s="1">
        <v>45754</v>
      </c>
      <c r="G177" t="str">
        <f t="shared" si="3"/>
        <v>Apr -2025</v>
      </c>
      <c r="H177" s="12"/>
    </row>
    <row r="178" spans="1:8" x14ac:dyDescent="0.3">
      <c r="A178" s="2">
        <v>100001930</v>
      </c>
      <c r="B178" s="3" t="s">
        <v>788</v>
      </c>
      <c r="C178" s="3" t="s">
        <v>1011</v>
      </c>
      <c r="D178" s="3" t="s">
        <v>972</v>
      </c>
      <c r="E178" s="3" t="s">
        <v>967</v>
      </c>
      <c r="F178" s="1">
        <v>45754</v>
      </c>
      <c r="G178" t="str">
        <f t="shared" si="3"/>
        <v>Apr -2025</v>
      </c>
      <c r="H178" s="12"/>
    </row>
    <row r="179" spans="1:8" x14ac:dyDescent="0.3">
      <c r="A179" s="2">
        <v>100001901</v>
      </c>
      <c r="B179" s="3" t="s">
        <v>789</v>
      </c>
      <c r="C179" s="3" t="s">
        <v>1011</v>
      </c>
      <c r="D179" s="3" t="s">
        <v>972</v>
      </c>
      <c r="E179" s="3" t="s">
        <v>967</v>
      </c>
      <c r="F179" s="1">
        <v>45754</v>
      </c>
      <c r="G179" t="str">
        <f t="shared" si="3"/>
        <v>Apr -2025</v>
      </c>
      <c r="H179" s="12"/>
    </row>
    <row r="180" spans="1:8" x14ac:dyDescent="0.3">
      <c r="A180" s="2">
        <v>100001912</v>
      </c>
      <c r="B180" s="3" t="s">
        <v>790</v>
      </c>
      <c r="C180" s="3" t="s">
        <v>1011</v>
      </c>
      <c r="D180" s="3" t="s">
        <v>973</v>
      </c>
      <c r="E180" s="3" t="s">
        <v>966</v>
      </c>
      <c r="F180" s="1">
        <v>45754</v>
      </c>
      <c r="G180" t="str">
        <f t="shared" si="3"/>
        <v>Apr -2025</v>
      </c>
      <c r="H180" s="12"/>
    </row>
    <row r="181" spans="1:8" x14ac:dyDescent="0.3">
      <c r="A181" s="2">
        <v>619439</v>
      </c>
      <c r="B181" s="3" t="s">
        <v>650</v>
      </c>
      <c r="C181" s="3" t="s">
        <v>1010</v>
      </c>
      <c r="D181" s="3" t="s">
        <v>364</v>
      </c>
      <c r="E181" s="3" t="s">
        <v>15</v>
      </c>
      <c r="F181" s="1">
        <v>45755</v>
      </c>
      <c r="G181" t="str">
        <f t="shared" si="3"/>
        <v>Apr -2025</v>
      </c>
      <c r="H181" s="12"/>
    </row>
    <row r="182" spans="1:8" x14ac:dyDescent="0.3">
      <c r="A182" s="2">
        <v>619525</v>
      </c>
      <c r="B182" s="3" t="s">
        <v>650</v>
      </c>
      <c r="C182" s="3" t="s">
        <v>1010</v>
      </c>
      <c r="D182" s="3" t="s">
        <v>364</v>
      </c>
      <c r="E182" s="3" t="s">
        <v>15</v>
      </c>
      <c r="F182" s="1">
        <v>45755</v>
      </c>
      <c r="G182" t="str">
        <f t="shared" si="3"/>
        <v>Apr -2025</v>
      </c>
      <c r="H182" s="12"/>
    </row>
    <row r="183" spans="1:8" x14ac:dyDescent="0.3">
      <c r="A183" s="2">
        <v>626235</v>
      </c>
      <c r="B183" s="3" t="s">
        <v>651</v>
      </c>
      <c r="C183" s="3" t="s">
        <v>1010</v>
      </c>
      <c r="D183" s="3" t="s">
        <v>364</v>
      </c>
      <c r="E183" s="3" t="s">
        <v>15</v>
      </c>
      <c r="F183" s="1">
        <v>45755</v>
      </c>
      <c r="G183" t="str">
        <f t="shared" si="3"/>
        <v>Apr -2025</v>
      </c>
      <c r="H183" s="12"/>
    </row>
    <row r="184" spans="1:8" x14ac:dyDescent="0.3">
      <c r="A184" s="2">
        <v>626306</v>
      </c>
      <c r="B184" s="3" t="s">
        <v>651</v>
      </c>
      <c r="C184" s="3" t="s">
        <v>1010</v>
      </c>
      <c r="D184" s="3" t="s">
        <v>364</v>
      </c>
      <c r="E184" s="3" t="s">
        <v>15</v>
      </c>
      <c r="F184" s="1">
        <v>45755</v>
      </c>
      <c r="G184" t="str">
        <f t="shared" si="3"/>
        <v>Apr -2025</v>
      </c>
      <c r="H184" s="12"/>
    </row>
    <row r="185" spans="1:8" x14ac:dyDescent="0.3">
      <c r="A185" s="2">
        <v>626375</v>
      </c>
      <c r="B185" s="3" t="s">
        <v>651</v>
      </c>
      <c r="C185" s="3" t="s">
        <v>1010</v>
      </c>
      <c r="D185" s="3" t="s">
        <v>364</v>
      </c>
      <c r="E185" s="3" t="s">
        <v>15</v>
      </c>
      <c r="F185" s="1">
        <v>45755</v>
      </c>
      <c r="G185" t="str">
        <f t="shared" si="3"/>
        <v>Apr -2025</v>
      </c>
      <c r="H185" s="12"/>
    </row>
    <row r="186" spans="1:8" x14ac:dyDescent="0.3">
      <c r="A186" s="2">
        <v>626792</v>
      </c>
      <c r="B186" s="3" t="s">
        <v>651</v>
      </c>
      <c r="C186" s="3" t="s">
        <v>1010</v>
      </c>
      <c r="D186" s="3" t="s">
        <v>364</v>
      </c>
      <c r="E186" s="3" t="s">
        <v>15</v>
      </c>
      <c r="F186" s="1">
        <v>45755</v>
      </c>
      <c r="G186" t="str">
        <f t="shared" si="3"/>
        <v>Apr -2025</v>
      </c>
      <c r="H186" s="12"/>
    </row>
    <row r="187" spans="1:8" x14ac:dyDescent="0.3">
      <c r="A187" s="2">
        <v>100001869</v>
      </c>
      <c r="B187" s="3" t="s">
        <v>791</v>
      </c>
      <c r="C187" s="3" t="s">
        <v>1011</v>
      </c>
      <c r="D187" s="3" t="s">
        <v>972</v>
      </c>
      <c r="E187" s="3" t="s">
        <v>967</v>
      </c>
      <c r="F187" s="1">
        <v>45755</v>
      </c>
      <c r="G187" t="str">
        <f t="shared" si="3"/>
        <v>Apr -2025</v>
      </c>
      <c r="H187" s="12"/>
    </row>
    <row r="188" spans="1:8" x14ac:dyDescent="0.3">
      <c r="A188" s="2">
        <v>100001921</v>
      </c>
      <c r="B188" s="3" t="s">
        <v>792</v>
      </c>
      <c r="C188" s="3" t="s">
        <v>1011</v>
      </c>
      <c r="D188" s="3" t="s">
        <v>972</v>
      </c>
      <c r="E188" s="3" t="s">
        <v>967</v>
      </c>
      <c r="F188" s="1">
        <v>45755</v>
      </c>
      <c r="G188" t="str">
        <f t="shared" si="3"/>
        <v>Apr -2025</v>
      </c>
      <c r="H188" s="12"/>
    </row>
    <row r="189" spans="1:8" x14ac:dyDescent="0.3">
      <c r="A189" s="2">
        <v>683097</v>
      </c>
      <c r="B189" s="3" t="s">
        <v>652</v>
      </c>
      <c r="C189" s="3" t="s">
        <v>1010</v>
      </c>
      <c r="D189" s="3" t="s">
        <v>364</v>
      </c>
      <c r="E189" s="3" t="s">
        <v>7</v>
      </c>
      <c r="F189" s="1">
        <v>45756</v>
      </c>
      <c r="G189" t="str">
        <f t="shared" si="3"/>
        <v>Apr -2025</v>
      </c>
      <c r="H189" s="12"/>
    </row>
    <row r="190" spans="1:8" x14ac:dyDescent="0.3">
      <c r="A190" s="2">
        <v>100002074</v>
      </c>
      <c r="B190" s="3" t="s">
        <v>793</v>
      </c>
      <c r="C190" s="3" t="s">
        <v>1011</v>
      </c>
      <c r="D190" s="3" t="s">
        <v>973</v>
      </c>
      <c r="E190" s="3" t="s">
        <v>966</v>
      </c>
      <c r="F190" s="1">
        <v>45756</v>
      </c>
      <c r="G190" t="str">
        <f t="shared" si="3"/>
        <v>Apr -2025</v>
      </c>
      <c r="H190" s="12"/>
    </row>
    <row r="191" spans="1:8" x14ac:dyDescent="0.3">
      <c r="A191" s="2">
        <v>100002071</v>
      </c>
      <c r="B191" s="3" t="s">
        <v>794</v>
      </c>
      <c r="C191" s="3" t="s">
        <v>1011</v>
      </c>
      <c r="D191" s="3" t="s">
        <v>973</v>
      </c>
      <c r="E191" s="3" t="s">
        <v>966</v>
      </c>
      <c r="F191" s="1">
        <v>45756</v>
      </c>
      <c r="G191" t="str">
        <f t="shared" si="3"/>
        <v>Apr -2025</v>
      </c>
      <c r="H191" s="12"/>
    </row>
    <row r="192" spans="1:8" x14ac:dyDescent="0.3">
      <c r="A192" s="2">
        <v>100002039</v>
      </c>
      <c r="B192" s="3" t="s">
        <v>795</v>
      </c>
      <c r="C192" s="3" t="s">
        <v>1011</v>
      </c>
      <c r="D192" s="3" t="s">
        <v>973</v>
      </c>
      <c r="E192" s="3" t="s">
        <v>966</v>
      </c>
      <c r="F192" s="1">
        <v>45756</v>
      </c>
      <c r="G192" t="str">
        <f t="shared" si="3"/>
        <v>Apr -2025</v>
      </c>
      <c r="H192" s="12"/>
    </row>
    <row r="193" spans="1:8" x14ac:dyDescent="0.3">
      <c r="A193" s="2">
        <v>618804</v>
      </c>
      <c r="B193" s="3" t="s">
        <v>653</v>
      </c>
      <c r="C193" s="3" t="s">
        <v>1010</v>
      </c>
      <c r="D193" s="3" t="s">
        <v>209</v>
      </c>
      <c r="E193" s="3" t="s">
        <v>11</v>
      </c>
      <c r="F193" s="1">
        <v>45757</v>
      </c>
      <c r="G193" t="str">
        <f t="shared" si="3"/>
        <v>Apr -2025</v>
      </c>
      <c r="H193" s="12"/>
    </row>
    <row r="194" spans="1:8" x14ac:dyDescent="0.3">
      <c r="A194" s="2">
        <v>618805</v>
      </c>
      <c r="B194" s="3" t="s">
        <v>653</v>
      </c>
      <c r="C194" s="3" t="s">
        <v>1010</v>
      </c>
      <c r="D194" s="3" t="s">
        <v>209</v>
      </c>
      <c r="E194" s="3" t="s">
        <v>11</v>
      </c>
      <c r="F194" s="1">
        <v>45757</v>
      </c>
      <c r="G194" t="str">
        <f t="shared" ref="G194:G257" si="4">TEXT(F194,"mmm -YYYY")</f>
        <v>Apr -2025</v>
      </c>
      <c r="H194" s="12"/>
    </row>
    <row r="195" spans="1:8" x14ac:dyDescent="0.3">
      <c r="A195" s="2">
        <v>623293</v>
      </c>
      <c r="B195" s="3" t="s">
        <v>654</v>
      </c>
      <c r="C195" s="3" t="s">
        <v>1010</v>
      </c>
      <c r="D195" s="3" t="s">
        <v>364</v>
      </c>
      <c r="E195" s="3" t="s">
        <v>15</v>
      </c>
      <c r="F195" s="1">
        <v>45757</v>
      </c>
      <c r="G195" t="str">
        <f t="shared" si="4"/>
        <v>Apr -2025</v>
      </c>
      <c r="H195" s="12"/>
    </row>
    <row r="196" spans="1:8" x14ac:dyDescent="0.3">
      <c r="A196" s="2">
        <v>640414</v>
      </c>
      <c r="B196" s="3" t="s">
        <v>655</v>
      </c>
      <c r="C196" s="3" t="s">
        <v>1010</v>
      </c>
      <c r="D196" s="3" t="s">
        <v>209</v>
      </c>
      <c r="E196" s="3" t="s">
        <v>11</v>
      </c>
      <c r="F196" s="1">
        <v>45757</v>
      </c>
      <c r="G196" t="str">
        <f t="shared" si="4"/>
        <v>Apr -2025</v>
      </c>
      <c r="H196" s="12"/>
    </row>
    <row r="197" spans="1:8" x14ac:dyDescent="0.3">
      <c r="A197" s="2">
        <v>684537</v>
      </c>
      <c r="B197" s="3" t="s">
        <v>656</v>
      </c>
      <c r="C197" s="3" t="s">
        <v>1010</v>
      </c>
      <c r="D197" s="3" t="s">
        <v>209</v>
      </c>
      <c r="E197" s="3" t="s">
        <v>11</v>
      </c>
      <c r="F197" s="1">
        <v>45757</v>
      </c>
      <c r="G197" t="str">
        <f t="shared" si="4"/>
        <v>Apr -2025</v>
      </c>
      <c r="H197" s="12"/>
    </row>
    <row r="198" spans="1:8" x14ac:dyDescent="0.3">
      <c r="A198" s="2">
        <v>100002052</v>
      </c>
      <c r="B198" s="3" t="s">
        <v>796</v>
      </c>
      <c r="C198" s="3" t="s">
        <v>1011</v>
      </c>
      <c r="D198" s="3" t="s">
        <v>972</v>
      </c>
      <c r="E198" s="3" t="s">
        <v>966</v>
      </c>
      <c r="F198" s="1">
        <v>45758</v>
      </c>
      <c r="G198" t="str">
        <f t="shared" si="4"/>
        <v>Apr -2025</v>
      </c>
      <c r="H198" s="12"/>
    </row>
    <row r="199" spans="1:8" x14ac:dyDescent="0.3">
      <c r="A199" s="2">
        <v>100002106</v>
      </c>
      <c r="B199" s="3" t="s">
        <v>797</v>
      </c>
      <c r="C199" s="3" t="s">
        <v>1011</v>
      </c>
      <c r="D199" s="3" t="s">
        <v>973</v>
      </c>
      <c r="E199" s="3" t="s">
        <v>966</v>
      </c>
      <c r="F199" s="1">
        <v>45758</v>
      </c>
      <c r="G199" t="str">
        <f t="shared" si="4"/>
        <v>Apr -2025</v>
      </c>
      <c r="H199" s="12"/>
    </row>
    <row r="200" spans="1:8" x14ac:dyDescent="0.3">
      <c r="A200" s="2">
        <v>672868</v>
      </c>
      <c r="B200" s="3" t="s">
        <v>657</v>
      </c>
      <c r="C200" s="3" t="s">
        <v>1010</v>
      </c>
      <c r="D200" s="3" t="s">
        <v>1259</v>
      </c>
      <c r="E200" s="3" t="s">
        <v>15</v>
      </c>
      <c r="F200" s="1">
        <v>45761</v>
      </c>
      <c r="G200" t="str">
        <f t="shared" si="4"/>
        <v>Apr -2025</v>
      </c>
      <c r="H200" s="12"/>
    </row>
    <row r="201" spans="1:8" x14ac:dyDescent="0.3">
      <c r="A201" s="2">
        <v>672946</v>
      </c>
      <c r="B201" s="3" t="s">
        <v>658</v>
      </c>
      <c r="C201" s="3" t="s">
        <v>1010</v>
      </c>
      <c r="D201" s="3" t="s">
        <v>1259</v>
      </c>
      <c r="E201" s="3" t="s">
        <v>15</v>
      </c>
      <c r="F201" s="1">
        <v>45761</v>
      </c>
      <c r="G201" t="str">
        <f t="shared" si="4"/>
        <v>Apr -2025</v>
      </c>
      <c r="H201" s="12"/>
    </row>
    <row r="202" spans="1:8" x14ac:dyDescent="0.3">
      <c r="A202" s="2">
        <v>683766</v>
      </c>
      <c r="B202" s="3" t="s">
        <v>659</v>
      </c>
      <c r="C202" s="3" t="s">
        <v>1010</v>
      </c>
      <c r="D202" s="3" t="s">
        <v>1259</v>
      </c>
      <c r="E202" s="3" t="s">
        <v>15</v>
      </c>
      <c r="F202" s="1">
        <v>45761</v>
      </c>
      <c r="G202" t="str">
        <f t="shared" si="4"/>
        <v>Apr -2025</v>
      </c>
      <c r="H202" s="12"/>
    </row>
    <row r="203" spans="1:8" x14ac:dyDescent="0.3">
      <c r="A203" s="2">
        <v>100002018</v>
      </c>
      <c r="B203" s="3" t="s">
        <v>798</v>
      </c>
      <c r="C203" s="3" t="s">
        <v>1011</v>
      </c>
      <c r="D203" s="3" t="s">
        <v>973</v>
      </c>
      <c r="E203" s="3" t="s">
        <v>966</v>
      </c>
      <c r="F203" s="1">
        <v>45761</v>
      </c>
      <c r="G203" t="str">
        <f t="shared" si="4"/>
        <v>Apr -2025</v>
      </c>
      <c r="H203" s="12"/>
    </row>
    <row r="204" spans="1:8" x14ac:dyDescent="0.3">
      <c r="A204" s="2">
        <v>631616</v>
      </c>
      <c r="B204" s="3" t="s">
        <v>660</v>
      </c>
      <c r="C204" s="3" t="s">
        <v>1010</v>
      </c>
      <c r="D204" s="3" t="s">
        <v>364</v>
      </c>
      <c r="E204" s="3" t="s">
        <v>15</v>
      </c>
      <c r="F204" s="1">
        <v>45762</v>
      </c>
      <c r="G204" t="str">
        <f t="shared" si="4"/>
        <v>Apr -2025</v>
      </c>
      <c r="H204" s="12"/>
    </row>
    <row r="205" spans="1:8" x14ac:dyDescent="0.3">
      <c r="A205" s="2">
        <v>688230</v>
      </c>
      <c r="B205" s="3" t="s">
        <v>41</v>
      </c>
      <c r="C205" s="3" t="s">
        <v>1010</v>
      </c>
      <c r="D205" s="3" t="s">
        <v>10</v>
      </c>
      <c r="E205" s="3" t="s">
        <v>11</v>
      </c>
      <c r="F205" s="1">
        <v>45763</v>
      </c>
      <c r="G205" t="str">
        <f t="shared" si="4"/>
        <v>Apr -2025</v>
      </c>
      <c r="H205" s="12"/>
    </row>
    <row r="206" spans="1:8" x14ac:dyDescent="0.3">
      <c r="A206" s="2">
        <v>695957</v>
      </c>
      <c r="B206" s="3" t="s">
        <v>661</v>
      </c>
      <c r="C206" s="3" t="s">
        <v>1010</v>
      </c>
      <c r="D206" s="3" t="s">
        <v>10</v>
      </c>
      <c r="E206" s="3" t="s">
        <v>11</v>
      </c>
      <c r="F206" s="1">
        <v>45763</v>
      </c>
      <c r="G206" t="str">
        <f t="shared" si="4"/>
        <v>Apr -2025</v>
      </c>
      <c r="H206" s="12"/>
    </row>
    <row r="207" spans="1:8" x14ac:dyDescent="0.3">
      <c r="A207" s="2">
        <v>697078</v>
      </c>
      <c r="B207" s="3" t="s">
        <v>662</v>
      </c>
      <c r="C207" s="3" t="s">
        <v>1010</v>
      </c>
      <c r="D207" s="3" t="s">
        <v>10</v>
      </c>
      <c r="E207" s="3" t="s">
        <v>11</v>
      </c>
      <c r="F207" s="1">
        <v>45763</v>
      </c>
      <c r="G207" t="str">
        <f t="shared" si="4"/>
        <v>Apr -2025</v>
      </c>
      <c r="H207" s="12"/>
    </row>
    <row r="208" spans="1:8" x14ac:dyDescent="0.3">
      <c r="A208" s="2">
        <v>100002191</v>
      </c>
      <c r="B208" s="3" t="s">
        <v>799</v>
      </c>
      <c r="C208" s="3" t="s">
        <v>1011</v>
      </c>
      <c r="D208" s="3" t="s">
        <v>972</v>
      </c>
      <c r="E208" s="3" t="s">
        <v>968</v>
      </c>
      <c r="F208" s="1">
        <v>45768</v>
      </c>
      <c r="G208" t="str">
        <f t="shared" si="4"/>
        <v>Apr -2025</v>
      </c>
      <c r="H208" s="12"/>
    </row>
    <row r="209" spans="1:8" x14ac:dyDescent="0.3">
      <c r="A209" s="2">
        <v>645213</v>
      </c>
      <c r="B209" s="3" t="s">
        <v>663</v>
      </c>
      <c r="C209" s="3" t="s">
        <v>1010</v>
      </c>
      <c r="D209" s="3" t="s">
        <v>364</v>
      </c>
      <c r="E209" s="3" t="s">
        <v>15</v>
      </c>
      <c r="F209" s="1">
        <v>45769</v>
      </c>
      <c r="G209" t="str">
        <f t="shared" si="4"/>
        <v>Apr -2025</v>
      </c>
      <c r="H209" s="12"/>
    </row>
    <row r="210" spans="1:8" x14ac:dyDescent="0.3">
      <c r="A210" s="2">
        <v>645331</v>
      </c>
      <c r="B210" s="3" t="s">
        <v>664</v>
      </c>
      <c r="C210" s="3" t="s">
        <v>1010</v>
      </c>
      <c r="D210" s="3" t="s">
        <v>364</v>
      </c>
      <c r="E210" s="3" t="s">
        <v>7</v>
      </c>
      <c r="F210" s="1">
        <v>45769</v>
      </c>
      <c r="G210" t="str">
        <f t="shared" si="4"/>
        <v>Apr -2025</v>
      </c>
      <c r="H210" s="12"/>
    </row>
    <row r="211" spans="1:8" x14ac:dyDescent="0.3">
      <c r="A211" s="2">
        <v>687326</v>
      </c>
      <c r="B211" s="3" t="s">
        <v>665</v>
      </c>
      <c r="C211" s="3" t="s">
        <v>1010</v>
      </c>
      <c r="D211" s="3" t="s">
        <v>364</v>
      </c>
      <c r="E211" s="3" t="s">
        <v>15</v>
      </c>
      <c r="F211" s="1">
        <v>45769</v>
      </c>
      <c r="G211" t="str">
        <f t="shared" si="4"/>
        <v>Apr -2025</v>
      </c>
      <c r="H211" s="12"/>
    </row>
    <row r="212" spans="1:8" x14ac:dyDescent="0.3">
      <c r="A212" s="2">
        <v>694144</v>
      </c>
      <c r="B212" s="3" t="s">
        <v>666</v>
      </c>
      <c r="C212" s="3" t="s">
        <v>1010</v>
      </c>
      <c r="D212" s="3" t="s">
        <v>364</v>
      </c>
      <c r="E212" s="3" t="s">
        <v>7</v>
      </c>
      <c r="F212" s="1">
        <v>45769</v>
      </c>
      <c r="G212" t="str">
        <f t="shared" si="4"/>
        <v>Apr -2025</v>
      </c>
      <c r="H212" s="12"/>
    </row>
    <row r="213" spans="1:8" x14ac:dyDescent="0.3">
      <c r="A213" s="2">
        <v>100002245</v>
      </c>
      <c r="B213" s="3" t="s">
        <v>800</v>
      </c>
      <c r="C213" s="3" t="s">
        <v>1011</v>
      </c>
      <c r="D213" s="3" t="s">
        <v>972</v>
      </c>
      <c r="E213" s="3" t="s">
        <v>966</v>
      </c>
      <c r="F213" s="1">
        <v>45770</v>
      </c>
      <c r="G213" t="str">
        <f t="shared" si="4"/>
        <v>Apr -2025</v>
      </c>
      <c r="H213" s="12"/>
    </row>
    <row r="214" spans="1:8" x14ac:dyDescent="0.3">
      <c r="A214" s="2">
        <v>100002244</v>
      </c>
      <c r="B214" s="3" t="s">
        <v>801</v>
      </c>
      <c r="C214" s="3" t="s">
        <v>1011</v>
      </c>
      <c r="D214" s="3" t="s">
        <v>972</v>
      </c>
      <c r="E214" s="3" t="s">
        <v>966</v>
      </c>
      <c r="F214" s="1">
        <v>45770</v>
      </c>
      <c r="G214" t="str">
        <f t="shared" si="4"/>
        <v>Apr -2025</v>
      </c>
      <c r="H214" s="12"/>
    </row>
    <row r="215" spans="1:8" x14ac:dyDescent="0.3">
      <c r="A215" s="2">
        <v>683207</v>
      </c>
      <c r="B215" s="3" t="s">
        <v>667</v>
      </c>
      <c r="C215" s="3" t="s">
        <v>1010</v>
      </c>
      <c r="D215" s="3" t="s">
        <v>209</v>
      </c>
      <c r="E215" s="3" t="s">
        <v>11</v>
      </c>
      <c r="F215" s="1">
        <v>45771</v>
      </c>
      <c r="G215" t="str">
        <f t="shared" si="4"/>
        <v>Apr -2025</v>
      </c>
      <c r="H215" s="12"/>
    </row>
    <row r="216" spans="1:8" x14ac:dyDescent="0.3">
      <c r="A216" s="2">
        <v>683248</v>
      </c>
      <c r="B216" s="3" t="s">
        <v>668</v>
      </c>
      <c r="C216" s="3" t="s">
        <v>1010</v>
      </c>
      <c r="D216" s="3" t="s">
        <v>209</v>
      </c>
      <c r="E216" s="3" t="s">
        <v>11</v>
      </c>
      <c r="F216" s="1">
        <v>45771</v>
      </c>
      <c r="G216" t="str">
        <f t="shared" si="4"/>
        <v>Apr -2025</v>
      </c>
      <c r="H216" s="12"/>
    </row>
    <row r="217" spans="1:8" x14ac:dyDescent="0.3">
      <c r="A217" s="2">
        <v>687245</v>
      </c>
      <c r="B217" s="3" t="s">
        <v>669</v>
      </c>
      <c r="C217" s="3" t="s">
        <v>1010</v>
      </c>
      <c r="D217" s="3" t="s">
        <v>209</v>
      </c>
      <c r="E217" s="3" t="s">
        <v>11</v>
      </c>
      <c r="F217" s="1">
        <v>45771</v>
      </c>
      <c r="G217" t="str">
        <f t="shared" si="4"/>
        <v>Apr -2025</v>
      </c>
      <c r="H217" s="12"/>
    </row>
    <row r="218" spans="1:8" x14ac:dyDescent="0.3">
      <c r="A218" s="2">
        <v>710632</v>
      </c>
      <c r="B218" s="3" t="s">
        <v>670</v>
      </c>
      <c r="C218" s="3" t="s">
        <v>1010</v>
      </c>
      <c r="D218" s="3" t="s">
        <v>364</v>
      </c>
      <c r="E218" s="3" t="s">
        <v>7</v>
      </c>
      <c r="F218" s="1">
        <v>45771</v>
      </c>
      <c r="G218" t="str">
        <f t="shared" si="4"/>
        <v>Apr -2025</v>
      </c>
      <c r="H218" s="12"/>
    </row>
    <row r="219" spans="1:8" x14ac:dyDescent="0.3">
      <c r="A219" s="2">
        <v>710780</v>
      </c>
      <c r="B219" s="3" t="s">
        <v>671</v>
      </c>
      <c r="C219" s="3" t="s">
        <v>1010</v>
      </c>
      <c r="D219" s="3" t="s">
        <v>364</v>
      </c>
      <c r="E219" s="3" t="s">
        <v>7</v>
      </c>
      <c r="F219" s="1">
        <v>45771</v>
      </c>
      <c r="G219" t="str">
        <f t="shared" si="4"/>
        <v>Apr -2025</v>
      </c>
      <c r="H219" s="12"/>
    </row>
    <row r="220" spans="1:8" x14ac:dyDescent="0.3">
      <c r="A220" s="2">
        <v>710690</v>
      </c>
      <c r="B220" s="3" t="s">
        <v>672</v>
      </c>
      <c r="C220" s="3" t="s">
        <v>1010</v>
      </c>
      <c r="D220" s="3" t="s">
        <v>364</v>
      </c>
      <c r="E220" s="3" t="s">
        <v>7</v>
      </c>
      <c r="F220" s="1">
        <v>45771</v>
      </c>
      <c r="G220" t="str">
        <f t="shared" si="4"/>
        <v>Apr -2025</v>
      </c>
      <c r="H220" s="12"/>
    </row>
    <row r="221" spans="1:8" x14ac:dyDescent="0.3">
      <c r="A221" s="2">
        <v>900002993</v>
      </c>
      <c r="B221" s="3" t="s">
        <v>673</v>
      </c>
      <c r="C221" s="3" t="s">
        <v>1010</v>
      </c>
      <c r="D221" s="3" t="s">
        <v>209</v>
      </c>
      <c r="E221" s="3" t="s">
        <v>322</v>
      </c>
      <c r="F221" s="1">
        <v>45771</v>
      </c>
      <c r="G221" t="str">
        <f t="shared" si="4"/>
        <v>Apr -2025</v>
      </c>
      <c r="H221" s="12"/>
    </row>
    <row r="222" spans="1:8" x14ac:dyDescent="0.3">
      <c r="A222" s="2">
        <v>900002992</v>
      </c>
      <c r="B222" s="3" t="s">
        <v>674</v>
      </c>
      <c r="C222" s="3" t="s">
        <v>1010</v>
      </c>
      <c r="D222" s="3" t="s">
        <v>209</v>
      </c>
      <c r="E222" s="3" t="s">
        <v>322</v>
      </c>
      <c r="F222" s="1">
        <v>45771</v>
      </c>
      <c r="G222" t="str">
        <f t="shared" si="4"/>
        <v>Apr -2025</v>
      </c>
      <c r="H222" s="12"/>
    </row>
    <row r="223" spans="1:8" x14ac:dyDescent="0.3">
      <c r="A223" s="2">
        <v>100002271</v>
      </c>
      <c r="B223" s="3" t="s">
        <v>802</v>
      </c>
      <c r="C223" s="3" t="s">
        <v>1011</v>
      </c>
      <c r="D223" s="3" t="s">
        <v>973</v>
      </c>
      <c r="E223" s="3" t="s">
        <v>966</v>
      </c>
      <c r="F223" s="1">
        <v>45771</v>
      </c>
      <c r="G223" t="str">
        <f t="shared" si="4"/>
        <v>Apr -2025</v>
      </c>
      <c r="H223" s="12"/>
    </row>
    <row r="224" spans="1:8" x14ac:dyDescent="0.3">
      <c r="A224" s="2">
        <v>100002229</v>
      </c>
      <c r="B224" s="3" t="s">
        <v>803</v>
      </c>
      <c r="C224" s="3" t="s">
        <v>1011</v>
      </c>
      <c r="D224" s="3" t="s">
        <v>973</v>
      </c>
      <c r="E224" s="3" t="s">
        <v>966</v>
      </c>
      <c r="F224" s="1">
        <v>45771</v>
      </c>
      <c r="G224" t="str">
        <f t="shared" si="4"/>
        <v>Apr -2025</v>
      </c>
      <c r="H224" s="12"/>
    </row>
    <row r="225" spans="1:8" x14ac:dyDescent="0.3">
      <c r="A225" s="2">
        <v>707132</v>
      </c>
      <c r="B225" s="3" t="s">
        <v>675</v>
      </c>
      <c r="C225" s="3" t="s">
        <v>1010</v>
      </c>
      <c r="D225" s="3" t="s">
        <v>1259</v>
      </c>
      <c r="E225" s="3" t="s">
        <v>15</v>
      </c>
      <c r="F225" s="1">
        <v>45772</v>
      </c>
      <c r="G225" t="str">
        <f t="shared" si="4"/>
        <v>Apr -2025</v>
      </c>
      <c r="H225" s="12"/>
    </row>
    <row r="226" spans="1:8" x14ac:dyDescent="0.3">
      <c r="A226" s="2">
        <v>100002296</v>
      </c>
      <c r="B226" s="3" t="s">
        <v>804</v>
      </c>
      <c r="C226" s="3" t="s">
        <v>1011</v>
      </c>
      <c r="D226" s="3" t="s">
        <v>973</v>
      </c>
      <c r="E226" s="3" t="s">
        <v>966</v>
      </c>
      <c r="F226" s="1">
        <v>45772</v>
      </c>
      <c r="G226" t="str">
        <f t="shared" si="4"/>
        <v>Apr -2025</v>
      </c>
      <c r="H226" s="12"/>
    </row>
    <row r="227" spans="1:8" x14ac:dyDescent="0.3">
      <c r="A227" s="2">
        <v>100002299</v>
      </c>
      <c r="B227" s="3" t="s">
        <v>805</v>
      </c>
      <c r="C227" s="3" t="s">
        <v>1011</v>
      </c>
      <c r="D227" s="3" t="s">
        <v>973</v>
      </c>
      <c r="E227" s="3" t="s">
        <v>966</v>
      </c>
      <c r="F227" s="1">
        <v>45772</v>
      </c>
      <c r="G227" t="str">
        <f t="shared" si="4"/>
        <v>Apr -2025</v>
      </c>
      <c r="H227" s="12"/>
    </row>
    <row r="228" spans="1:8" x14ac:dyDescent="0.3">
      <c r="A228" s="2">
        <v>100002129</v>
      </c>
      <c r="B228" s="3" t="s">
        <v>806</v>
      </c>
      <c r="C228" s="3" t="s">
        <v>1011</v>
      </c>
      <c r="D228" s="3" t="s">
        <v>973</v>
      </c>
      <c r="E228" s="3" t="s">
        <v>966</v>
      </c>
      <c r="F228" s="1">
        <v>45772</v>
      </c>
      <c r="G228" t="str">
        <f t="shared" si="4"/>
        <v>Apr -2025</v>
      </c>
      <c r="H228" s="12"/>
    </row>
    <row r="229" spans="1:8" x14ac:dyDescent="0.3">
      <c r="A229" s="2">
        <v>707746</v>
      </c>
      <c r="B229" s="3" t="s">
        <v>676</v>
      </c>
      <c r="C229" s="3" t="s">
        <v>1010</v>
      </c>
      <c r="D229" s="3" t="s">
        <v>1259</v>
      </c>
      <c r="E229" s="3" t="s">
        <v>15</v>
      </c>
      <c r="F229" s="1">
        <v>45773</v>
      </c>
      <c r="G229" t="str">
        <f t="shared" si="4"/>
        <v>Apr -2025</v>
      </c>
      <c r="H229" s="12"/>
    </row>
    <row r="230" spans="1:8" x14ac:dyDescent="0.3">
      <c r="A230" s="2">
        <v>708153</v>
      </c>
      <c r="B230" s="3" t="s">
        <v>677</v>
      </c>
      <c r="C230" s="3" t="s">
        <v>1010</v>
      </c>
      <c r="D230" s="3" t="s">
        <v>364</v>
      </c>
      <c r="E230" s="3" t="s">
        <v>7</v>
      </c>
      <c r="F230" s="1">
        <v>45773</v>
      </c>
      <c r="G230" t="str">
        <f t="shared" si="4"/>
        <v>Apr -2025</v>
      </c>
      <c r="H230" s="12"/>
    </row>
    <row r="231" spans="1:8" x14ac:dyDescent="0.3">
      <c r="A231" s="2">
        <v>709435</v>
      </c>
      <c r="B231" s="3" t="s">
        <v>678</v>
      </c>
      <c r="C231" s="3" t="s">
        <v>1010</v>
      </c>
      <c r="D231" s="3" t="s">
        <v>1259</v>
      </c>
      <c r="E231" s="3" t="s">
        <v>15</v>
      </c>
      <c r="F231" s="1">
        <v>45773</v>
      </c>
      <c r="G231" t="str">
        <f t="shared" si="4"/>
        <v>Apr -2025</v>
      </c>
      <c r="H231" s="12"/>
    </row>
    <row r="232" spans="1:8" x14ac:dyDescent="0.3">
      <c r="A232" s="2">
        <v>718512</v>
      </c>
      <c r="B232" s="3" t="s">
        <v>679</v>
      </c>
      <c r="C232" s="3" t="s">
        <v>1010</v>
      </c>
      <c r="D232" s="3" t="s">
        <v>209</v>
      </c>
      <c r="E232" s="3" t="s">
        <v>11</v>
      </c>
      <c r="F232" s="1">
        <v>45773</v>
      </c>
      <c r="G232" t="str">
        <f t="shared" si="4"/>
        <v>Apr -2025</v>
      </c>
      <c r="H232" s="12"/>
    </row>
    <row r="233" spans="1:8" x14ac:dyDescent="0.3">
      <c r="A233" s="2">
        <v>718513</v>
      </c>
      <c r="B233" s="3" t="s">
        <v>680</v>
      </c>
      <c r="C233" s="3" t="s">
        <v>1010</v>
      </c>
      <c r="D233" s="3" t="s">
        <v>209</v>
      </c>
      <c r="E233" s="3" t="s">
        <v>11</v>
      </c>
      <c r="F233" s="1">
        <v>45773</v>
      </c>
      <c r="G233" t="str">
        <f t="shared" si="4"/>
        <v>Apr -2025</v>
      </c>
      <c r="H233" s="12"/>
    </row>
    <row r="234" spans="1:8" x14ac:dyDescent="0.3">
      <c r="A234" s="2">
        <v>100002340</v>
      </c>
      <c r="B234" s="3" t="s">
        <v>807</v>
      </c>
      <c r="C234" s="3" t="s">
        <v>1011</v>
      </c>
      <c r="D234" s="3" t="s">
        <v>973</v>
      </c>
      <c r="E234" s="3" t="s">
        <v>966</v>
      </c>
      <c r="F234" s="1">
        <v>45775</v>
      </c>
      <c r="G234" t="str">
        <f t="shared" si="4"/>
        <v>Apr -2025</v>
      </c>
      <c r="H234" s="12"/>
    </row>
    <row r="235" spans="1:8" x14ac:dyDescent="0.3">
      <c r="A235" s="2">
        <v>100002324</v>
      </c>
      <c r="B235" s="3" t="s">
        <v>808</v>
      </c>
      <c r="C235" s="3" t="s">
        <v>1011</v>
      </c>
      <c r="D235" s="3" t="s">
        <v>973</v>
      </c>
      <c r="E235" s="3" t="s">
        <v>966</v>
      </c>
      <c r="F235" s="1">
        <v>45775</v>
      </c>
      <c r="G235" t="str">
        <f t="shared" si="4"/>
        <v>Apr -2025</v>
      </c>
      <c r="H235" s="12"/>
    </row>
    <row r="236" spans="1:8" x14ac:dyDescent="0.3">
      <c r="A236" s="2">
        <v>717923</v>
      </c>
      <c r="B236" s="3" t="s">
        <v>681</v>
      </c>
      <c r="C236" s="3" t="s">
        <v>1010</v>
      </c>
      <c r="D236" s="3" t="s">
        <v>364</v>
      </c>
      <c r="E236" s="3" t="s">
        <v>7</v>
      </c>
      <c r="F236" s="1">
        <v>45776</v>
      </c>
      <c r="G236" t="str">
        <f t="shared" si="4"/>
        <v>Apr -2025</v>
      </c>
      <c r="H236" s="12"/>
    </row>
    <row r="237" spans="1:8" x14ac:dyDescent="0.3">
      <c r="A237" s="2">
        <v>717929</v>
      </c>
      <c r="B237" s="3" t="s">
        <v>682</v>
      </c>
      <c r="C237" s="3" t="s">
        <v>1010</v>
      </c>
      <c r="D237" s="3" t="s">
        <v>364</v>
      </c>
      <c r="E237" s="3" t="s">
        <v>7</v>
      </c>
      <c r="F237" s="1">
        <v>45776</v>
      </c>
      <c r="G237" t="str">
        <f t="shared" si="4"/>
        <v>Apr -2025</v>
      </c>
      <c r="H237" s="12"/>
    </row>
    <row r="238" spans="1:8" x14ac:dyDescent="0.3">
      <c r="A238" s="2">
        <v>717972</v>
      </c>
      <c r="B238" s="3" t="s">
        <v>683</v>
      </c>
      <c r="C238" s="3" t="s">
        <v>1010</v>
      </c>
      <c r="D238" s="3" t="s">
        <v>364</v>
      </c>
      <c r="E238" s="3" t="s">
        <v>7</v>
      </c>
      <c r="F238" s="1">
        <v>45776</v>
      </c>
      <c r="G238" t="str">
        <f t="shared" si="4"/>
        <v>Apr -2025</v>
      </c>
      <c r="H238" s="12"/>
    </row>
    <row r="239" spans="1:8" x14ac:dyDescent="0.3">
      <c r="A239" s="2">
        <v>721913</v>
      </c>
      <c r="B239" s="3" t="s">
        <v>684</v>
      </c>
      <c r="C239" s="3" t="s">
        <v>1010</v>
      </c>
      <c r="D239" s="3" t="s">
        <v>364</v>
      </c>
      <c r="E239" s="3" t="s">
        <v>7</v>
      </c>
      <c r="F239" s="1">
        <v>45776</v>
      </c>
      <c r="G239" t="str">
        <f t="shared" si="4"/>
        <v>Apr -2025</v>
      </c>
      <c r="H239" s="12"/>
    </row>
    <row r="240" spans="1:8" x14ac:dyDescent="0.3">
      <c r="A240" s="2">
        <v>720463</v>
      </c>
      <c r="B240" s="3" t="s">
        <v>685</v>
      </c>
      <c r="C240" s="3" t="s">
        <v>1010</v>
      </c>
      <c r="D240" s="3" t="s">
        <v>364</v>
      </c>
      <c r="E240" s="3" t="s">
        <v>7</v>
      </c>
      <c r="F240" s="1">
        <v>45776</v>
      </c>
      <c r="G240" t="str">
        <f t="shared" si="4"/>
        <v>Apr -2025</v>
      </c>
      <c r="H240" s="12"/>
    </row>
    <row r="241" spans="1:8" x14ac:dyDescent="0.3">
      <c r="A241" s="2">
        <v>605025</v>
      </c>
      <c r="B241" s="3" t="s">
        <v>686</v>
      </c>
      <c r="C241" s="3" t="s">
        <v>1010</v>
      </c>
      <c r="D241" s="3" t="s">
        <v>209</v>
      </c>
      <c r="E241" s="3" t="s">
        <v>11</v>
      </c>
      <c r="F241" s="1">
        <v>45777</v>
      </c>
      <c r="G241" t="str">
        <f t="shared" si="4"/>
        <v>Apr -2025</v>
      </c>
      <c r="H241" s="12"/>
    </row>
    <row r="242" spans="1:8" x14ac:dyDescent="0.3">
      <c r="A242" s="2">
        <v>720462</v>
      </c>
      <c r="B242" s="3" t="s">
        <v>687</v>
      </c>
      <c r="C242" s="3" t="s">
        <v>1010</v>
      </c>
      <c r="D242" s="3" t="s">
        <v>1259</v>
      </c>
      <c r="E242" s="3" t="s">
        <v>15</v>
      </c>
      <c r="F242" s="1">
        <v>45777</v>
      </c>
      <c r="G242" t="str">
        <f t="shared" si="4"/>
        <v>Apr -2025</v>
      </c>
      <c r="H242" s="12"/>
    </row>
    <row r="243" spans="1:8" x14ac:dyDescent="0.3">
      <c r="A243" s="2">
        <v>723045</v>
      </c>
      <c r="B243" s="3" t="s">
        <v>688</v>
      </c>
      <c r="C243" s="3" t="s">
        <v>1010</v>
      </c>
      <c r="D243" s="3" t="s">
        <v>209</v>
      </c>
      <c r="E243" s="3" t="s">
        <v>11</v>
      </c>
      <c r="F243" s="1">
        <v>45777</v>
      </c>
      <c r="G243" t="str">
        <f t="shared" si="4"/>
        <v>Apr -2025</v>
      </c>
      <c r="H243" s="12"/>
    </row>
    <row r="244" spans="1:8" x14ac:dyDescent="0.3">
      <c r="A244" s="2">
        <v>100002228</v>
      </c>
      <c r="B244" s="3" t="s">
        <v>809</v>
      </c>
      <c r="C244" s="3" t="s">
        <v>1011</v>
      </c>
      <c r="D244" s="3" t="s">
        <v>972</v>
      </c>
      <c r="E244" s="3" t="s">
        <v>967</v>
      </c>
      <c r="F244" s="1">
        <v>45777</v>
      </c>
      <c r="G244" t="str">
        <f t="shared" si="4"/>
        <v>Apr -2025</v>
      </c>
      <c r="H244" s="12"/>
    </row>
    <row r="245" spans="1:8" x14ac:dyDescent="0.3">
      <c r="A245" s="2">
        <v>100002361</v>
      </c>
      <c r="B245" s="3" t="s">
        <v>810</v>
      </c>
      <c r="C245" s="3" t="s">
        <v>1011</v>
      </c>
      <c r="D245" s="3" t="s">
        <v>972</v>
      </c>
      <c r="E245" s="3" t="s">
        <v>966</v>
      </c>
      <c r="F245" s="1">
        <v>45777</v>
      </c>
      <c r="G245" t="str">
        <f t="shared" si="4"/>
        <v>Apr -2025</v>
      </c>
      <c r="H245" s="12"/>
    </row>
    <row r="246" spans="1:8" x14ac:dyDescent="0.3">
      <c r="A246" s="2">
        <v>100002360</v>
      </c>
      <c r="B246" s="3" t="s">
        <v>811</v>
      </c>
      <c r="C246" s="3" t="s">
        <v>1011</v>
      </c>
      <c r="D246" s="3" t="s">
        <v>972</v>
      </c>
      <c r="E246" s="3" t="s">
        <v>966</v>
      </c>
      <c r="F246" s="1">
        <v>45777</v>
      </c>
      <c r="G246" t="str">
        <f t="shared" si="4"/>
        <v>Apr -2025</v>
      </c>
      <c r="H246" s="12"/>
    </row>
    <row r="247" spans="1:8" x14ac:dyDescent="0.3">
      <c r="A247" s="2">
        <v>100002249</v>
      </c>
      <c r="B247" s="3" t="s">
        <v>812</v>
      </c>
      <c r="C247" s="3" t="s">
        <v>1011</v>
      </c>
      <c r="D247" s="3" t="s">
        <v>972</v>
      </c>
      <c r="E247" s="3" t="s">
        <v>966</v>
      </c>
      <c r="F247" s="1">
        <v>45777</v>
      </c>
      <c r="G247" t="str">
        <f t="shared" si="4"/>
        <v>Apr -2025</v>
      </c>
      <c r="H247" s="12"/>
    </row>
    <row r="248" spans="1:8" x14ac:dyDescent="0.3">
      <c r="A248" s="2">
        <v>717994</v>
      </c>
      <c r="B248" s="3" t="s">
        <v>689</v>
      </c>
      <c r="C248" s="3" t="s">
        <v>1010</v>
      </c>
      <c r="D248" s="3" t="s">
        <v>1259</v>
      </c>
      <c r="E248" s="3" t="s">
        <v>15</v>
      </c>
      <c r="F248" s="1">
        <v>45778</v>
      </c>
      <c r="G248" t="str">
        <f t="shared" si="4"/>
        <v>May -2025</v>
      </c>
      <c r="H248" s="12"/>
    </row>
    <row r="249" spans="1:8" x14ac:dyDescent="0.3">
      <c r="A249" s="2">
        <v>720652</v>
      </c>
      <c r="B249" s="3" t="s">
        <v>690</v>
      </c>
      <c r="C249" s="3" t="s">
        <v>1010</v>
      </c>
      <c r="D249" s="3" t="s">
        <v>1259</v>
      </c>
      <c r="E249" s="3" t="s">
        <v>15</v>
      </c>
      <c r="F249" s="1">
        <v>45778</v>
      </c>
      <c r="G249" t="str">
        <f t="shared" si="4"/>
        <v>May -2025</v>
      </c>
      <c r="H249" s="12"/>
    </row>
    <row r="250" spans="1:8" x14ac:dyDescent="0.3">
      <c r="A250" s="2">
        <v>720653</v>
      </c>
      <c r="B250" s="3" t="s">
        <v>691</v>
      </c>
      <c r="C250" s="3" t="s">
        <v>1010</v>
      </c>
      <c r="D250" s="3" t="s">
        <v>1259</v>
      </c>
      <c r="E250" s="3" t="s">
        <v>15</v>
      </c>
      <c r="F250" s="1">
        <v>45778</v>
      </c>
      <c r="G250" t="str">
        <f t="shared" si="4"/>
        <v>May -2025</v>
      </c>
      <c r="H250" s="12"/>
    </row>
    <row r="251" spans="1:8" x14ac:dyDescent="0.3">
      <c r="A251" s="2">
        <v>722823</v>
      </c>
      <c r="B251" s="3" t="s">
        <v>692</v>
      </c>
      <c r="C251" s="3" t="s">
        <v>1010</v>
      </c>
      <c r="D251" s="3" t="s">
        <v>364</v>
      </c>
      <c r="E251" s="3" t="s">
        <v>7</v>
      </c>
      <c r="F251" s="1">
        <v>45778</v>
      </c>
      <c r="G251" t="str">
        <f t="shared" si="4"/>
        <v>May -2025</v>
      </c>
      <c r="H251" s="12"/>
    </row>
    <row r="252" spans="1:8" x14ac:dyDescent="0.3">
      <c r="A252" s="2">
        <v>723378</v>
      </c>
      <c r="B252" s="3" t="s">
        <v>688</v>
      </c>
      <c r="C252" s="3" t="s">
        <v>1010</v>
      </c>
      <c r="D252" s="3" t="s">
        <v>209</v>
      </c>
      <c r="E252" s="3" t="s">
        <v>11</v>
      </c>
      <c r="F252" s="1">
        <v>45778</v>
      </c>
      <c r="G252" t="str">
        <f t="shared" si="4"/>
        <v>May -2025</v>
      </c>
      <c r="H252" s="12"/>
    </row>
    <row r="253" spans="1:8" x14ac:dyDescent="0.3">
      <c r="A253" s="2">
        <v>723421</v>
      </c>
      <c r="B253" s="3" t="s">
        <v>688</v>
      </c>
      <c r="C253" s="3" t="s">
        <v>1010</v>
      </c>
      <c r="D253" s="3" t="s">
        <v>209</v>
      </c>
      <c r="E253" s="3" t="s">
        <v>11</v>
      </c>
      <c r="F253" s="1">
        <v>45778</v>
      </c>
      <c r="G253" t="str">
        <f t="shared" si="4"/>
        <v>May -2025</v>
      </c>
      <c r="H253" s="12"/>
    </row>
    <row r="254" spans="1:8" x14ac:dyDescent="0.3">
      <c r="A254" s="2">
        <v>723422</v>
      </c>
      <c r="B254" s="3" t="s">
        <v>688</v>
      </c>
      <c r="C254" s="3" t="s">
        <v>1010</v>
      </c>
      <c r="D254" s="3" t="s">
        <v>209</v>
      </c>
      <c r="E254" s="3" t="s">
        <v>11</v>
      </c>
      <c r="F254" s="1">
        <v>45778</v>
      </c>
      <c r="G254" t="str">
        <f t="shared" si="4"/>
        <v>May -2025</v>
      </c>
      <c r="H254" s="12"/>
    </row>
    <row r="255" spans="1:8" x14ac:dyDescent="0.3">
      <c r="A255" s="2">
        <v>723574</v>
      </c>
      <c r="B255" s="3" t="s">
        <v>693</v>
      </c>
      <c r="C255" s="3" t="s">
        <v>1010</v>
      </c>
      <c r="D255" s="3" t="s">
        <v>364</v>
      </c>
      <c r="E255" s="3" t="s">
        <v>7</v>
      </c>
      <c r="F255" s="1">
        <v>45778</v>
      </c>
      <c r="G255" t="str">
        <f t="shared" si="4"/>
        <v>May -2025</v>
      </c>
      <c r="H255" s="12"/>
    </row>
    <row r="256" spans="1:8" x14ac:dyDescent="0.3">
      <c r="A256" s="2">
        <v>723510</v>
      </c>
      <c r="B256" s="3" t="s">
        <v>694</v>
      </c>
      <c r="C256" s="3" t="s">
        <v>1010</v>
      </c>
      <c r="D256" s="3" t="s">
        <v>364</v>
      </c>
      <c r="E256" s="3" t="s">
        <v>7</v>
      </c>
      <c r="F256" s="1">
        <v>45778</v>
      </c>
      <c r="G256" t="str">
        <f t="shared" si="4"/>
        <v>May -2025</v>
      </c>
      <c r="H256" s="12"/>
    </row>
    <row r="257" spans="1:8" x14ac:dyDescent="0.3">
      <c r="A257" s="2">
        <v>100002302</v>
      </c>
      <c r="B257" s="3" t="s">
        <v>813</v>
      </c>
      <c r="C257" s="3" t="s">
        <v>1011</v>
      </c>
      <c r="D257" s="3" t="s">
        <v>972</v>
      </c>
      <c r="E257" s="3" t="s">
        <v>967</v>
      </c>
      <c r="F257" s="1">
        <v>45778</v>
      </c>
      <c r="G257" t="str">
        <f t="shared" si="4"/>
        <v>May -2025</v>
      </c>
      <c r="H257" s="12"/>
    </row>
    <row r="258" spans="1:8" x14ac:dyDescent="0.3">
      <c r="A258" s="2">
        <v>723544</v>
      </c>
      <c r="B258" s="3" t="s">
        <v>695</v>
      </c>
      <c r="C258" s="3" t="s">
        <v>1010</v>
      </c>
      <c r="D258" s="3" t="s">
        <v>364</v>
      </c>
      <c r="E258" s="3" t="s">
        <v>7</v>
      </c>
      <c r="F258" s="1">
        <v>45779</v>
      </c>
      <c r="G258" t="str">
        <f t="shared" ref="G258:G321" si="5">TEXT(F258,"mmm -YYYY")</f>
        <v>May -2025</v>
      </c>
      <c r="H258" s="12"/>
    </row>
    <row r="259" spans="1:8" x14ac:dyDescent="0.3">
      <c r="A259" s="2">
        <v>723651</v>
      </c>
      <c r="B259" s="3" t="s">
        <v>688</v>
      </c>
      <c r="C259" s="3" t="s">
        <v>1010</v>
      </c>
      <c r="D259" s="3" t="s">
        <v>209</v>
      </c>
      <c r="E259" s="3" t="s">
        <v>11</v>
      </c>
      <c r="F259" s="1">
        <v>45779</v>
      </c>
      <c r="G259" t="str">
        <f t="shared" si="5"/>
        <v>May -2025</v>
      </c>
      <c r="H259" s="12"/>
    </row>
    <row r="260" spans="1:8" x14ac:dyDescent="0.3">
      <c r="A260" s="2">
        <v>723661</v>
      </c>
      <c r="B260" s="3" t="s">
        <v>688</v>
      </c>
      <c r="C260" s="3" t="s">
        <v>1010</v>
      </c>
      <c r="D260" s="3" t="s">
        <v>209</v>
      </c>
      <c r="E260" s="3" t="s">
        <v>11</v>
      </c>
      <c r="F260" s="1">
        <v>45779</v>
      </c>
      <c r="G260" t="str">
        <f t="shared" si="5"/>
        <v>May -2025</v>
      </c>
      <c r="H260" s="12"/>
    </row>
    <row r="261" spans="1:8" x14ac:dyDescent="0.3">
      <c r="A261" s="2">
        <v>900002994</v>
      </c>
      <c r="B261" s="3" t="s">
        <v>696</v>
      </c>
      <c r="C261" s="3" t="s">
        <v>1010</v>
      </c>
      <c r="D261" s="3" t="s">
        <v>209</v>
      </c>
      <c r="E261" s="3" t="s">
        <v>322</v>
      </c>
      <c r="F261" s="1">
        <v>45779</v>
      </c>
      <c r="G261" t="str">
        <f t="shared" si="5"/>
        <v>May -2025</v>
      </c>
      <c r="H261" s="12"/>
    </row>
    <row r="262" spans="1:8" x14ac:dyDescent="0.3">
      <c r="A262" s="2">
        <v>100002363</v>
      </c>
      <c r="B262" s="3" t="s">
        <v>814</v>
      </c>
      <c r="C262" s="3" t="s">
        <v>1011</v>
      </c>
      <c r="D262" s="3" t="s">
        <v>972</v>
      </c>
      <c r="E262" s="3" t="s">
        <v>967</v>
      </c>
      <c r="F262" s="1">
        <v>45779</v>
      </c>
      <c r="G262" t="str">
        <f t="shared" si="5"/>
        <v>May -2025</v>
      </c>
      <c r="H262" s="12"/>
    </row>
    <row r="263" spans="1:8" x14ac:dyDescent="0.3">
      <c r="A263" s="2">
        <v>100002363</v>
      </c>
      <c r="B263" s="3" t="s">
        <v>815</v>
      </c>
      <c r="C263" s="3" t="s">
        <v>1011</v>
      </c>
      <c r="D263" s="3" t="s">
        <v>972</v>
      </c>
      <c r="E263" s="3" t="s">
        <v>969</v>
      </c>
      <c r="F263" s="1">
        <v>45779</v>
      </c>
      <c r="G263" t="str">
        <f t="shared" si="5"/>
        <v>May -2025</v>
      </c>
      <c r="H263" s="12"/>
    </row>
    <row r="264" spans="1:8" x14ac:dyDescent="0.3">
      <c r="A264" s="2">
        <v>723792</v>
      </c>
      <c r="B264" s="3" t="s">
        <v>697</v>
      </c>
      <c r="C264" s="3" t="s">
        <v>1010</v>
      </c>
      <c r="D264" s="3" t="s">
        <v>1259</v>
      </c>
      <c r="E264" s="3" t="s">
        <v>15</v>
      </c>
      <c r="F264" s="1">
        <v>45782</v>
      </c>
      <c r="G264" t="str">
        <f t="shared" si="5"/>
        <v>May -2025</v>
      </c>
      <c r="H264" s="12"/>
    </row>
    <row r="265" spans="1:8" x14ac:dyDescent="0.3">
      <c r="A265" s="2">
        <v>723793</v>
      </c>
      <c r="B265" s="3" t="s">
        <v>698</v>
      </c>
      <c r="C265" s="3" t="s">
        <v>1010</v>
      </c>
      <c r="D265" s="3" t="s">
        <v>1259</v>
      </c>
      <c r="E265" s="3" t="s">
        <v>15</v>
      </c>
      <c r="F265" s="1">
        <v>45782</v>
      </c>
      <c r="G265" t="str">
        <f t="shared" si="5"/>
        <v>May -2025</v>
      </c>
      <c r="H265" s="12"/>
    </row>
    <row r="266" spans="1:8" x14ac:dyDescent="0.3">
      <c r="A266" s="2">
        <v>727327</v>
      </c>
      <c r="B266" s="3" t="s">
        <v>699</v>
      </c>
      <c r="C266" s="3" t="s">
        <v>1010</v>
      </c>
      <c r="D266" s="3" t="s">
        <v>364</v>
      </c>
      <c r="E266" s="3" t="s">
        <v>7</v>
      </c>
      <c r="F266" s="1">
        <v>45782</v>
      </c>
      <c r="G266" t="str">
        <f t="shared" si="5"/>
        <v>May -2025</v>
      </c>
      <c r="H266" s="12"/>
    </row>
    <row r="267" spans="1:8" x14ac:dyDescent="0.3">
      <c r="A267" s="2">
        <v>100002364</v>
      </c>
      <c r="B267" s="3" t="s">
        <v>816</v>
      </c>
      <c r="C267" s="3" t="s">
        <v>1011</v>
      </c>
      <c r="D267" s="3" t="s">
        <v>972</v>
      </c>
      <c r="E267" s="3" t="s">
        <v>966</v>
      </c>
      <c r="F267" s="1">
        <v>45782</v>
      </c>
      <c r="G267" t="str">
        <f t="shared" si="5"/>
        <v>May -2025</v>
      </c>
      <c r="H267" s="12"/>
    </row>
    <row r="268" spans="1:8" x14ac:dyDescent="0.3">
      <c r="A268" s="2">
        <v>727127</v>
      </c>
      <c r="B268" s="3" t="s">
        <v>700</v>
      </c>
      <c r="C268" s="3" t="s">
        <v>1010</v>
      </c>
      <c r="D268" s="3" t="s">
        <v>1259</v>
      </c>
      <c r="E268" s="3" t="s">
        <v>15</v>
      </c>
      <c r="F268" s="1">
        <v>45783</v>
      </c>
      <c r="G268" t="str">
        <f t="shared" si="5"/>
        <v>May -2025</v>
      </c>
      <c r="H268" s="12"/>
    </row>
    <row r="269" spans="1:8" x14ac:dyDescent="0.3">
      <c r="A269" s="2">
        <v>727390</v>
      </c>
      <c r="B269" s="3" t="s">
        <v>701</v>
      </c>
      <c r="C269" s="3" t="s">
        <v>1010</v>
      </c>
      <c r="D269" s="3" t="s">
        <v>364</v>
      </c>
      <c r="E269" s="3" t="s">
        <v>7</v>
      </c>
      <c r="F269" s="1">
        <v>45783</v>
      </c>
      <c r="G269" t="str">
        <f t="shared" si="5"/>
        <v>May -2025</v>
      </c>
      <c r="H269" s="12"/>
    </row>
    <row r="270" spans="1:8" x14ac:dyDescent="0.3">
      <c r="A270" s="2">
        <v>729029</v>
      </c>
      <c r="B270" s="3" t="s">
        <v>702</v>
      </c>
      <c r="C270" s="3" t="s">
        <v>1010</v>
      </c>
      <c r="D270" s="3" t="s">
        <v>1259</v>
      </c>
      <c r="E270" s="3" t="s">
        <v>15</v>
      </c>
      <c r="F270" s="1">
        <v>45783</v>
      </c>
      <c r="G270" t="str">
        <f t="shared" si="5"/>
        <v>May -2025</v>
      </c>
      <c r="H270" s="12"/>
    </row>
    <row r="271" spans="1:8" x14ac:dyDescent="0.3">
      <c r="A271" s="2">
        <v>732086</v>
      </c>
      <c r="B271" s="3" t="s">
        <v>703</v>
      </c>
      <c r="C271" s="3" t="s">
        <v>1010</v>
      </c>
      <c r="D271" s="3" t="s">
        <v>10</v>
      </c>
      <c r="E271" s="3" t="s">
        <v>11</v>
      </c>
      <c r="F271" s="1">
        <v>45784</v>
      </c>
      <c r="G271" t="str">
        <f t="shared" si="5"/>
        <v>May -2025</v>
      </c>
      <c r="H271" s="12"/>
    </row>
    <row r="272" spans="1:8" x14ac:dyDescent="0.3">
      <c r="A272" s="2">
        <v>100002380</v>
      </c>
      <c r="B272" s="3" t="s">
        <v>817</v>
      </c>
      <c r="C272" s="3" t="s">
        <v>1011</v>
      </c>
      <c r="D272" s="3" t="s">
        <v>972</v>
      </c>
      <c r="E272" s="3" t="s">
        <v>970</v>
      </c>
      <c r="F272" s="1">
        <v>45784</v>
      </c>
      <c r="G272" t="str">
        <f t="shared" si="5"/>
        <v>May -2025</v>
      </c>
      <c r="H272" s="12"/>
    </row>
    <row r="273" spans="1:8" x14ac:dyDescent="0.3">
      <c r="A273" s="2">
        <v>729411</v>
      </c>
      <c r="B273" s="3" t="s">
        <v>53</v>
      </c>
      <c r="C273" s="3" t="s">
        <v>1010</v>
      </c>
      <c r="D273" s="3" t="s">
        <v>10</v>
      </c>
      <c r="E273" s="3" t="s">
        <v>11</v>
      </c>
      <c r="F273" s="1">
        <v>45785</v>
      </c>
      <c r="G273" t="str">
        <f t="shared" si="5"/>
        <v>May -2025</v>
      </c>
      <c r="H273" s="12"/>
    </row>
    <row r="274" spans="1:8" x14ac:dyDescent="0.3">
      <c r="A274" s="2">
        <v>729685</v>
      </c>
      <c r="B274" s="3" t="s">
        <v>704</v>
      </c>
      <c r="C274" s="3" t="s">
        <v>1010</v>
      </c>
      <c r="D274" s="3" t="s">
        <v>1259</v>
      </c>
      <c r="E274" s="3" t="s">
        <v>15</v>
      </c>
      <c r="F274" s="1">
        <v>45785</v>
      </c>
      <c r="G274" t="str">
        <f t="shared" si="5"/>
        <v>May -2025</v>
      </c>
      <c r="H274" s="12"/>
    </row>
    <row r="275" spans="1:8" x14ac:dyDescent="0.3">
      <c r="A275" s="2">
        <v>729921</v>
      </c>
      <c r="B275" s="3" t="s">
        <v>47</v>
      </c>
      <c r="C275" s="3" t="s">
        <v>1010</v>
      </c>
      <c r="D275" s="3" t="s">
        <v>10</v>
      </c>
      <c r="E275" s="3" t="s">
        <v>11</v>
      </c>
      <c r="F275" s="1">
        <v>45785</v>
      </c>
      <c r="G275" t="str">
        <f t="shared" si="5"/>
        <v>May -2025</v>
      </c>
      <c r="H275" s="12"/>
    </row>
    <row r="276" spans="1:8" x14ac:dyDescent="0.3">
      <c r="A276" s="2">
        <v>731930</v>
      </c>
      <c r="B276" s="3" t="s">
        <v>705</v>
      </c>
      <c r="C276" s="3" t="s">
        <v>1010</v>
      </c>
      <c r="D276" s="3" t="s">
        <v>209</v>
      </c>
      <c r="E276" s="3" t="s">
        <v>11</v>
      </c>
      <c r="F276" s="1">
        <v>45785</v>
      </c>
      <c r="G276" t="str">
        <f t="shared" si="5"/>
        <v>May -2025</v>
      </c>
      <c r="H276" s="12"/>
    </row>
    <row r="277" spans="1:8" x14ac:dyDescent="0.3">
      <c r="A277" s="2">
        <v>735424</v>
      </c>
      <c r="B277" s="3" t="s">
        <v>706</v>
      </c>
      <c r="C277" s="3" t="s">
        <v>1010</v>
      </c>
      <c r="D277" s="3" t="s">
        <v>209</v>
      </c>
      <c r="E277" s="3" t="s">
        <v>11</v>
      </c>
      <c r="F277" s="1">
        <v>45785</v>
      </c>
      <c r="G277" t="str">
        <f t="shared" si="5"/>
        <v>May -2025</v>
      </c>
      <c r="H277" s="12"/>
    </row>
    <row r="278" spans="1:8" x14ac:dyDescent="0.3">
      <c r="A278" s="2">
        <v>735511</v>
      </c>
      <c r="B278" s="3" t="s">
        <v>706</v>
      </c>
      <c r="C278" s="3" t="s">
        <v>1010</v>
      </c>
      <c r="D278" s="3" t="s">
        <v>209</v>
      </c>
      <c r="E278" s="3" t="s">
        <v>11</v>
      </c>
      <c r="F278" s="1">
        <v>45785</v>
      </c>
      <c r="G278" t="str">
        <f t="shared" si="5"/>
        <v>May -2025</v>
      </c>
      <c r="H278" s="12"/>
    </row>
    <row r="279" spans="1:8" x14ac:dyDescent="0.3">
      <c r="A279" s="2">
        <v>900002996</v>
      </c>
      <c r="B279" s="3" t="s">
        <v>707</v>
      </c>
      <c r="C279" s="3" t="s">
        <v>1010</v>
      </c>
      <c r="D279" s="3" t="s">
        <v>209</v>
      </c>
      <c r="E279" s="3" t="s">
        <v>322</v>
      </c>
      <c r="F279" s="1">
        <v>45785</v>
      </c>
      <c r="G279" t="str">
        <f t="shared" si="5"/>
        <v>May -2025</v>
      </c>
      <c r="H279" s="12"/>
    </row>
    <row r="280" spans="1:8" x14ac:dyDescent="0.3">
      <c r="A280" s="2">
        <v>730482</v>
      </c>
      <c r="B280" s="3" t="s">
        <v>708</v>
      </c>
      <c r="C280" s="3" t="s">
        <v>1010</v>
      </c>
      <c r="D280" s="3" t="s">
        <v>1259</v>
      </c>
      <c r="E280" s="3" t="s">
        <v>15</v>
      </c>
      <c r="F280" s="1">
        <v>45786</v>
      </c>
      <c r="G280" t="str">
        <f t="shared" si="5"/>
        <v>May -2025</v>
      </c>
      <c r="H280" s="12"/>
    </row>
    <row r="281" spans="1:8" x14ac:dyDescent="0.3">
      <c r="A281" s="2">
        <v>732269</v>
      </c>
      <c r="B281" s="3" t="s">
        <v>709</v>
      </c>
      <c r="C281" s="3" t="s">
        <v>1010</v>
      </c>
      <c r="D281" s="3" t="s">
        <v>364</v>
      </c>
      <c r="E281" s="3" t="s">
        <v>7</v>
      </c>
      <c r="F281" s="1">
        <v>45786</v>
      </c>
      <c r="G281" t="str">
        <f t="shared" si="5"/>
        <v>May -2025</v>
      </c>
      <c r="H281" s="12"/>
    </row>
    <row r="282" spans="1:8" x14ac:dyDescent="0.3">
      <c r="A282" s="2">
        <v>737282</v>
      </c>
      <c r="B282" s="3" t="s">
        <v>710</v>
      </c>
      <c r="C282" s="3" t="s">
        <v>1010</v>
      </c>
      <c r="D282" s="3" t="s">
        <v>209</v>
      </c>
      <c r="E282" s="3" t="s">
        <v>11</v>
      </c>
      <c r="F282" s="1">
        <v>45786</v>
      </c>
      <c r="G282" t="str">
        <f t="shared" si="5"/>
        <v>May -2025</v>
      </c>
      <c r="H282" s="12"/>
    </row>
    <row r="283" spans="1:8" x14ac:dyDescent="0.3">
      <c r="A283" s="2">
        <v>100002383</v>
      </c>
      <c r="B283" s="3" t="s">
        <v>818</v>
      </c>
      <c r="C283" s="3" t="s">
        <v>1011</v>
      </c>
      <c r="D283" s="3" t="s">
        <v>972</v>
      </c>
      <c r="E283" s="3" t="s">
        <v>970</v>
      </c>
      <c r="F283" s="1">
        <v>45786</v>
      </c>
      <c r="G283" t="str">
        <f t="shared" si="5"/>
        <v>May -2025</v>
      </c>
      <c r="H283" s="12"/>
    </row>
    <row r="284" spans="1:8" x14ac:dyDescent="0.3">
      <c r="A284" s="2">
        <v>100002277</v>
      </c>
      <c r="B284" s="3" t="s">
        <v>819</v>
      </c>
      <c r="C284" s="3" t="s">
        <v>1011</v>
      </c>
      <c r="D284" s="3" t="s">
        <v>972</v>
      </c>
      <c r="E284" s="3" t="s">
        <v>971</v>
      </c>
      <c r="F284" s="1">
        <v>45786</v>
      </c>
      <c r="G284" t="str">
        <f t="shared" si="5"/>
        <v>May -2025</v>
      </c>
      <c r="H284" s="12"/>
    </row>
    <row r="285" spans="1:8" x14ac:dyDescent="0.3">
      <c r="A285" s="2">
        <v>100002339</v>
      </c>
      <c r="B285" s="3" t="s">
        <v>820</v>
      </c>
      <c r="C285" s="3" t="s">
        <v>1011</v>
      </c>
      <c r="D285" s="3" t="s">
        <v>972</v>
      </c>
      <c r="E285" s="3" t="s">
        <v>968</v>
      </c>
      <c r="F285" s="1">
        <v>45788</v>
      </c>
      <c r="G285" t="str">
        <f t="shared" si="5"/>
        <v>May -2025</v>
      </c>
      <c r="H285" s="12"/>
    </row>
    <row r="286" spans="1:8" x14ac:dyDescent="0.3">
      <c r="A286" s="2">
        <v>731770</v>
      </c>
      <c r="B286" s="3" t="s">
        <v>47</v>
      </c>
      <c r="C286" s="3" t="s">
        <v>1010</v>
      </c>
      <c r="D286" s="3" t="s">
        <v>10</v>
      </c>
      <c r="E286" s="3" t="s">
        <v>11</v>
      </c>
      <c r="F286" s="1">
        <v>45789</v>
      </c>
      <c r="G286" t="str">
        <f t="shared" si="5"/>
        <v>May -2025</v>
      </c>
      <c r="H286" s="12"/>
    </row>
    <row r="287" spans="1:8" x14ac:dyDescent="0.3">
      <c r="A287" s="2">
        <v>735722</v>
      </c>
      <c r="B287" s="3" t="s">
        <v>711</v>
      </c>
      <c r="C287" s="3" t="s">
        <v>1010</v>
      </c>
      <c r="D287" s="3" t="s">
        <v>364</v>
      </c>
      <c r="E287" s="3" t="s">
        <v>7</v>
      </c>
      <c r="F287" s="1">
        <v>45789</v>
      </c>
      <c r="G287" t="str">
        <f t="shared" si="5"/>
        <v>May -2025</v>
      </c>
      <c r="H287" s="12"/>
    </row>
    <row r="288" spans="1:8" x14ac:dyDescent="0.3">
      <c r="A288" s="2">
        <v>739895</v>
      </c>
      <c r="B288" s="3" t="s">
        <v>712</v>
      </c>
      <c r="C288" s="3" t="s">
        <v>1010</v>
      </c>
      <c r="D288" s="3" t="s">
        <v>364</v>
      </c>
      <c r="E288" s="3" t="s">
        <v>7</v>
      </c>
      <c r="F288" s="1">
        <v>45789</v>
      </c>
      <c r="G288" t="str">
        <f t="shared" si="5"/>
        <v>May -2025</v>
      </c>
      <c r="H288" s="12"/>
    </row>
    <row r="289" spans="1:8" x14ac:dyDescent="0.3">
      <c r="A289" s="2">
        <v>900003180</v>
      </c>
      <c r="B289" s="3" t="s">
        <v>713</v>
      </c>
      <c r="C289" s="3" t="s">
        <v>1010</v>
      </c>
      <c r="D289" s="3" t="s">
        <v>209</v>
      </c>
      <c r="E289" s="3" t="s">
        <v>322</v>
      </c>
      <c r="F289" s="1">
        <v>45789</v>
      </c>
      <c r="G289" t="str">
        <f t="shared" si="5"/>
        <v>May -2025</v>
      </c>
      <c r="H289" s="12"/>
    </row>
    <row r="290" spans="1:8" x14ac:dyDescent="0.3">
      <c r="A290" s="2">
        <v>100002384</v>
      </c>
      <c r="B290" s="3" t="s">
        <v>821</v>
      </c>
      <c r="C290" s="3" t="s">
        <v>1011</v>
      </c>
      <c r="D290" s="3" t="s">
        <v>972</v>
      </c>
      <c r="E290" s="3" t="s">
        <v>970</v>
      </c>
      <c r="F290" s="1">
        <v>45789</v>
      </c>
      <c r="G290" t="str">
        <f t="shared" si="5"/>
        <v>May -2025</v>
      </c>
      <c r="H290" s="12"/>
    </row>
    <row r="291" spans="1:8" x14ac:dyDescent="0.3">
      <c r="A291" s="2">
        <v>100002385</v>
      </c>
      <c r="B291" s="3" t="s">
        <v>822</v>
      </c>
      <c r="C291" s="3" t="s">
        <v>1011</v>
      </c>
      <c r="D291" s="3" t="s">
        <v>972</v>
      </c>
      <c r="E291" s="3" t="s">
        <v>967</v>
      </c>
      <c r="F291" s="1">
        <v>45789</v>
      </c>
      <c r="G291" t="str">
        <f t="shared" si="5"/>
        <v>May -2025</v>
      </c>
      <c r="H291" s="12"/>
    </row>
    <row r="292" spans="1:8" x14ac:dyDescent="0.3">
      <c r="A292" s="2">
        <v>100002394</v>
      </c>
      <c r="B292" s="3" t="s">
        <v>815</v>
      </c>
      <c r="C292" s="3" t="s">
        <v>1011</v>
      </c>
      <c r="D292" s="3" t="s">
        <v>972</v>
      </c>
      <c r="E292" s="3" t="s">
        <v>969</v>
      </c>
      <c r="F292" s="1">
        <v>45789</v>
      </c>
      <c r="G292" t="str">
        <f t="shared" si="5"/>
        <v>May -2025</v>
      </c>
      <c r="H292" s="12"/>
    </row>
    <row r="293" spans="1:8" x14ac:dyDescent="0.3">
      <c r="A293" s="2">
        <v>739960</v>
      </c>
      <c r="B293" s="3" t="s">
        <v>710</v>
      </c>
      <c r="C293" s="3" t="s">
        <v>1010</v>
      </c>
      <c r="D293" s="3" t="s">
        <v>209</v>
      </c>
      <c r="E293" s="3" t="s">
        <v>11</v>
      </c>
      <c r="F293" s="1">
        <v>45790</v>
      </c>
      <c r="G293" t="str">
        <f t="shared" si="5"/>
        <v>May -2025</v>
      </c>
      <c r="H293" s="12"/>
    </row>
    <row r="294" spans="1:8" x14ac:dyDescent="0.3">
      <c r="A294" s="2">
        <v>741894</v>
      </c>
      <c r="B294" s="3" t="s">
        <v>714</v>
      </c>
      <c r="C294" s="3" t="s">
        <v>1010</v>
      </c>
      <c r="D294" s="3" t="s">
        <v>1259</v>
      </c>
      <c r="E294" s="3" t="s">
        <v>15</v>
      </c>
      <c r="F294" s="1">
        <v>45790</v>
      </c>
      <c r="G294" t="str">
        <f t="shared" si="5"/>
        <v>May -2025</v>
      </c>
      <c r="H294" s="12"/>
    </row>
    <row r="295" spans="1:8" x14ac:dyDescent="0.3">
      <c r="A295" s="2">
        <v>100002430</v>
      </c>
      <c r="B295" s="3" t="s">
        <v>823</v>
      </c>
      <c r="C295" s="3" t="s">
        <v>1011</v>
      </c>
      <c r="D295" s="3" t="s">
        <v>972</v>
      </c>
      <c r="E295" s="3" t="s">
        <v>967</v>
      </c>
      <c r="F295" s="1">
        <v>45790</v>
      </c>
      <c r="G295" t="str">
        <f t="shared" si="5"/>
        <v>May -2025</v>
      </c>
      <c r="H295" s="12"/>
    </row>
    <row r="296" spans="1:8" x14ac:dyDescent="0.3">
      <c r="A296" s="2">
        <v>100002369</v>
      </c>
      <c r="B296" s="3" t="s">
        <v>824</v>
      </c>
      <c r="C296" s="3" t="s">
        <v>1011</v>
      </c>
      <c r="D296" s="3" t="s">
        <v>972</v>
      </c>
      <c r="E296" s="3" t="s">
        <v>966</v>
      </c>
      <c r="F296" s="1">
        <v>45790</v>
      </c>
      <c r="G296" t="str">
        <f t="shared" si="5"/>
        <v>May -2025</v>
      </c>
      <c r="H296" s="12"/>
    </row>
    <row r="297" spans="1:8" x14ac:dyDescent="0.3">
      <c r="A297" s="2">
        <v>737204</v>
      </c>
      <c r="B297" s="3" t="s">
        <v>715</v>
      </c>
      <c r="C297" s="3" t="s">
        <v>1010</v>
      </c>
      <c r="D297" s="3" t="s">
        <v>364</v>
      </c>
      <c r="E297" s="3" t="s">
        <v>7</v>
      </c>
      <c r="F297" s="1">
        <v>45791</v>
      </c>
      <c r="G297" t="str">
        <f t="shared" si="5"/>
        <v>May -2025</v>
      </c>
      <c r="H297" s="12"/>
    </row>
    <row r="298" spans="1:8" x14ac:dyDescent="0.3">
      <c r="A298" s="2">
        <v>739955</v>
      </c>
      <c r="B298" s="3" t="s">
        <v>716</v>
      </c>
      <c r="C298" s="3" t="s">
        <v>1010</v>
      </c>
      <c r="D298" s="3" t="s">
        <v>1259</v>
      </c>
      <c r="E298" s="3" t="s">
        <v>15</v>
      </c>
      <c r="F298" s="1">
        <v>45791</v>
      </c>
      <c r="G298" t="str">
        <f t="shared" si="5"/>
        <v>May -2025</v>
      </c>
      <c r="H298" s="12"/>
    </row>
    <row r="299" spans="1:8" x14ac:dyDescent="0.3">
      <c r="A299" s="2">
        <v>739959</v>
      </c>
      <c r="B299" s="3" t="s">
        <v>717</v>
      </c>
      <c r="C299" s="3" t="s">
        <v>1010</v>
      </c>
      <c r="D299" s="3" t="s">
        <v>1259</v>
      </c>
      <c r="E299" s="3" t="s">
        <v>15</v>
      </c>
      <c r="F299" s="1">
        <v>45791</v>
      </c>
      <c r="G299" t="str">
        <f t="shared" si="5"/>
        <v>May -2025</v>
      </c>
      <c r="H299" s="12"/>
    </row>
    <row r="300" spans="1:8" x14ac:dyDescent="0.3">
      <c r="A300" s="2">
        <v>740168</v>
      </c>
      <c r="B300" s="3" t="s">
        <v>718</v>
      </c>
      <c r="C300" s="3" t="s">
        <v>1010</v>
      </c>
      <c r="D300" s="3" t="s">
        <v>364</v>
      </c>
      <c r="E300" s="3" t="s">
        <v>11</v>
      </c>
      <c r="F300" s="1">
        <v>45791</v>
      </c>
      <c r="G300" t="str">
        <f t="shared" si="5"/>
        <v>May -2025</v>
      </c>
      <c r="H300" s="12"/>
    </row>
    <row r="301" spans="1:8" x14ac:dyDescent="0.3">
      <c r="A301" s="2">
        <v>900003454</v>
      </c>
      <c r="B301" s="3" t="s">
        <v>719</v>
      </c>
      <c r="C301" s="3" t="s">
        <v>1010</v>
      </c>
      <c r="D301" s="3" t="s">
        <v>209</v>
      </c>
      <c r="E301" s="3" t="s">
        <v>322</v>
      </c>
      <c r="F301" s="1">
        <v>45791</v>
      </c>
      <c r="G301" t="str">
        <f t="shared" si="5"/>
        <v>May -2025</v>
      </c>
      <c r="H301" s="12"/>
    </row>
    <row r="302" spans="1:8" x14ac:dyDescent="0.3">
      <c r="A302" s="2">
        <v>100002421</v>
      </c>
      <c r="B302" s="3" t="s">
        <v>825</v>
      </c>
      <c r="C302" s="3" t="s">
        <v>1011</v>
      </c>
      <c r="D302" s="3" t="s">
        <v>972</v>
      </c>
      <c r="E302" s="3" t="s">
        <v>968</v>
      </c>
      <c r="F302" s="1">
        <v>45791</v>
      </c>
      <c r="G302" t="str">
        <f t="shared" si="5"/>
        <v>May -2025</v>
      </c>
      <c r="H302" s="12"/>
    </row>
    <row r="303" spans="1:8" x14ac:dyDescent="0.3">
      <c r="A303" s="2">
        <v>100002413</v>
      </c>
      <c r="B303" s="3" t="s">
        <v>826</v>
      </c>
      <c r="C303" s="3" t="s">
        <v>1011</v>
      </c>
      <c r="D303" s="3" t="s">
        <v>972</v>
      </c>
      <c r="E303" s="3" t="s">
        <v>967</v>
      </c>
      <c r="F303" s="1">
        <v>45791</v>
      </c>
      <c r="G303" t="str">
        <f t="shared" si="5"/>
        <v>May -2025</v>
      </c>
      <c r="H303" s="12"/>
    </row>
    <row r="304" spans="1:8" x14ac:dyDescent="0.3">
      <c r="A304" s="2">
        <v>740137</v>
      </c>
      <c r="B304" s="3" t="s">
        <v>720</v>
      </c>
      <c r="C304" s="3" t="s">
        <v>1010</v>
      </c>
      <c r="D304" s="3" t="s">
        <v>364</v>
      </c>
      <c r="E304" s="3" t="s">
        <v>7</v>
      </c>
      <c r="F304" s="1">
        <v>45792</v>
      </c>
      <c r="G304" t="str">
        <f t="shared" si="5"/>
        <v>May -2025</v>
      </c>
      <c r="H304" s="12"/>
    </row>
    <row r="305" spans="1:8" x14ac:dyDescent="0.3">
      <c r="A305" s="2">
        <v>740166</v>
      </c>
      <c r="B305" s="3" t="s">
        <v>721</v>
      </c>
      <c r="C305" s="3" t="s">
        <v>1010</v>
      </c>
      <c r="D305" s="3" t="s">
        <v>364</v>
      </c>
      <c r="E305" s="3" t="s">
        <v>11</v>
      </c>
      <c r="F305" s="1">
        <v>45792</v>
      </c>
      <c r="G305" t="str">
        <f t="shared" si="5"/>
        <v>May -2025</v>
      </c>
      <c r="H305" s="12"/>
    </row>
    <row r="306" spans="1:8" x14ac:dyDescent="0.3">
      <c r="A306" s="2">
        <v>740208</v>
      </c>
      <c r="B306" s="3" t="s">
        <v>722</v>
      </c>
      <c r="C306" s="3" t="s">
        <v>1010</v>
      </c>
      <c r="D306" s="3" t="s">
        <v>364</v>
      </c>
      <c r="E306" s="3" t="s">
        <v>11</v>
      </c>
      <c r="F306" s="1">
        <v>45792</v>
      </c>
      <c r="G306" t="str">
        <f t="shared" si="5"/>
        <v>May -2025</v>
      </c>
      <c r="H306" s="12"/>
    </row>
    <row r="307" spans="1:8" x14ac:dyDescent="0.3">
      <c r="A307" s="2">
        <v>740324</v>
      </c>
      <c r="B307" s="3" t="s">
        <v>722</v>
      </c>
      <c r="C307" s="3" t="s">
        <v>1010</v>
      </c>
      <c r="D307" s="3" t="s">
        <v>364</v>
      </c>
      <c r="E307" s="3" t="s">
        <v>11</v>
      </c>
      <c r="F307" s="1">
        <v>45792</v>
      </c>
      <c r="G307" t="str">
        <f t="shared" si="5"/>
        <v>May -2025</v>
      </c>
      <c r="H307" s="12"/>
    </row>
    <row r="308" spans="1:8" x14ac:dyDescent="0.3">
      <c r="A308" s="2">
        <v>740343</v>
      </c>
      <c r="B308" s="3" t="s">
        <v>723</v>
      </c>
      <c r="C308" s="3" t="s">
        <v>1010</v>
      </c>
      <c r="D308" s="3" t="s">
        <v>364</v>
      </c>
      <c r="E308" s="3" t="s">
        <v>11</v>
      </c>
      <c r="F308" s="1">
        <v>45792</v>
      </c>
      <c r="G308" t="str">
        <f t="shared" si="5"/>
        <v>May -2025</v>
      </c>
      <c r="H308" s="12"/>
    </row>
    <row r="309" spans="1:8" x14ac:dyDescent="0.3">
      <c r="A309" s="2">
        <v>740351</v>
      </c>
      <c r="B309" s="3" t="s">
        <v>724</v>
      </c>
      <c r="C309" s="3" t="s">
        <v>1010</v>
      </c>
      <c r="D309" s="3" t="s">
        <v>364</v>
      </c>
      <c r="E309" s="3" t="s">
        <v>11</v>
      </c>
      <c r="F309" s="1">
        <v>45792</v>
      </c>
      <c r="G309" t="str">
        <f t="shared" si="5"/>
        <v>May -2025</v>
      </c>
      <c r="H309" s="12"/>
    </row>
    <row r="310" spans="1:8" x14ac:dyDescent="0.3">
      <c r="A310" s="2">
        <v>740364</v>
      </c>
      <c r="B310" s="3" t="s">
        <v>725</v>
      </c>
      <c r="C310" s="3" t="s">
        <v>1010</v>
      </c>
      <c r="D310" s="3" t="s">
        <v>364</v>
      </c>
      <c r="E310" s="3" t="s">
        <v>11</v>
      </c>
      <c r="F310" s="1">
        <v>45792</v>
      </c>
      <c r="G310" t="str">
        <f t="shared" si="5"/>
        <v>May -2025</v>
      </c>
      <c r="H310" s="12"/>
    </row>
    <row r="311" spans="1:8" x14ac:dyDescent="0.3">
      <c r="A311" s="2">
        <v>740565</v>
      </c>
      <c r="B311" s="3" t="s">
        <v>726</v>
      </c>
      <c r="C311" s="3" t="s">
        <v>1010</v>
      </c>
      <c r="D311" s="3" t="s">
        <v>364</v>
      </c>
      <c r="E311" s="3" t="s">
        <v>15</v>
      </c>
      <c r="F311" s="1">
        <v>45792</v>
      </c>
      <c r="G311" t="str">
        <f t="shared" si="5"/>
        <v>May -2025</v>
      </c>
      <c r="H311" s="12"/>
    </row>
    <row r="312" spans="1:8" x14ac:dyDescent="0.3">
      <c r="A312" s="2">
        <v>742881</v>
      </c>
      <c r="B312" s="3" t="s">
        <v>595</v>
      </c>
      <c r="C312" s="3" t="s">
        <v>1010</v>
      </c>
      <c r="D312" s="3" t="s">
        <v>10</v>
      </c>
      <c r="E312" s="3" t="s">
        <v>11</v>
      </c>
      <c r="F312" s="1">
        <v>45792</v>
      </c>
      <c r="G312" t="str">
        <f t="shared" si="5"/>
        <v>May -2025</v>
      </c>
      <c r="H312" s="12"/>
    </row>
    <row r="313" spans="1:8" x14ac:dyDescent="0.3">
      <c r="A313" s="2">
        <v>740133</v>
      </c>
      <c r="B313" s="3" t="s">
        <v>727</v>
      </c>
      <c r="C313" s="3" t="s">
        <v>1010</v>
      </c>
      <c r="D313" s="3" t="s">
        <v>364</v>
      </c>
      <c r="E313" s="3" t="s">
        <v>7</v>
      </c>
      <c r="F313" s="1">
        <v>45797</v>
      </c>
      <c r="G313" t="str">
        <f t="shared" si="5"/>
        <v>May -2025</v>
      </c>
      <c r="H313" s="12"/>
    </row>
    <row r="314" spans="1:8" x14ac:dyDescent="0.3">
      <c r="A314" s="2">
        <v>740213</v>
      </c>
      <c r="B314" s="3" t="s">
        <v>728</v>
      </c>
      <c r="C314" s="3" t="s">
        <v>1010</v>
      </c>
      <c r="D314" s="3" t="s">
        <v>364</v>
      </c>
      <c r="E314" s="3" t="s">
        <v>7</v>
      </c>
      <c r="F314" s="1">
        <v>45797</v>
      </c>
      <c r="G314" t="str">
        <f t="shared" si="5"/>
        <v>May -2025</v>
      </c>
      <c r="H314" s="12"/>
    </row>
    <row r="315" spans="1:8" x14ac:dyDescent="0.3">
      <c r="A315" s="2">
        <v>740394</v>
      </c>
      <c r="B315" s="3" t="s">
        <v>235</v>
      </c>
      <c r="C315" s="3" t="s">
        <v>1010</v>
      </c>
      <c r="D315" s="3" t="s">
        <v>364</v>
      </c>
      <c r="E315" s="3" t="s">
        <v>11</v>
      </c>
      <c r="F315" s="1">
        <v>45797</v>
      </c>
      <c r="G315" t="str">
        <f t="shared" si="5"/>
        <v>May -2025</v>
      </c>
      <c r="H315" s="12"/>
    </row>
    <row r="316" spans="1:8" x14ac:dyDescent="0.3">
      <c r="A316" s="2">
        <v>740427</v>
      </c>
      <c r="B316" s="3" t="s">
        <v>729</v>
      </c>
      <c r="C316" s="3" t="s">
        <v>1010</v>
      </c>
      <c r="D316" s="3" t="s">
        <v>364</v>
      </c>
      <c r="E316" s="3" t="s">
        <v>11</v>
      </c>
      <c r="F316" s="1">
        <v>45797</v>
      </c>
      <c r="G316" t="str">
        <f t="shared" si="5"/>
        <v>May -2025</v>
      </c>
      <c r="H316" s="12"/>
    </row>
    <row r="317" spans="1:8" x14ac:dyDescent="0.3">
      <c r="A317" s="2">
        <v>740434</v>
      </c>
      <c r="B317" s="3" t="s">
        <v>730</v>
      </c>
      <c r="C317" s="3" t="s">
        <v>1010</v>
      </c>
      <c r="D317" s="3" t="s">
        <v>364</v>
      </c>
      <c r="E317" s="3" t="s">
        <v>11</v>
      </c>
      <c r="F317" s="1">
        <v>45797</v>
      </c>
      <c r="G317" t="str">
        <f t="shared" si="5"/>
        <v>May -2025</v>
      </c>
      <c r="H317" s="12"/>
    </row>
    <row r="318" spans="1:8" x14ac:dyDescent="0.3">
      <c r="A318" s="2">
        <v>740457</v>
      </c>
      <c r="B318" s="3" t="s">
        <v>731</v>
      </c>
      <c r="C318" s="3" t="s">
        <v>1010</v>
      </c>
      <c r="D318" s="3" t="s">
        <v>364</v>
      </c>
      <c r="E318" s="3" t="s">
        <v>11</v>
      </c>
      <c r="F318" s="1">
        <v>45797</v>
      </c>
      <c r="G318" t="str">
        <f t="shared" si="5"/>
        <v>May -2025</v>
      </c>
      <c r="H318" s="12"/>
    </row>
    <row r="319" spans="1:8" x14ac:dyDescent="0.3">
      <c r="A319" s="2">
        <v>740466</v>
      </c>
      <c r="B319" s="3" t="s">
        <v>729</v>
      </c>
      <c r="C319" s="3" t="s">
        <v>1010</v>
      </c>
      <c r="D319" s="3" t="s">
        <v>364</v>
      </c>
      <c r="E319" s="3" t="s">
        <v>11</v>
      </c>
      <c r="F319" s="1">
        <v>45797</v>
      </c>
      <c r="G319" t="str">
        <f t="shared" si="5"/>
        <v>May -2025</v>
      </c>
      <c r="H319" s="12"/>
    </row>
    <row r="320" spans="1:8" x14ac:dyDescent="0.3">
      <c r="A320" s="2">
        <v>741652</v>
      </c>
      <c r="B320" s="3" t="s">
        <v>41</v>
      </c>
      <c r="C320" s="3" t="s">
        <v>1010</v>
      </c>
      <c r="D320" s="3" t="s">
        <v>10</v>
      </c>
      <c r="E320" s="3" t="s">
        <v>11</v>
      </c>
      <c r="F320" s="1">
        <v>45797</v>
      </c>
      <c r="G320" t="str">
        <f t="shared" si="5"/>
        <v>May -2025</v>
      </c>
      <c r="H320" s="12"/>
    </row>
    <row r="321" spans="1:8" x14ac:dyDescent="0.3">
      <c r="A321" s="2">
        <v>741653</v>
      </c>
      <c r="B321" s="3" t="s">
        <v>41</v>
      </c>
      <c r="C321" s="3" t="s">
        <v>1010</v>
      </c>
      <c r="D321" s="3" t="s">
        <v>10</v>
      </c>
      <c r="E321" s="3" t="s">
        <v>11</v>
      </c>
      <c r="F321" s="1">
        <v>45797</v>
      </c>
      <c r="G321" t="str">
        <f t="shared" si="5"/>
        <v>May -2025</v>
      </c>
      <c r="H321" s="12"/>
    </row>
    <row r="322" spans="1:8" x14ac:dyDescent="0.3">
      <c r="A322" s="2">
        <v>749170</v>
      </c>
      <c r="B322" s="3" t="s">
        <v>732</v>
      </c>
      <c r="C322" s="3" t="s">
        <v>1010</v>
      </c>
      <c r="D322" s="3" t="s">
        <v>209</v>
      </c>
      <c r="E322" s="3" t="s">
        <v>11</v>
      </c>
      <c r="F322" s="1">
        <v>45797</v>
      </c>
      <c r="G322" t="str">
        <f t="shared" ref="G322:G385" si="6">TEXT(F322,"mmm -YYYY")</f>
        <v>May -2025</v>
      </c>
      <c r="H322" s="12"/>
    </row>
    <row r="323" spans="1:8" x14ac:dyDescent="0.3">
      <c r="A323" s="2">
        <v>100002482</v>
      </c>
      <c r="B323" s="3" t="s">
        <v>827</v>
      </c>
      <c r="C323" s="3" t="s">
        <v>1011</v>
      </c>
      <c r="D323" s="3" t="s">
        <v>972</v>
      </c>
      <c r="E323" s="3" t="s">
        <v>967</v>
      </c>
      <c r="F323" s="1">
        <v>45797</v>
      </c>
      <c r="G323" t="str">
        <f t="shared" si="6"/>
        <v>May -2025</v>
      </c>
      <c r="H323" s="12"/>
    </row>
    <row r="324" spans="1:8" x14ac:dyDescent="0.3">
      <c r="A324" s="2">
        <v>740389</v>
      </c>
      <c r="B324" s="3" t="s">
        <v>733</v>
      </c>
      <c r="C324" s="3" t="s">
        <v>1010</v>
      </c>
      <c r="D324" s="3" t="s">
        <v>364</v>
      </c>
      <c r="E324" s="3" t="s">
        <v>11</v>
      </c>
      <c r="F324" s="1">
        <v>45798</v>
      </c>
      <c r="G324" t="str">
        <f t="shared" si="6"/>
        <v>May -2025</v>
      </c>
      <c r="H324" s="12"/>
    </row>
    <row r="325" spans="1:8" x14ac:dyDescent="0.3">
      <c r="A325" s="2">
        <v>742905</v>
      </c>
      <c r="B325" s="3" t="s">
        <v>734</v>
      </c>
      <c r="C325" s="3" t="s">
        <v>1010</v>
      </c>
      <c r="D325" s="3" t="s">
        <v>364</v>
      </c>
      <c r="E325" s="3" t="s">
        <v>7</v>
      </c>
      <c r="F325" s="1">
        <v>45798</v>
      </c>
      <c r="G325" t="str">
        <f t="shared" si="6"/>
        <v>May -2025</v>
      </c>
      <c r="H325" s="12"/>
    </row>
    <row r="326" spans="1:8" x14ac:dyDescent="0.3">
      <c r="A326" s="2">
        <v>744537</v>
      </c>
      <c r="B326" s="3" t="s">
        <v>735</v>
      </c>
      <c r="C326" s="3" t="s">
        <v>1010</v>
      </c>
      <c r="D326" s="3" t="s">
        <v>364</v>
      </c>
      <c r="E326" s="3" t="s">
        <v>7</v>
      </c>
      <c r="F326" s="1">
        <v>45798</v>
      </c>
      <c r="G326" t="str">
        <f t="shared" si="6"/>
        <v>May -2025</v>
      </c>
      <c r="H326" s="12"/>
    </row>
    <row r="327" spans="1:8" x14ac:dyDescent="0.3">
      <c r="A327" s="2">
        <v>748677</v>
      </c>
      <c r="B327" s="3" t="s">
        <v>736</v>
      </c>
      <c r="C327" s="3" t="s">
        <v>1010</v>
      </c>
      <c r="D327" s="3" t="s">
        <v>209</v>
      </c>
      <c r="E327" s="3" t="s">
        <v>11</v>
      </c>
      <c r="F327" s="1">
        <v>45798</v>
      </c>
      <c r="G327" t="str">
        <f t="shared" si="6"/>
        <v>May -2025</v>
      </c>
      <c r="H327" s="12"/>
    </row>
    <row r="328" spans="1:8" x14ac:dyDescent="0.3">
      <c r="A328" s="2">
        <v>749201</v>
      </c>
      <c r="B328" s="3" t="s">
        <v>737</v>
      </c>
      <c r="C328" s="3" t="s">
        <v>1010</v>
      </c>
      <c r="D328" s="3" t="s">
        <v>10</v>
      </c>
      <c r="E328" s="3" t="s">
        <v>11</v>
      </c>
      <c r="F328" s="1">
        <v>45798</v>
      </c>
      <c r="G328" t="str">
        <f t="shared" si="6"/>
        <v>May -2025</v>
      </c>
      <c r="H328" s="12"/>
    </row>
    <row r="329" spans="1:8" x14ac:dyDescent="0.3">
      <c r="A329" s="2">
        <v>749211</v>
      </c>
      <c r="B329" s="3" t="s">
        <v>737</v>
      </c>
      <c r="C329" s="3" t="s">
        <v>1010</v>
      </c>
      <c r="D329" s="3" t="s">
        <v>10</v>
      </c>
      <c r="E329" s="3" t="s">
        <v>11</v>
      </c>
      <c r="F329" s="1">
        <v>45798</v>
      </c>
      <c r="G329" t="str">
        <f t="shared" si="6"/>
        <v>May -2025</v>
      </c>
      <c r="H329" s="12"/>
    </row>
    <row r="330" spans="1:8" x14ac:dyDescent="0.3">
      <c r="A330" s="2">
        <v>900003181</v>
      </c>
      <c r="B330" s="3" t="s">
        <v>738</v>
      </c>
      <c r="C330" s="3" t="s">
        <v>1010</v>
      </c>
      <c r="D330" s="3" t="s">
        <v>209</v>
      </c>
      <c r="E330" s="3" t="s">
        <v>322</v>
      </c>
      <c r="F330" s="1">
        <v>45798</v>
      </c>
      <c r="G330" t="str">
        <f t="shared" si="6"/>
        <v>May -2025</v>
      </c>
      <c r="H330" s="12"/>
    </row>
    <row r="331" spans="1:8" x14ac:dyDescent="0.3">
      <c r="A331" s="2">
        <v>100002466</v>
      </c>
      <c r="B331" s="3" t="s">
        <v>828</v>
      </c>
      <c r="C331" s="3" t="s">
        <v>1011</v>
      </c>
      <c r="D331" s="3" t="s">
        <v>972</v>
      </c>
      <c r="E331" s="3" t="s">
        <v>966</v>
      </c>
      <c r="F331" s="1">
        <v>45798</v>
      </c>
      <c r="G331" t="str">
        <f t="shared" si="6"/>
        <v>May -2025</v>
      </c>
      <c r="H331" s="12"/>
    </row>
    <row r="332" spans="1:8" x14ac:dyDescent="0.3">
      <c r="A332" s="2">
        <v>100002465</v>
      </c>
      <c r="B332" s="3" t="s">
        <v>829</v>
      </c>
      <c r="C332" s="3" t="s">
        <v>1011</v>
      </c>
      <c r="D332" s="3" t="s">
        <v>972</v>
      </c>
      <c r="E332" s="3" t="s">
        <v>966</v>
      </c>
      <c r="F332" s="1">
        <v>45798</v>
      </c>
      <c r="G332" t="str">
        <f t="shared" si="6"/>
        <v>May -2025</v>
      </c>
      <c r="H332" s="12"/>
    </row>
    <row r="333" spans="1:8" x14ac:dyDescent="0.3">
      <c r="A333" s="2">
        <v>656260</v>
      </c>
      <c r="B333" s="3" t="s">
        <v>739</v>
      </c>
      <c r="C333" s="3" t="s">
        <v>1010</v>
      </c>
      <c r="D333" s="3" t="s">
        <v>209</v>
      </c>
      <c r="E333" s="3" t="s">
        <v>11</v>
      </c>
      <c r="F333" s="1">
        <v>45799</v>
      </c>
      <c r="G333" t="str">
        <f t="shared" si="6"/>
        <v>May -2025</v>
      </c>
      <c r="H333" s="12"/>
    </row>
    <row r="334" spans="1:8" x14ac:dyDescent="0.3">
      <c r="A334" s="2">
        <v>656447</v>
      </c>
      <c r="B334" s="3" t="s">
        <v>739</v>
      </c>
      <c r="C334" s="3" t="s">
        <v>1010</v>
      </c>
      <c r="D334" s="3" t="s">
        <v>209</v>
      </c>
      <c r="E334" s="3" t="s">
        <v>11</v>
      </c>
      <c r="F334" s="1">
        <v>45799</v>
      </c>
      <c r="G334" t="str">
        <f t="shared" si="6"/>
        <v>May -2025</v>
      </c>
      <c r="H334" s="12"/>
    </row>
    <row r="335" spans="1:8" x14ac:dyDescent="0.3">
      <c r="A335" s="2">
        <v>742705</v>
      </c>
      <c r="B335" s="3" t="s">
        <v>740</v>
      </c>
      <c r="C335" s="3" t="s">
        <v>1010</v>
      </c>
      <c r="D335" s="3" t="s">
        <v>10</v>
      </c>
      <c r="E335" s="3" t="s">
        <v>11</v>
      </c>
      <c r="F335" s="1">
        <v>45799</v>
      </c>
      <c r="G335" t="str">
        <f t="shared" si="6"/>
        <v>May -2025</v>
      </c>
      <c r="H335" s="12"/>
    </row>
    <row r="336" spans="1:8" x14ac:dyDescent="0.3">
      <c r="A336" s="2">
        <v>742760</v>
      </c>
      <c r="B336" s="3" t="s">
        <v>741</v>
      </c>
      <c r="C336" s="3" t="s">
        <v>1010</v>
      </c>
      <c r="D336" s="3" t="s">
        <v>1259</v>
      </c>
      <c r="E336" s="3" t="s">
        <v>15</v>
      </c>
      <c r="F336" s="1">
        <v>45799</v>
      </c>
      <c r="G336" t="str">
        <f t="shared" si="6"/>
        <v>May -2025</v>
      </c>
      <c r="H336" s="12"/>
    </row>
    <row r="337" spans="1:8" x14ac:dyDescent="0.3">
      <c r="A337" s="2">
        <v>742894</v>
      </c>
      <c r="B337" s="3" t="s">
        <v>742</v>
      </c>
      <c r="C337" s="3" t="s">
        <v>1010</v>
      </c>
      <c r="D337" s="3" t="s">
        <v>364</v>
      </c>
      <c r="E337" s="3" t="s">
        <v>7</v>
      </c>
      <c r="F337" s="1">
        <v>45799</v>
      </c>
      <c r="G337" t="str">
        <f t="shared" si="6"/>
        <v>May -2025</v>
      </c>
      <c r="H337" s="12"/>
    </row>
    <row r="338" spans="1:8" x14ac:dyDescent="0.3">
      <c r="A338" s="2">
        <v>744321</v>
      </c>
      <c r="B338" s="3" t="s">
        <v>743</v>
      </c>
      <c r="C338" s="3" t="s">
        <v>1010</v>
      </c>
      <c r="D338" s="3" t="s">
        <v>1259</v>
      </c>
      <c r="E338" s="3" t="s">
        <v>15</v>
      </c>
      <c r="F338" s="1">
        <v>45799</v>
      </c>
      <c r="G338" t="str">
        <f t="shared" si="6"/>
        <v>May -2025</v>
      </c>
      <c r="H338" s="12"/>
    </row>
    <row r="339" spans="1:8" x14ac:dyDescent="0.3">
      <c r="A339" s="2">
        <v>744611</v>
      </c>
      <c r="B339" s="3" t="s">
        <v>744</v>
      </c>
      <c r="C339" s="3" t="s">
        <v>1010</v>
      </c>
      <c r="D339" s="3" t="s">
        <v>364</v>
      </c>
      <c r="E339" s="3" t="s">
        <v>7</v>
      </c>
      <c r="F339" s="1">
        <v>45799</v>
      </c>
      <c r="G339" t="str">
        <f t="shared" si="6"/>
        <v>May -2025</v>
      </c>
      <c r="H339" s="12"/>
    </row>
    <row r="340" spans="1:8" x14ac:dyDescent="0.3">
      <c r="A340" s="2">
        <v>749032</v>
      </c>
      <c r="B340" s="3" t="s">
        <v>745</v>
      </c>
      <c r="C340" s="3" t="s">
        <v>1010</v>
      </c>
      <c r="D340" s="3" t="s">
        <v>1259</v>
      </c>
      <c r="E340" s="3" t="s">
        <v>15</v>
      </c>
      <c r="F340" s="1">
        <v>45799</v>
      </c>
      <c r="G340" t="str">
        <f t="shared" si="6"/>
        <v>May -2025</v>
      </c>
      <c r="H340" s="12"/>
    </row>
    <row r="341" spans="1:8" x14ac:dyDescent="0.3">
      <c r="A341" s="2">
        <v>759625</v>
      </c>
      <c r="B341" s="3" t="s">
        <v>746</v>
      </c>
      <c r="C341" s="3" t="s">
        <v>1010</v>
      </c>
      <c r="D341" s="3" t="s">
        <v>209</v>
      </c>
      <c r="E341" s="3" t="s">
        <v>11</v>
      </c>
      <c r="F341" s="1">
        <v>45799</v>
      </c>
      <c r="G341" t="str">
        <f t="shared" si="6"/>
        <v>May -2025</v>
      </c>
      <c r="H341" s="12"/>
    </row>
    <row r="342" spans="1:8" x14ac:dyDescent="0.3">
      <c r="A342" s="2">
        <v>900003188</v>
      </c>
      <c r="B342" s="3" t="s">
        <v>747</v>
      </c>
      <c r="C342" s="3" t="s">
        <v>1010</v>
      </c>
      <c r="D342" s="3" t="s">
        <v>209</v>
      </c>
      <c r="E342" s="3" t="s">
        <v>322</v>
      </c>
      <c r="F342" s="1">
        <v>45799</v>
      </c>
      <c r="G342" t="str">
        <f t="shared" si="6"/>
        <v>May -2025</v>
      </c>
      <c r="H342" s="12"/>
    </row>
    <row r="343" spans="1:8" x14ac:dyDescent="0.3">
      <c r="A343" s="2" t="s">
        <v>830</v>
      </c>
      <c r="B343" s="3" t="s">
        <v>777</v>
      </c>
      <c r="C343" s="3" t="s">
        <v>1011</v>
      </c>
      <c r="D343" s="3" t="s">
        <v>972</v>
      </c>
      <c r="E343" s="3" t="s">
        <v>965</v>
      </c>
      <c r="F343" s="1">
        <v>45799</v>
      </c>
      <c r="G343" t="str">
        <f t="shared" si="6"/>
        <v>May -2025</v>
      </c>
      <c r="H343" s="12"/>
    </row>
    <row r="344" spans="1:8" x14ac:dyDescent="0.3">
      <c r="A344" s="2" t="s">
        <v>831</v>
      </c>
      <c r="B344" s="3" t="s">
        <v>777</v>
      </c>
      <c r="C344" s="3" t="s">
        <v>1011</v>
      </c>
      <c r="D344" s="3" t="s">
        <v>972</v>
      </c>
      <c r="E344" s="3" t="s">
        <v>965</v>
      </c>
      <c r="F344" s="1">
        <v>45799</v>
      </c>
      <c r="G344" t="str">
        <f t="shared" si="6"/>
        <v>May -2025</v>
      </c>
      <c r="H344" s="12"/>
    </row>
    <row r="345" spans="1:8" x14ac:dyDescent="0.3">
      <c r="A345" s="2" t="s">
        <v>832</v>
      </c>
      <c r="B345" s="3" t="s">
        <v>777</v>
      </c>
      <c r="C345" s="3" t="s">
        <v>1011</v>
      </c>
      <c r="D345" s="3" t="s">
        <v>972</v>
      </c>
      <c r="E345" s="3" t="s">
        <v>965</v>
      </c>
      <c r="F345" s="1">
        <v>45799</v>
      </c>
      <c r="G345" t="str">
        <f t="shared" si="6"/>
        <v>May -2025</v>
      </c>
      <c r="H345" s="12"/>
    </row>
    <row r="346" spans="1:8" x14ac:dyDescent="0.3">
      <c r="A346" s="2" t="s">
        <v>833</v>
      </c>
      <c r="B346" s="3" t="s">
        <v>777</v>
      </c>
      <c r="C346" s="3" t="s">
        <v>1011</v>
      </c>
      <c r="D346" s="3" t="s">
        <v>972</v>
      </c>
      <c r="E346" s="3" t="s">
        <v>965</v>
      </c>
      <c r="F346" s="1">
        <v>45799</v>
      </c>
      <c r="G346" t="str">
        <f t="shared" si="6"/>
        <v>May -2025</v>
      </c>
      <c r="H346" s="12"/>
    </row>
    <row r="347" spans="1:8" x14ac:dyDescent="0.3">
      <c r="A347" s="2" t="s">
        <v>834</v>
      </c>
      <c r="B347" s="3" t="s">
        <v>777</v>
      </c>
      <c r="C347" s="3" t="s">
        <v>1011</v>
      </c>
      <c r="D347" s="3" t="s">
        <v>972</v>
      </c>
      <c r="E347" s="3" t="s">
        <v>965</v>
      </c>
      <c r="F347" s="1">
        <v>45799</v>
      </c>
      <c r="G347" t="str">
        <f t="shared" si="6"/>
        <v>May -2025</v>
      </c>
      <c r="H347" s="12"/>
    </row>
    <row r="348" spans="1:8" x14ac:dyDescent="0.3">
      <c r="A348" s="2" t="s">
        <v>835</v>
      </c>
      <c r="B348" s="3" t="s">
        <v>777</v>
      </c>
      <c r="C348" s="3" t="s">
        <v>1011</v>
      </c>
      <c r="D348" s="3" t="s">
        <v>972</v>
      </c>
      <c r="E348" s="3" t="s">
        <v>965</v>
      </c>
      <c r="F348" s="1">
        <v>45799</v>
      </c>
      <c r="G348" t="str">
        <f t="shared" si="6"/>
        <v>May -2025</v>
      </c>
      <c r="H348" s="12"/>
    </row>
    <row r="349" spans="1:8" x14ac:dyDescent="0.3">
      <c r="A349" s="2" t="s">
        <v>836</v>
      </c>
      <c r="B349" s="3" t="s">
        <v>777</v>
      </c>
      <c r="C349" s="3" t="s">
        <v>1011</v>
      </c>
      <c r="D349" s="3" t="s">
        <v>972</v>
      </c>
      <c r="E349" s="3" t="s">
        <v>965</v>
      </c>
      <c r="F349" s="1">
        <v>45799</v>
      </c>
      <c r="G349" t="str">
        <f t="shared" si="6"/>
        <v>May -2025</v>
      </c>
      <c r="H349" s="12"/>
    </row>
    <row r="350" spans="1:8" x14ac:dyDescent="0.3">
      <c r="A350" s="2">
        <v>900003186</v>
      </c>
      <c r="B350" s="3" t="s">
        <v>748</v>
      </c>
      <c r="C350" s="3" t="s">
        <v>1010</v>
      </c>
      <c r="D350" s="3" t="s">
        <v>209</v>
      </c>
      <c r="E350" s="3" t="s">
        <v>322</v>
      </c>
      <c r="F350" s="1">
        <v>45800</v>
      </c>
      <c r="G350" t="str">
        <f t="shared" si="6"/>
        <v>May -2025</v>
      </c>
      <c r="H350" s="12"/>
    </row>
    <row r="351" spans="1:8" x14ac:dyDescent="0.3">
      <c r="A351" s="2">
        <v>900003182</v>
      </c>
      <c r="B351" s="3" t="s">
        <v>749</v>
      </c>
      <c r="C351" s="3" t="s">
        <v>1010</v>
      </c>
      <c r="D351" s="3" t="s">
        <v>209</v>
      </c>
      <c r="E351" s="3" t="s">
        <v>322</v>
      </c>
      <c r="F351" s="1">
        <v>45800</v>
      </c>
      <c r="G351" t="str">
        <f t="shared" si="6"/>
        <v>May -2025</v>
      </c>
      <c r="H351" s="12"/>
    </row>
    <row r="352" spans="1:8" x14ac:dyDescent="0.3">
      <c r="A352" s="2" t="s">
        <v>837</v>
      </c>
      <c r="B352" s="3" t="s">
        <v>777</v>
      </c>
      <c r="C352" s="3" t="s">
        <v>1011</v>
      </c>
      <c r="D352" s="3" t="s">
        <v>972</v>
      </c>
      <c r="E352" s="3" t="s">
        <v>965</v>
      </c>
      <c r="F352" s="1">
        <v>45800</v>
      </c>
      <c r="G352" t="str">
        <f t="shared" si="6"/>
        <v>May -2025</v>
      </c>
      <c r="H352" s="12"/>
    </row>
    <row r="353" spans="1:8" x14ac:dyDescent="0.3">
      <c r="A353" s="2">
        <v>742717</v>
      </c>
      <c r="B353" s="3" t="s">
        <v>750</v>
      </c>
      <c r="C353" s="3" t="s">
        <v>1010</v>
      </c>
      <c r="D353" s="3" t="s">
        <v>10</v>
      </c>
      <c r="E353" s="3" t="s">
        <v>11</v>
      </c>
      <c r="F353" s="1">
        <v>45803</v>
      </c>
      <c r="G353" t="str">
        <f t="shared" si="6"/>
        <v>May -2025</v>
      </c>
      <c r="H353" s="12"/>
    </row>
    <row r="354" spans="1:8" x14ac:dyDescent="0.3">
      <c r="A354" s="2">
        <v>756410</v>
      </c>
      <c r="B354" s="3" t="s">
        <v>751</v>
      </c>
      <c r="C354" s="3" t="s">
        <v>1010</v>
      </c>
      <c r="D354" s="3" t="s">
        <v>209</v>
      </c>
      <c r="E354" s="3" t="s">
        <v>11</v>
      </c>
      <c r="F354" s="1">
        <v>45803</v>
      </c>
      <c r="G354" t="str">
        <f t="shared" si="6"/>
        <v>May -2025</v>
      </c>
      <c r="H354" s="12"/>
    </row>
    <row r="355" spans="1:8" x14ac:dyDescent="0.3">
      <c r="A355" s="2">
        <v>756494</v>
      </c>
      <c r="B355" s="3" t="s">
        <v>752</v>
      </c>
      <c r="C355" s="3" t="s">
        <v>1010</v>
      </c>
      <c r="D355" s="3" t="s">
        <v>364</v>
      </c>
      <c r="E355" s="3" t="s">
        <v>7</v>
      </c>
      <c r="F355" s="1">
        <v>45803</v>
      </c>
      <c r="G355" t="str">
        <f t="shared" si="6"/>
        <v>May -2025</v>
      </c>
      <c r="H355" s="12"/>
    </row>
    <row r="356" spans="1:8" x14ac:dyDescent="0.3">
      <c r="A356" s="2">
        <v>756558</v>
      </c>
      <c r="B356" s="3" t="s">
        <v>753</v>
      </c>
      <c r="C356" s="3" t="s">
        <v>1010</v>
      </c>
      <c r="D356" s="3" t="s">
        <v>10</v>
      </c>
      <c r="E356" s="3" t="s">
        <v>11</v>
      </c>
      <c r="F356" s="1">
        <v>45803</v>
      </c>
      <c r="G356" t="str">
        <f t="shared" si="6"/>
        <v>May -2025</v>
      </c>
      <c r="H356" s="12"/>
    </row>
    <row r="357" spans="1:8" x14ac:dyDescent="0.3">
      <c r="A357" s="2">
        <v>756631</v>
      </c>
      <c r="B357" s="3" t="s">
        <v>751</v>
      </c>
      <c r="C357" s="3" t="s">
        <v>1010</v>
      </c>
      <c r="D357" s="3" t="s">
        <v>209</v>
      </c>
      <c r="E357" s="3" t="s">
        <v>11</v>
      </c>
      <c r="F357" s="1">
        <v>45803</v>
      </c>
      <c r="G357" t="str">
        <f t="shared" si="6"/>
        <v>May -2025</v>
      </c>
      <c r="H357" s="12"/>
    </row>
    <row r="358" spans="1:8" x14ac:dyDescent="0.3">
      <c r="A358" s="2">
        <v>759668</v>
      </c>
      <c r="B358" s="3" t="s">
        <v>754</v>
      </c>
      <c r="C358" s="3" t="s">
        <v>1010</v>
      </c>
      <c r="D358" s="3" t="s">
        <v>10</v>
      </c>
      <c r="E358" s="3" t="s">
        <v>11</v>
      </c>
      <c r="F358" s="1">
        <v>45803</v>
      </c>
      <c r="G358" t="str">
        <f t="shared" si="6"/>
        <v>May -2025</v>
      </c>
      <c r="H358" s="12"/>
    </row>
    <row r="359" spans="1:8" x14ac:dyDescent="0.3">
      <c r="A359" s="2" t="s">
        <v>838</v>
      </c>
      <c r="B359" s="3" t="s">
        <v>777</v>
      </c>
      <c r="C359" s="3" t="s">
        <v>1011</v>
      </c>
      <c r="D359" s="3" t="s">
        <v>972</v>
      </c>
      <c r="E359" s="3" t="s">
        <v>965</v>
      </c>
      <c r="F359" s="1">
        <v>45803</v>
      </c>
      <c r="G359" t="str">
        <f t="shared" si="6"/>
        <v>May -2025</v>
      </c>
      <c r="H359" s="12"/>
    </row>
    <row r="360" spans="1:8" x14ac:dyDescent="0.3">
      <c r="A360" s="2" t="s">
        <v>839</v>
      </c>
      <c r="B360" s="3" t="s">
        <v>777</v>
      </c>
      <c r="C360" s="3" t="s">
        <v>1011</v>
      </c>
      <c r="D360" s="3" t="s">
        <v>972</v>
      </c>
      <c r="E360" s="3" t="s">
        <v>965</v>
      </c>
      <c r="F360" s="1">
        <v>45803</v>
      </c>
      <c r="G360" t="str">
        <f t="shared" si="6"/>
        <v>May -2025</v>
      </c>
      <c r="H360" s="12"/>
    </row>
    <row r="361" spans="1:8" x14ac:dyDescent="0.3">
      <c r="A361" s="2" t="s">
        <v>840</v>
      </c>
      <c r="B361" s="3" t="s">
        <v>777</v>
      </c>
      <c r="C361" s="3" t="s">
        <v>1011</v>
      </c>
      <c r="D361" s="3" t="s">
        <v>972</v>
      </c>
      <c r="E361" s="3" t="s">
        <v>965</v>
      </c>
      <c r="F361" s="1">
        <v>45803</v>
      </c>
      <c r="G361" t="str">
        <f t="shared" si="6"/>
        <v>May -2025</v>
      </c>
      <c r="H361" s="12"/>
    </row>
    <row r="362" spans="1:8" x14ac:dyDescent="0.3">
      <c r="A362" s="2">
        <v>655598</v>
      </c>
      <c r="B362" s="3" t="s">
        <v>755</v>
      </c>
      <c r="C362" s="3" t="s">
        <v>1010</v>
      </c>
      <c r="D362" s="3" t="s">
        <v>209</v>
      </c>
      <c r="E362" s="3" t="s">
        <v>11</v>
      </c>
      <c r="F362" s="1">
        <v>45804</v>
      </c>
      <c r="G362" t="str">
        <f t="shared" si="6"/>
        <v>May -2025</v>
      </c>
      <c r="H362" s="12"/>
    </row>
    <row r="363" spans="1:8" x14ac:dyDescent="0.3">
      <c r="A363" s="2">
        <v>755614</v>
      </c>
      <c r="B363" s="3" t="s">
        <v>756</v>
      </c>
      <c r="C363" s="3" t="s">
        <v>1010</v>
      </c>
      <c r="D363" s="3" t="s">
        <v>364</v>
      </c>
      <c r="E363" s="3" t="s">
        <v>7</v>
      </c>
      <c r="F363" s="1">
        <v>45804</v>
      </c>
      <c r="G363" t="str">
        <f t="shared" si="6"/>
        <v>May -2025</v>
      </c>
      <c r="H363" s="12"/>
    </row>
    <row r="364" spans="1:8" x14ac:dyDescent="0.3">
      <c r="A364" s="2">
        <v>756376</v>
      </c>
      <c r="B364" s="3" t="s">
        <v>757</v>
      </c>
      <c r="C364" s="3" t="s">
        <v>1010</v>
      </c>
      <c r="D364" s="3" t="s">
        <v>364</v>
      </c>
      <c r="E364" s="3" t="s">
        <v>7</v>
      </c>
      <c r="F364" s="1">
        <v>45804</v>
      </c>
      <c r="G364" t="str">
        <f t="shared" si="6"/>
        <v>May -2025</v>
      </c>
      <c r="H364" s="12"/>
    </row>
    <row r="365" spans="1:8" x14ac:dyDescent="0.3">
      <c r="A365" s="2">
        <v>756377</v>
      </c>
      <c r="B365" s="3" t="s">
        <v>758</v>
      </c>
      <c r="C365" s="3" t="s">
        <v>1010</v>
      </c>
      <c r="D365" s="3" t="s">
        <v>364</v>
      </c>
      <c r="E365" s="3" t="s">
        <v>7</v>
      </c>
      <c r="F365" s="1">
        <v>45804</v>
      </c>
      <c r="G365" t="str">
        <f t="shared" si="6"/>
        <v>May -2025</v>
      </c>
      <c r="H365" s="12"/>
    </row>
    <row r="366" spans="1:8" x14ac:dyDescent="0.3">
      <c r="A366" s="2">
        <v>756417</v>
      </c>
      <c r="B366" s="3" t="s">
        <v>759</v>
      </c>
      <c r="C366" s="3" t="s">
        <v>1010</v>
      </c>
      <c r="D366" s="3" t="s">
        <v>364</v>
      </c>
      <c r="E366" s="3" t="s">
        <v>7</v>
      </c>
      <c r="F366" s="1">
        <v>45804</v>
      </c>
      <c r="G366" t="str">
        <f t="shared" si="6"/>
        <v>May -2025</v>
      </c>
      <c r="H366" s="12"/>
    </row>
    <row r="367" spans="1:8" x14ac:dyDescent="0.3">
      <c r="A367" s="2">
        <v>756446</v>
      </c>
      <c r="B367" s="3" t="s">
        <v>760</v>
      </c>
      <c r="C367" s="3" t="s">
        <v>1010</v>
      </c>
      <c r="D367" s="3" t="s">
        <v>364</v>
      </c>
      <c r="E367" s="3" t="s">
        <v>7</v>
      </c>
      <c r="F367" s="1">
        <v>45804</v>
      </c>
      <c r="G367" t="str">
        <f t="shared" si="6"/>
        <v>May -2025</v>
      </c>
      <c r="H367" s="12"/>
    </row>
    <row r="368" spans="1:8" x14ac:dyDescent="0.3">
      <c r="A368" s="2">
        <v>756454</v>
      </c>
      <c r="B368" s="3" t="s">
        <v>761</v>
      </c>
      <c r="C368" s="3" t="s">
        <v>1010</v>
      </c>
      <c r="D368" s="3" t="s">
        <v>364</v>
      </c>
      <c r="E368" s="3" t="s">
        <v>7</v>
      </c>
      <c r="F368" s="1">
        <v>45804</v>
      </c>
      <c r="G368" t="str">
        <f t="shared" si="6"/>
        <v>May -2025</v>
      </c>
      <c r="H368" s="12"/>
    </row>
    <row r="369" spans="1:8" x14ac:dyDescent="0.3">
      <c r="A369" s="2">
        <v>762865</v>
      </c>
      <c r="B369" s="3" t="s">
        <v>762</v>
      </c>
      <c r="C369" s="3" t="s">
        <v>1010</v>
      </c>
      <c r="D369" s="3" t="s">
        <v>1259</v>
      </c>
      <c r="E369" s="3" t="s">
        <v>15</v>
      </c>
      <c r="F369" s="1">
        <v>45804</v>
      </c>
      <c r="G369" t="str">
        <f t="shared" si="6"/>
        <v>May -2025</v>
      </c>
      <c r="H369" s="12"/>
    </row>
    <row r="370" spans="1:8" x14ac:dyDescent="0.3">
      <c r="A370" s="2">
        <v>100002640</v>
      </c>
      <c r="B370" s="3" t="s">
        <v>841</v>
      </c>
      <c r="C370" s="3" t="s">
        <v>1011</v>
      </c>
      <c r="D370" s="3" t="s">
        <v>972</v>
      </c>
      <c r="E370" s="3" t="s">
        <v>966</v>
      </c>
      <c r="F370" s="1">
        <v>45804</v>
      </c>
      <c r="G370" t="str">
        <f t="shared" si="6"/>
        <v>May -2025</v>
      </c>
      <c r="H370" s="12"/>
    </row>
    <row r="371" spans="1:8" x14ac:dyDescent="0.3">
      <c r="A371" s="2">
        <v>749036</v>
      </c>
      <c r="B371" s="3" t="s">
        <v>763</v>
      </c>
      <c r="C371" s="3" t="s">
        <v>1010</v>
      </c>
      <c r="D371" s="3" t="s">
        <v>1259</v>
      </c>
      <c r="E371" s="3" t="s">
        <v>15</v>
      </c>
      <c r="F371" s="1">
        <v>45805</v>
      </c>
      <c r="G371" t="str">
        <f t="shared" si="6"/>
        <v>May -2025</v>
      </c>
      <c r="H371" s="12"/>
    </row>
    <row r="372" spans="1:8" x14ac:dyDescent="0.3">
      <c r="A372" s="2">
        <v>753727</v>
      </c>
      <c r="B372" s="3" t="s">
        <v>764</v>
      </c>
      <c r="C372" s="3" t="s">
        <v>1010</v>
      </c>
      <c r="D372" s="3" t="s">
        <v>1259</v>
      </c>
      <c r="E372" s="3" t="s">
        <v>15</v>
      </c>
      <c r="F372" s="1">
        <v>45805</v>
      </c>
      <c r="G372" t="str">
        <f t="shared" si="6"/>
        <v>May -2025</v>
      </c>
      <c r="H372" s="12"/>
    </row>
    <row r="373" spans="1:8" x14ac:dyDescent="0.3">
      <c r="A373" s="2">
        <v>755506</v>
      </c>
      <c r="B373" s="3" t="s">
        <v>765</v>
      </c>
      <c r="C373" s="3" t="s">
        <v>1010</v>
      </c>
      <c r="D373" s="3" t="s">
        <v>1259</v>
      </c>
      <c r="E373" s="3" t="s">
        <v>15</v>
      </c>
      <c r="F373" s="1">
        <v>45805</v>
      </c>
      <c r="G373" t="str">
        <f t="shared" si="6"/>
        <v>May -2025</v>
      </c>
      <c r="H373" s="12"/>
    </row>
    <row r="374" spans="1:8" x14ac:dyDescent="0.3">
      <c r="A374" s="2">
        <v>756460</v>
      </c>
      <c r="B374" s="3" t="s">
        <v>766</v>
      </c>
      <c r="C374" s="3" t="s">
        <v>1010</v>
      </c>
      <c r="D374" s="3" t="s">
        <v>364</v>
      </c>
      <c r="E374" s="3" t="s">
        <v>7</v>
      </c>
      <c r="F374" s="1">
        <v>45805</v>
      </c>
      <c r="G374" t="str">
        <f t="shared" si="6"/>
        <v>May -2025</v>
      </c>
      <c r="H374" s="12"/>
    </row>
    <row r="375" spans="1:8" x14ac:dyDescent="0.3">
      <c r="A375" s="2">
        <v>756633</v>
      </c>
      <c r="B375" s="3" t="s">
        <v>767</v>
      </c>
      <c r="C375" s="3" t="s">
        <v>1010</v>
      </c>
      <c r="D375" s="3" t="s">
        <v>1259</v>
      </c>
      <c r="E375" s="3" t="s">
        <v>15</v>
      </c>
      <c r="F375" s="1">
        <v>45805</v>
      </c>
      <c r="G375" t="str">
        <f t="shared" si="6"/>
        <v>May -2025</v>
      </c>
      <c r="H375" s="12"/>
    </row>
    <row r="376" spans="1:8" x14ac:dyDescent="0.3">
      <c r="A376" s="2">
        <v>766316</v>
      </c>
      <c r="B376" s="3" t="s">
        <v>768</v>
      </c>
      <c r="C376" s="3" t="s">
        <v>1010</v>
      </c>
      <c r="D376" s="3" t="s">
        <v>364</v>
      </c>
      <c r="E376" s="3" t="s">
        <v>7</v>
      </c>
      <c r="F376" s="1">
        <v>45805</v>
      </c>
      <c r="G376" t="str">
        <f t="shared" si="6"/>
        <v>May -2025</v>
      </c>
      <c r="H376" s="12"/>
    </row>
    <row r="377" spans="1:8" x14ac:dyDescent="0.3">
      <c r="A377" s="2">
        <v>766583</v>
      </c>
      <c r="B377" s="3" t="s">
        <v>769</v>
      </c>
      <c r="C377" s="3" t="s">
        <v>1010</v>
      </c>
      <c r="D377" s="3" t="s">
        <v>1259</v>
      </c>
      <c r="E377" s="3" t="s">
        <v>15</v>
      </c>
      <c r="F377" s="1">
        <v>45805</v>
      </c>
      <c r="G377" t="str">
        <f t="shared" si="6"/>
        <v>May -2025</v>
      </c>
      <c r="H377" s="12"/>
    </row>
    <row r="378" spans="1:8" x14ac:dyDescent="0.3">
      <c r="A378" s="2">
        <v>756378</v>
      </c>
      <c r="B378" s="3" t="s">
        <v>770</v>
      </c>
      <c r="C378" s="3" t="s">
        <v>1010</v>
      </c>
      <c r="D378" s="3" t="s">
        <v>364</v>
      </c>
      <c r="E378" s="3" t="s">
        <v>7</v>
      </c>
      <c r="F378" s="1">
        <v>45806</v>
      </c>
      <c r="G378" t="str">
        <f t="shared" si="6"/>
        <v>May -2025</v>
      </c>
      <c r="H378" s="12"/>
    </row>
    <row r="379" spans="1:8" x14ac:dyDescent="0.3">
      <c r="A379" s="2">
        <v>756469</v>
      </c>
      <c r="B379" s="3" t="s">
        <v>771</v>
      </c>
      <c r="C379" s="3" t="s">
        <v>1010</v>
      </c>
      <c r="D379" s="3" t="s">
        <v>364</v>
      </c>
      <c r="E379" s="3" t="s">
        <v>7</v>
      </c>
      <c r="F379" s="1">
        <v>45806</v>
      </c>
      <c r="G379" t="str">
        <f t="shared" si="6"/>
        <v>May -2025</v>
      </c>
      <c r="H379" s="12"/>
    </row>
    <row r="380" spans="1:8" x14ac:dyDescent="0.3">
      <c r="A380" s="2">
        <v>756518</v>
      </c>
      <c r="B380" s="3" t="s">
        <v>772</v>
      </c>
      <c r="C380" s="3" t="s">
        <v>1010</v>
      </c>
      <c r="D380" s="3" t="s">
        <v>364</v>
      </c>
      <c r="E380" s="3" t="s">
        <v>7</v>
      </c>
      <c r="F380" s="1">
        <v>45806</v>
      </c>
      <c r="G380" t="str">
        <f t="shared" si="6"/>
        <v>May -2025</v>
      </c>
      <c r="H380" s="12"/>
    </row>
    <row r="381" spans="1:8" x14ac:dyDescent="0.3">
      <c r="A381" s="2">
        <v>771719</v>
      </c>
      <c r="B381" s="3" t="s">
        <v>773</v>
      </c>
      <c r="C381" s="3" t="s">
        <v>1010</v>
      </c>
      <c r="D381" s="3" t="s">
        <v>364</v>
      </c>
      <c r="E381" s="3" t="s">
        <v>15</v>
      </c>
      <c r="F381" s="1">
        <v>45806</v>
      </c>
      <c r="G381" t="str">
        <f t="shared" si="6"/>
        <v>May -2025</v>
      </c>
      <c r="H381" s="12"/>
    </row>
    <row r="382" spans="1:8" x14ac:dyDescent="0.3">
      <c r="A382" s="2" t="s">
        <v>842</v>
      </c>
      <c r="B382" s="3" t="s">
        <v>777</v>
      </c>
      <c r="C382" s="3" t="s">
        <v>1011</v>
      </c>
      <c r="D382" s="3" t="s">
        <v>972</v>
      </c>
      <c r="E382" s="3" t="s">
        <v>965</v>
      </c>
      <c r="F382" s="1">
        <v>45806</v>
      </c>
      <c r="G382" t="str">
        <f t="shared" si="6"/>
        <v>May -2025</v>
      </c>
      <c r="H382" s="12"/>
    </row>
    <row r="383" spans="1:8" x14ac:dyDescent="0.3">
      <c r="A383" s="2" t="s">
        <v>843</v>
      </c>
      <c r="B383" s="3" t="s">
        <v>777</v>
      </c>
      <c r="C383" s="3" t="s">
        <v>1011</v>
      </c>
      <c r="D383" s="3" t="s">
        <v>972</v>
      </c>
      <c r="E383" s="3" t="s">
        <v>965</v>
      </c>
      <c r="F383" s="1">
        <v>45806</v>
      </c>
      <c r="G383" t="str">
        <f t="shared" si="6"/>
        <v>May -2025</v>
      </c>
      <c r="H383" s="12"/>
    </row>
    <row r="384" spans="1:8" x14ac:dyDescent="0.3">
      <c r="A384" s="2" t="s">
        <v>844</v>
      </c>
      <c r="B384" s="3" t="s">
        <v>777</v>
      </c>
      <c r="C384" s="3" t="s">
        <v>1011</v>
      </c>
      <c r="D384" s="3" t="s">
        <v>972</v>
      </c>
      <c r="E384" s="3" t="s">
        <v>965</v>
      </c>
      <c r="F384" s="1">
        <v>45806</v>
      </c>
      <c r="G384" t="str">
        <f t="shared" si="6"/>
        <v>May -2025</v>
      </c>
      <c r="H384" s="12"/>
    </row>
    <row r="385" spans="1:8" x14ac:dyDescent="0.3">
      <c r="A385" s="2">
        <v>752929</v>
      </c>
      <c r="B385" s="3" t="s">
        <v>47</v>
      </c>
      <c r="C385" s="3" t="s">
        <v>1010</v>
      </c>
      <c r="D385" s="3" t="s">
        <v>10</v>
      </c>
      <c r="E385" s="3" t="s">
        <v>11</v>
      </c>
      <c r="F385" s="1">
        <v>45807</v>
      </c>
      <c r="G385" t="str">
        <f t="shared" si="6"/>
        <v>May -2025</v>
      </c>
      <c r="H385" s="12"/>
    </row>
    <row r="386" spans="1:8" x14ac:dyDescent="0.3">
      <c r="A386" s="2">
        <v>762879</v>
      </c>
      <c r="B386" s="3" t="s">
        <v>774</v>
      </c>
      <c r="C386" s="3" t="s">
        <v>1010</v>
      </c>
      <c r="D386" s="3" t="s">
        <v>364</v>
      </c>
      <c r="E386" s="3" t="s">
        <v>7</v>
      </c>
      <c r="F386" s="1">
        <v>45807</v>
      </c>
      <c r="G386" t="str">
        <f t="shared" ref="G386:G449" si="7">TEXT(F386,"mmm -YYYY")</f>
        <v>May -2025</v>
      </c>
      <c r="H386" s="12"/>
    </row>
    <row r="387" spans="1:8" x14ac:dyDescent="0.3">
      <c r="A387" s="2">
        <v>775660</v>
      </c>
      <c r="B387" s="3" t="s">
        <v>775</v>
      </c>
      <c r="C387" s="3" t="s">
        <v>1010</v>
      </c>
      <c r="D387" s="3" t="s">
        <v>10</v>
      </c>
      <c r="E387" s="3" t="s">
        <v>11</v>
      </c>
      <c r="F387" s="1">
        <v>45807</v>
      </c>
      <c r="G387" t="str">
        <f t="shared" si="7"/>
        <v>May -2025</v>
      </c>
      <c r="H387" s="12"/>
    </row>
    <row r="388" spans="1:8" x14ac:dyDescent="0.3">
      <c r="A388" s="2" t="s">
        <v>845</v>
      </c>
      <c r="B388" s="3" t="s">
        <v>777</v>
      </c>
      <c r="C388" s="3" t="s">
        <v>1011</v>
      </c>
      <c r="D388" s="3" t="s">
        <v>972</v>
      </c>
      <c r="E388" s="3" t="s">
        <v>965</v>
      </c>
      <c r="F388" s="1">
        <v>45807</v>
      </c>
      <c r="G388" t="str">
        <f t="shared" si="7"/>
        <v>May -2025</v>
      </c>
      <c r="H388" s="12"/>
    </row>
    <row r="389" spans="1:8" x14ac:dyDescent="0.3">
      <c r="A389" s="2" t="s">
        <v>846</v>
      </c>
      <c r="B389" s="3" t="s">
        <v>777</v>
      </c>
      <c r="C389" s="3" t="s">
        <v>1011</v>
      </c>
      <c r="D389" s="3" t="s">
        <v>972</v>
      </c>
      <c r="E389" s="3" t="s">
        <v>965</v>
      </c>
      <c r="F389" s="1">
        <v>45807</v>
      </c>
      <c r="G389" t="str">
        <f t="shared" si="7"/>
        <v>May -2025</v>
      </c>
      <c r="H389" s="12"/>
    </row>
    <row r="390" spans="1:8" x14ac:dyDescent="0.3">
      <c r="A390" s="2" t="s">
        <v>847</v>
      </c>
      <c r="B390" s="3" t="s">
        <v>777</v>
      </c>
      <c r="C390" s="3" t="s">
        <v>1011</v>
      </c>
      <c r="D390" s="3" t="s">
        <v>972</v>
      </c>
      <c r="E390" s="3" t="s">
        <v>965</v>
      </c>
      <c r="F390" s="1">
        <v>45807</v>
      </c>
      <c r="G390" t="str">
        <f t="shared" si="7"/>
        <v>May -2025</v>
      </c>
      <c r="H390" s="12"/>
    </row>
    <row r="391" spans="1:8" x14ac:dyDescent="0.3">
      <c r="A391" s="2" t="s">
        <v>848</v>
      </c>
      <c r="B391" s="3" t="s">
        <v>777</v>
      </c>
      <c r="C391" s="3" t="s">
        <v>1011</v>
      </c>
      <c r="D391" s="3" t="s">
        <v>972</v>
      </c>
      <c r="E391" s="3" t="s">
        <v>965</v>
      </c>
      <c r="F391" s="1">
        <v>45807</v>
      </c>
      <c r="G391" t="str">
        <f t="shared" si="7"/>
        <v>May -2025</v>
      </c>
      <c r="H391" s="12"/>
    </row>
    <row r="392" spans="1:8" x14ac:dyDescent="0.3">
      <c r="A392" s="2" t="s">
        <v>849</v>
      </c>
      <c r="B392" s="3" t="s">
        <v>777</v>
      </c>
      <c r="C392" s="3" t="s">
        <v>1011</v>
      </c>
      <c r="D392" s="3" t="s">
        <v>972</v>
      </c>
      <c r="E392" s="3" t="s">
        <v>965</v>
      </c>
      <c r="F392" s="1">
        <v>45807</v>
      </c>
      <c r="G392" t="str">
        <f t="shared" si="7"/>
        <v>May -2025</v>
      </c>
      <c r="H392" s="12"/>
    </row>
    <row r="393" spans="1:8" x14ac:dyDescent="0.3">
      <c r="A393" s="2" t="s">
        <v>850</v>
      </c>
      <c r="B393" s="3" t="s">
        <v>777</v>
      </c>
      <c r="C393" s="3" t="s">
        <v>1011</v>
      </c>
      <c r="D393" s="3" t="s">
        <v>972</v>
      </c>
      <c r="E393" s="3" t="s">
        <v>965</v>
      </c>
      <c r="F393" s="1">
        <v>45807</v>
      </c>
      <c r="G393" t="str">
        <f t="shared" si="7"/>
        <v>May -2025</v>
      </c>
      <c r="H393" s="12"/>
    </row>
    <row r="394" spans="1:8" x14ac:dyDescent="0.3">
      <c r="A394" s="2" t="s">
        <v>851</v>
      </c>
      <c r="B394" s="3" t="s">
        <v>777</v>
      </c>
      <c r="C394" s="3" t="s">
        <v>1011</v>
      </c>
      <c r="D394" s="3" t="s">
        <v>972</v>
      </c>
      <c r="E394" s="3" t="s">
        <v>965</v>
      </c>
      <c r="F394" s="1">
        <v>45807</v>
      </c>
      <c r="G394" t="str">
        <f t="shared" si="7"/>
        <v>May -2025</v>
      </c>
      <c r="H394" s="12"/>
    </row>
    <row r="395" spans="1:8" x14ac:dyDescent="0.3">
      <c r="A395" s="2" t="s">
        <v>852</v>
      </c>
      <c r="B395" s="3" t="s">
        <v>777</v>
      </c>
      <c r="C395" s="3" t="s">
        <v>1011</v>
      </c>
      <c r="D395" s="3" t="s">
        <v>972</v>
      </c>
      <c r="E395" s="3" t="s">
        <v>965</v>
      </c>
      <c r="F395" s="1">
        <v>45807</v>
      </c>
      <c r="G395" t="str">
        <f t="shared" si="7"/>
        <v>May -2025</v>
      </c>
      <c r="H395" s="12"/>
    </row>
    <row r="396" spans="1:8" x14ac:dyDescent="0.3">
      <c r="A396" s="2" t="s">
        <v>853</v>
      </c>
      <c r="B396" s="3" t="s">
        <v>777</v>
      </c>
      <c r="C396" s="3" t="s">
        <v>1011</v>
      </c>
      <c r="D396" s="3" t="s">
        <v>972</v>
      </c>
      <c r="E396" s="3" t="s">
        <v>965</v>
      </c>
      <c r="F396" s="1">
        <v>45807</v>
      </c>
      <c r="G396" t="str">
        <f t="shared" si="7"/>
        <v>May -2025</v>
      </c>
      <c r="H396" s="12"/>
    </row>
    <row r="397" spans="1:8" x14ac:dyDescent="0.3">
      <c r="A397" s="2" t="s">
        <v>854</v>
      </c>
      <c r="B397" s="3" t="s">
        <v>777</v>
      </c>
      <c r="C397" s="3" t="s">
        <v>1011</v>
      </c>
      <c r="D397" s="3" t="s">
        <v>972</v>
      </c>
      <c r="E397" s="3" t="s">
        <v>965</v>
      </c>
      <c r="F397" s="1">
        <v>45807</v>
      </c>
      <c r="G397" t="str">
        <f t="shared" si="7"/>
        <v>May -2025</v>
      </c>
      <c r="H397" s="12"/>
    </row>
    <row r="398" spans="1:8" x14ac:dyDescent="0.3">
      <c r="A398" s="2" t="s">
        <v>855</v>
      </c>
      <c r="B398" s="3" t="s">
        <v>777</v>
      </c>
      <c r="C398" s="3" t="s">
        <v>1011</v>
      </c>
      <c r="D398" s="3" t="s">
        <v>972</v>
      </c>
      <c r="E398" s="3" t="s">
        <v>965</v>
      </c>
      <c r="F398" s="1">
        <v>45807</v>
      </c>
      <c r="G398" t="str">
        <f t="shared" si="7"/>
        <v>May -2025</v>
      </c>
      <c r="H398" s="12"/>
    </row>
    <row r="399" spans="1:8" x14ac:dyDescent="0.3">
      <c r="A399" s="2" t="s">
        <v>856</v>
      </c>
      <c r="B399" s="3" t="s">
        <v>777</v>
      </c>
      <c r="C399" s="3" t="s">
        <v>1011</v>
      </c>
      <c r="D399" s="3" t="s">
        <v>972</v>
      </c>
      <c r="E399" s="3" t="s">
        <v>965</v>
      </c>
      <c r="F399" s="1">
        <v>45807</v>
      </c>
      <c r="G399" t="str">
        <f t="shared" si="7"/>
        <v>May -2025</v>
      </c>
      <c r="H399" s="12"/>
    </row>
    <row r="400" spans="1:8" x14ac:dyDescent="0.3">
      <c r="A400" s="2" t="s">
        <v>857</v>
      </c>
      <c r="B400" s="3" t="s">
        <v>777</v>
      </c>
      <c r="C400" s="3" t="s">
        <v>1011</v>
      </c>
      <c r="D400" s="3" t="s">
        <v>972</v>
      </c>
      <c r="E400" s="3" t="s">
        <v>965</v>
      </c>
      <c r="F400" s="1">
        <v>45807</v>
      </c>
      <c r="G400" t="str">
        <f t="shared" si="7"/>
        <v>May -2025</v>
      </c>
      <c r="H400" s="12"/>
    </row>
    <row r="401" spans="1:8" x14ac:dyDescent="0.3">
      <c r="A401" s="2" t="s">
        <v>858</v>
      </c>
      <c r="B401" s="3" t="s">
        <v>777</v>
      </c>
      <c r="C401" s="3" t="s">
        <v>1011</v>
      </c>
      <c r="D401" s="3" t="s">
        <v>972</v>
      </c>
      <c r="E401" s="3" t="s">
        <v>965</v>
      </c>
      <c r="F401" s="1">
        <v>45807</v>
      </c>
      <c r="G401" t="str">
        <f t="shared" si="7"/>
        <v>May -2025</v>
      </c>
      <c r="H401" s="12"/>
    </row>
    <row r="402" spans="1:8" x14ac:dyDescent="0.3">
      <c r="A402" s="2">
        <v>766306</v>
      </c>
      <c r="B402" s="3" t="s">
        <v>6</v>
      </c>
      <c r="C402" s="3" t="s">
        <v>1010</v>
      </c>
      <c r="D402" s="3" t="s">
        <v>364</v>
      </c>
      <c r="E402" s="3" t="s">
        <v>7</v>
      </c>
      <c r="F402" s="1">
        <v>45810</v>
      </c>
      <c r="G402" t="str">
        <f t="shared" si="7"/>
        <v>Jun -2025</v>
      </c>
      <c r="H402" s="12"/>
    </row>
    <row r="403" spans="1:8" x14ac:dyDescent="0.3">
      <c r="A403" s="2">
        <v>779895</v>
      </c>
      <c r="B403" s="3" t="s">
        <v>9</v>
      </c>
      <c r="C403" s="3" t="s">
        <v>1010</v>
      </c>
      <c r="D403" s="3" t="s">
        <v>10</v>
      </c>
      <c r="E403" s="3" t="s">
        <v>11</v>
      </c>
      <c r="F403" s="1">
        <v>45810</v>
      </c>
      <c r="G403" t="str">
        <f t="shared" si="7"/>
        <v>Jun -2025</v>
      </c>
      <c r="H403" s="12"/>
    </row>
    <row r="404" spans="1:8" x14ac:dyDescent="0.3">
      <c r="A404" s="2">
        <v>780022</v>
      </c>
      <c r="B404" s="3" t="s">
        <v>9</v>
      </c>
      <c r="C404" s="3" t="s">
        <v>1010</v>
      </c>
      <c r="D404" s="3" t="s">
        <v>10</v>
      </c>
      <c r="E404" s="3" t="s">
        <v>11</v>
      </c>
      <c r="F404" s="1">
        <v>45810</v>
      </c>
      <c r="G404" t="str">
        <f t="shared" si="7"/>
        <v>Jun -2025</v>
      </c>
      <c r="H404" s="12"/>
    </row>
    <row r="405" spans="1:8" x14ac:dyDescent="0.3">
      <c r="A405" s="2">
        <v>900003453</v>
      </c>
      <c r="B405" s="3" t="s">
        <v>12</v>
      </c>
      <c r="C405" s="3" t="s">
        <v>1010</v>
      </c>
      <c r="D405" s="3" t="s">
        <v>209</v>
      </c>
      <c r="E405" s="3" t="s">
        <v>322</v>
      </c>
      <c r="F405" s="1">
        <v>45810</v>
      </c>
      <c r="G405" t="str">
        <f t="shared" si="7"/>
        <v>Jun -2025</v>
      </c>
      <c r="H405" s="12"/>
    </row>
    <row r="406" spans="1:8" x14ac:dyDescent="0.3">
      <c r="A406" s="2">
        <v>900003185</v>
      </c>
      <c r="B406" s="3" t="s">
        <v>13</v>
      </c>
      <c r="C406" s="3" t="s">
        <v>1010</v>
      </c>
      <c r="D406" s="3" t="s">
        <v>209</v>
      </c>
      <c r="E406" s="3" t="s">
        <v>322</v>
      </c>
      <c r="F406" s="1">
        <v>45810</v>
      </c>
      <c r="G406" t="str">
        <f t="shared" si="7"/>
        <v>Jun -2025</v>
      </c>
      <c r="H406" s="12"/>
    </row>
    <row r="407" spans="1:8" x14ac:dyDescent="0.3">
      <c r="A407" s="2">
        <v>759449</v>
      </c>
      <c r="B407" s="3" t="s">
        <v>14</v>
      </c>
      <c r="C407" s="3" t="s">
        <v>1010</v>
      </c>
      <c r="D407" s="3" t="s">
        <v>364</v>
      </c>
      <c r="E407" s="3" t="s">
        <v>15</v>
      </c>
      <c r="F407" s="1">
        <v>45811</v>
      </c>
      <c r="G407" t="str">
        <f t="shared" si="7"/>
        <v>Jun -2025</v>
      </c>
      <c r="H407" s="12"/>
    </row>
    <row r="408" spans="1:8" x14ac:dyDescent="0.3">
      <c r="A408" s="2" t="s">
        <v>859</v>
      </c>
      <c r="B408" s="3" t="s">
        <v>777</v>
      </c>
      <c r="C408" s="3" t="s">
        <v>1011</v>
      </c>
      <c r="D408" s="3" t="s">
        <v>972</v>
      </c>
      <c r="E408" s="3" t="s">
        <v>965</v>
      </c>
      <c r="F408" s="1">
        <v>45811</v>
      </c>
      <c r="G408" t="str">
        <f t="shared" si="7"/>
        <v>Jun -2025</v>
      </c>
      <c r="H408" s="12"/>
    </row>
    <row r="409" spans="1:8" x14ac:dyDescent="0.3">
      <c r="A409" s="2">
        <v>766250</v>
      </c>
      <c r="B409" s="3" t="s">
        <v>16</v>
      </c>
      <c r="C409" s="3" t="s">
        <v>1010</v>
      </c>
      <c r="D409" s="3" t="s">
        <v>1259</v>
      </c>
      <c r="E409" s="3" t="s">
        <v>15</v>
      </c>
      <c r="F409" s="1">
        <v>45812</v>
      </c>
      <c r="G409" t="str">
        <f t="shared" si="7"/>
        <v>Jun -2025</v>
      </c>
      <c r="H409" s="12"/>
    </row>
    <row r="410" spans="1:8" x14ac:dyDescent="0.3">
      <c r="A410" s="2">
        <v>766324</v>
      </c>
      <c r="B410" s="3" t="s">
        <v>17</v>
      </c>
      <c r="C410" s="3" t="s">
        <v>1010</v>
      </c>
      <c r="D410" s="3" t="s">
        <v>364</v>
      </c>
      <c r="E410" s="3" t="s">
        <v>7</v>
      </c>
      <c r="F410" s="1">
        <v>45812</v>
      </c>
      <c r="G410" t="str">
        <f t="shared" si="7"/>
        <v>Jun -2025</v>
      </c>
      <c r="H410" s="12"/>
    </row>
    <row r="411" spans="1:8" x14ac:dyDescent="0.3">
      <c r="A411" s="2">
        <v>767270</v>
      </c>
      <c r="B411" s="3" t="s">
        <v>18</v>
      </c>
      <c r="C411" s="3" t="s">
        <v>1010</v>
      </c>
      <c r="D411" s="3" t="s">
        <v>1259</v>
      </c>
      <c r="E411" s="3" t="s">
        <v>15</v>
      </c>
      <c r="F411" s="1">
        <v>45812</v>
      </c>
      <c r="G411" t="str">
        <f t="shared" si="7"/>
        <v>Jun -2025</v>
      </c>
      <c r="H411" s="12"/>
    </row>
    <row r="412" spans="1:8" x14ac:dyDescent="0.3">
      <c r="A412" s="2">
        <v>767624</v>
      </c>
      <c r="B412" s="3" t="s">
        <v>19</v>
      </c>
      <c r="C412" s="3" t="s">
        <v>1010</v>
      </c>
      <c r="D412" s="3" t="s">
        <v>1259</v>
      </c>
      <c r="E412" s="3" t="s">
        <v>15</v>
      </c>
      <c r="F412" s="1">
        <v>45812</v>
      </c>
      <c r="G412" t="str">
        <f t="shared" si="7"/>
        <v>Jun -2025</v>
      </c>
      <c r="H412" s="12"/>
    </row>
    <row r="413" spans="1:8" x14ac:dyDescent="0.3">
      <c r="A413" s="2">
        <v>767626</v>
      </c>
      <c r="B413" s="3" t="s">
        <v>20</v>
      </c>
      <c r="C413" s="3" t="s">
        <v>1010</v>
      </c>
      <c r="D413" s="3" t="s">
        <v>1259</v>
      </c>
      <c r="E413" s="3" t="s">
        <v>15</v>
      </c>
      <c r="F413" s="1">
        <v>45812</v>
      </c>
      <c r="G413" t="str">
        <f t="shared" si="7"/>
        <v>Jun -2025</v>
      </c>
      <c r="H413" s="12"/>
    </row>
    <row r="414" spans="1:8" x14ac:dyDescent="0.3">
      <c r="A414" s="2">
        <v>767818</v>
      </c>
      <c r="B414" s="3" t="s">
        <v>21</v>
      </c>
      <c r="C414" s="3" t="s">
        <v>1010</v>
      </c>
      <c r="D414" s="3" t="s">
        <v>1259</v>
      </c>
      <c r="E414" s="3" t="s">
        <v>15</v>
      </c>
      <c r="F414" s="1">
        <v>45812</v>
      </c>
      <c r="G414" t="str">
        <f t="shared" si="7"/>
        <v>Jun -2025</v>
      </c>
      <c r="H414" s="12"/>
    </row>
    <row r="415" spans="1:8" x14ac:dyDescent="0.3">
      <c r="A415" s="2">
        <v>767819</v>
      </c>
      <c r="B415" s="3" t="s">
        <v>22</v>
      </c>
      <c r="C415" s="3" t="s">
        <v>1010</v>
      </c>
      <c r="D415" s="3" t="s">
        <v>1259</v>
      </c>
      <c r="E415" s="3" t="s">
        <v>15</v>
      </c>
      <c r="F415" s="1">
        <v>45812</v>
      </c>
      <c r="G415" t="str">
        <f t="shared" si="7"/>
        <v>Jun -2025</v>
      </c>
      <c r="H415" s="12"/>
    </row>
    <row r="416" spans="1:8" x14ac:dyDescent="0.3">
      <c r="A416" s="2">
        <v>769038</v>
      </c>
      <c r="B416" s="3" t="s">
        <v>23</v>
      </c>
      <c r="C416" s="3" t="s">
        <v>1010</v>
      </c>
      <c r="D416" s="3" t="s">
        <v>1259</v>
      </c>
      <c r="E416" s="3" t="s">
        <v>15</v>
      </c>
      <c r="F416" s="1">
        <v>45812</v>
      </c>
      <c r="G416" t="str">
        <f t="shared" si="7"/>
        <v>Jun -2025</v>
      </c>
      <c r="H416" s="12"/>
    </row>
    <row r="417" spans="1:8" x14ac:dyDescent="0.3">
      <c r="A417" s="2">
        <v>769318</v>
      </c>
      <c r="B417" s="3" t="s">
        <v>24</v>
      </c>
      <c r="C417" s="3" t="s">
        <v>1010</v>
      </c>
      <c r="D417" s="3" t="s">
        <v>1259</v>
      </c>
      <c r="E417" s="3" t="s">
        <v>15</v>
      </c>
      <c r="F417" s="1">
        <v>45812</v>
      </c>
      <c r="G417" t="str">
        <f t="shared" si="7"/>
        <v>Jun -2025</v>
      </c>
      <c r="H417" s="12"/>
    </row>
    <row r="418" spans="1:8" x14ac:dyDescent="0.3">
      <c r="A418" s="2">
        <v>767412</v>
      </c>
      <c r="B418" s="3" t="s">
        <v>25</v>
      </c>
      <c r="C418" s="3" t="s">
        <v>1010</v>
      </c>
      <c r="D418" s="3" t="s">
        <v>10</v>
      </c>
      <c r="E418" s="3" t="s">
        <v>11</v>
      </c>
      <c r="F418" s="1">
        <v>45813</v>
      </c>
      <c r="G418" t="str">
        <f t="shared" si="7"/>
        <v>Jun -2025</v>
      </c>
      <c r="H418" s="12"/>
    </row>
    <row r="419" spans="1:8" x14ac:dyDescent="0.3">
      <c r="A419" s="2">
        <v>771936</v>
      </c>
      <c r="B419" s="3" t="s">
        <v>26</v>
      </c>
      <c r="C419" s="3" t="s">
        <v>1010</v>
      </c>
      <c r="D419" s="3" t="s">
        <v>364</v>
      </c>
      <c r="E419" s="3" t="s">
        <v>7</v>
      </c>
      <c r="F419" s="1">
        <v>45813</v>
      </c>
      <c r="G419" t="str">
        <f t="shared" si="7"/>
        <v>Jun -2025</v>
      </c>
      <c r="H419" s="12"/>
    </row>
    <row r="420" spans="1:8" x14ac:dyDescent="0.3">
      <c r="A420" s="2">
        <v>771969</v>
      </c>
      <c r="B420" s="3" t="s">
        <v>27</v>
      </c>
      <c r="C420" s="3" t="s">
        <v>1010</v>
      </c>
      <c r="D420" s="3" t="s">
        <v>364</v>
      </c>
      <c r="E420" s="3" t="s">
        <v>7</v>
      </c>
      <c r="F420" s="1">
        <v>45813</v>
      </c>
      <c r="G420" t="str">
        <f t="shared" si="7"/>
        <v>Jun -2025</v>
      </c>
      <c r="H420" s="12"/>
    </row>
    <row r="421" spans="1:8" x14ac:dyDescent="0.3">
      <c r="A421" s="2">
        <v>771992</v>
      </c>
      <c r="B421" s="3" t="s">
        <v>28</v>
      </c>
      <c r="C421" s="3" t="s">
        <v>1010</v>
      </c>
      <c r="D421" s="3" t="s">
        <v>364</v>
      </c>
      <c r="E421" s="3" t="s">
        <v>7</v>
      </c>
      <c r="F421" s="1">
        <v>45813</v>
      </c>
      <c r="G421" t="str">
        <f t="shared" si="7"/>
        <v>Jun -2025</v>
      </c>
      <c r="H421" s="12"/>
    </row>
    <row r="422" spans="1:8" x14ac:dyDescent="0.3">
      <c r="A422" s="2">
        <v>766628</v>
      </c>
      <c r="B422" s="3" t="s">
        <v>29</v>
      </c>
      <c r="C422" s="3" t="s">
        <v>1010</v>
      </c>
      <c r="D422" s="3" t="s">
        <v>10</v>
      </c>
      <c r="E422" s="3" t="s">
        <v>11</v>
      </c>
      <c r="F422" s="1">
        <v>45814</v>
      </c>
      <c r="G422" t="str">
        <f t="shared" si="7"/>
        <v>Jun -2025</v>
      </c>
      <c r="H422" s="12"/>
    </row>
    <row r="423" spans="1:8" x14ac:dyDescent="0.3">
      <c r="A423" s="2">
        <v>775487</v>
      </c>
      <c r="B423" s="3" t="s">
        <v>30</v>
      </c>
      <c r="C423" s="3" t="s">
        <v>1010</v>
      </c>
      <c r="D423" s="3" t="s">
        <v>364</v>
      </c>
      <c r="E423" s="3" t="s">
        <v>7</v>
      </c>
      <c r="F423" s="1">
        <v>45814</v>
      </c>
      <c r="G423" t="str">
        <f t="shared" si="7"/>
        <v>Jun -2025</v>
      </c>
      <c r="H423" s="12"/>
    </row>
    <row r="424" spans="1:8" x14ac:dyDescent="0.3">
      <c r="A424" s="2">
        <v>799541</v>
      </c>
      <c r="B424" s="3" t="s">
        <v>31</v>
      </c>
      <c r="C424" s="3" t="s">
        <v>1010</v>
      </c>
      <c r="D424" s="3" t="s">
        <v>209</v>
      </c>
      <c r="E424" s="3" t="s">
        <v>11</v>
      </c>
      <c r="F424" s="1">
        <v>45814</v>
      </c>
      <c r="G424" t="str">
        <f t="shared" si="7"/>
        <v>Jun -2025</v>
      </c>
      <c r="H424" s="12"/>
    </row>
    <row r="425" spans="1:8" x14ac:dyDescent="0.3">
      <c r="A425" s="2">
        <v>767621</v>
      </c>
      <c r="B425" s="3" t="s">
        <v>32</v>
      </c>
      <c r="C425" s="3" t="s">
        <v>1010</v>
      </c>
      <c r="D425" s="3" t="s">
        <v>1259</v>
      </c>
      <c r="E425" s="3" t="s">
        <v>15</v>
      </c>
      <c r="F425" s="1">
        <v>45815</v>
      </c>
      <c r="G425" t="str">
        <f t="shared" si="7"/>
        <v>Jun -2025</v>
      </c>
      <c r="H425" s="12"/>
    </row>
    <row r="426" spans="1:8" x14ac:dyDescent="0.3">
      <c r="A426" s="2">
        <v>771883</v>
      </c>
      <c r="B426" s="3" t="s">
        <v>33</v>
      </c>
      <c r="C426" s="3" t="s">
        <v>1010</v>
      </c>
      <c r="D426" s="3" t="s">
        <v>1259</v>
      </c>
      <c r="E426" s="3" t="s">
        <v>15</v>
      </c>
      <c r="F426" s="1">
        <v>45815</v>
      </c>
      <c r="G426" t="str">
        <f t="shared" si="7"/>
        <v>Jun -2025</v>
      </c>
      <c r="H426" s="12"/>
    </row>
    <row r="427" spans="1:8" x14ac:dyDescent="0.3">
      <c r="A427" s="2">
        <v>775535</v>
      </c>
      <c r="B427" s="3" t="s">
        <v>34</v>
      </c>
      <c r="C427" s="3" t="s">
        <v>1010</v>
      </c>
      <c r="D427" s="3" t="s">
        <v>364</v>
      </c>
      <c r="E427" s="3" t="s">
        <v>7</v>
      </c>
      <c r="F427" s="1">
        <v>45815</v>
      </c>
      <c r="G427" t="str">
        <f t="shared" si="7"/>
        <v>Jun -2025</v>
      </c>
      <c r="H427" s="12"/>
    </row>
    <row r="428" spans="1:8" x14ac:dyDescent="0.3">
      <c r="A428" s="2">
        <v>775537</v>
      </c>
      <c r="B428" s="3" t="s">
        <v>35</v>
      </c>
      <c r="C428" s="3" t="s">
        <v>1010</v>
      </c>
      <c r="D428" s="3" t="s">
        <v>364</v>
      </c>
      <c r="E428" s="3" t="s">
        <v>7</v>
      </c>
      <c r="F428" s="1">
        <v>45815</v>
      </c>
      <c r="G428" t="str">
        <f t="shared" si="7"/>
        <v>Jun -2025</v>
      </c>
      <c r="H428" s="12"/>
    </row>
    <row r="429" spans="1:8" x14ac:dyDescent="0.3">
      <c r="A429" s="2">
        <v>775538</v>
      </c>
      <c r="B429" s="3" t="s">
        <v>36</v>
      </c>
      <c r="C429" s="3" t="s">
        <v>1010</v>
      </c>
      <c r="D429" s="3" t="s">
        <v>364</v>
      </c>
      <c r="E429" s="3" t="s">
        <v>7</v>
      </c>
      <c r="F429" s="1">
        <v>45815</v>
      </c>
      <c r="G429" t="str">
        <f t="shared" si="7"/>
        <v>Jun -2025</v>
      </c>
      <c r="H429" s="12"/>
    </row>
    <row r="430" spans="1:8" x14ac:dyDescent="0.3">
      <c r="A430" s="2">
        <v>775539</v>
      </c>
      <c r="B430" s="3" t="s">
        <v>37</v>
      </c>
      <c r="C430" s="3" t="s">
        <v>1010</v>
      </c>
      <c r="D430" s="3" t="s">
        <v>364</v>
      </c>
      <c r="E430" s="3" t="s">
        <v>7</v>
      </c>
      <c r="F430" s="1">
        <v>45815</v>
      </c>
      <c r="G430" t="str">
        <f t="shared" si="7"/>
        <v>Jun -2025</v>
      </c>
      <c r="H430" s="12"/>
    </row>
    <row r="431" spans="1:8" x14ac:dyDescent="0.3">
      <c r="A431" s="2">
        <v>775561</v>
      </c>
      <c r="B431" s="3" t="s">
        <v>38</v>
      </c>
      <c r="C431" s="3" t="s">
        <v>1010</v>
      </c>
      <c r="D431" s="3" t="s">
        <v>364</v>
      </c>
      <c r="E431" s="3" t="s">
        <v>7</v>
      </c>
      <c r="F431" s="1">
        <v>45815</v>
      </c>
      <c r="G431" t="str">
        <f t="shared" si="7"/>
        <v>Jun -2025</v>
      </c>
      <c r="H431" s="12"/>
    </row>
    <row r="432" spans="1:8" x14ac:dyDescent="0.3">
      <c r="A432" s="2">
        <v>775628</v>
      </c>
      <c r="B432" s="3" t="s">
        <v>39</v>
      </c>
      <c r="C432" s="3" t="s">
        <v>1010</v>
      </c>
      <c r="D432" s="3" t="s">
        <v>364</v>
      </c>
      <c r="E432" s="3" t="s">
        <v>7</v>
      </c>
      <c r="F432" s="1">
        <v>45815</v>
      </c>
      <c r="G432" t="str">
        <f t="shared" si="7"/>
        <v>Jun -2025</v>
      </c>
      <c r="H432" s="12"/>
    </row>
    <row r="433" spans="1:8" x14ac:dyDescent="0.3">
      <c r="A433" s="2">
        <v>804141</v>
      </c>
      <c r="B433" s="3" t="s">
        <v>40</v>
      </c>
      <c r="C433" s="3" t="s">
        <v>1010</v>
      </c>
      <c r="D433" s="3" t="s">
        <v>364</v>
      </c>
      <c r="E433" s="3" t="s">
        <v>7</v>
      </c>
      <c r="F433" s="1">
        <v>45815</v>
      </c>
      <c r="G433" t="str">
        <f t="shared" si="7"/>
        <v>Jun -2025</v>
      </c>
      <c r="H433" s="12"/>
    </row>
    <row r="434" spans="1:8" x14ac:dyDescent="0.3">
      <c r="A434" s="2">
        <v>767678</v>
      </c>
      <c r="B434" s="3" t="s">
        <v>41</v>
      </c>
      <c r="C434" s="3" t="s">
        <v>1010</v>
      </c>
      <c r="D434" s="3" t="s">
        <v>10</v>
      </c>
      <c r="E434" s="3" t="s">
        <v>11</v>
      </c>
      <c r="F434" s="1">
        <v>45817</v>
      </c>
      <c r="G434" t="str">
        <f t="shared" si="7"/>
        <v>Jun -2025</v>
      </c>
      <c r="H434" s="12"/>
    </row>
    <row r="435" spans="1:8" x14ac:dyDescent="0.3">
      <c r="A435" s="2">
        <v>769424</v>
      </c>
      <c r="B435" s="3" t="s">
        <v>42</v>
      </c>
      <c r="C435" s="3" t="s">
        <v>1010</v>
      </c>
      <c r="D435" s="3" t="s">
        <v>10</v>
      </c>
      <c r="E435" s="3" t="s">
        <v>11</v>
      </c>
      <c r="F435" s="1">
        <v>45817</v>
      </c>
      <c r="G435" t="str">
        <f t="shared" si="7"/>
        <v>Jun -2025</v>
      </c>
      <c r="H435" s="12"/>
    </row>
    <row r="436" spans="1:8" x14ac:dyDescent="0.3">
      <c r="A436" s="2">
        <v>775607</v>
      </c>
      <c r="B436" s="3" t="s">
        <v>43</v>
      </c>
      <c r="C436" s="3" t="s">
        <v>1010</v>
      </c>
      <c r="D436" s="3" t="s">
        <v>364</v>
      </c>
      <c r="E436" s="3" t="s">
        <v>7</v>
      </c>
      <c r="F436" s="1">
        <v>45817</v>
      </c>
      <c r="G436" t="str">
        <f t="shared" si="7"/>
        <v>Jun -2025</v>
      </c>
      <c r="H436" s="12"/>
    </row>
    <row r="437" spans="1:8" x14ac:dyDescent="0.3">
      <c r="A437" s="2">
        <v>775682</v>
      </c>
      <c r="B437" s="3" t="s">
        <v>44</v>
      </c>
      <c r="C437" s="3" t="s">
        <v>1010</v>
      </c>
      <c r="D437" s="3" t="s">
        <v>364</v>
      </c>
      <c r="E437" s="3" t="s">
        <v>7</v>
      </c>
      <c r="F437" s="1">
        <v>45817</v>
      </c>
      <c r="G437" t="str">
        <f t="shared" si="7"/>
        <v>Jun -2025</v>
      </c>
      <c r="H437" s="12"/>
    </row>
    <row r="438" spans="1:8" x14ac:dyDescent="0.3">
      <c r="A438" s="2">
        <v>775683</v>
      </c>
      <c r="B438" s="3" t="s">
        <v>45</v>
      </c>
      <c r="C438" s="3" t="s">
        <v>1010</v>
      </c>
      <c r="D438" s="3" t="s">
        <v>364</v>
      </c>
      <c r="E438" s="3" t="s">
        <v>7</v>
      </c>
      <c r="F438" s="1">
        <v>45817</v>
      </c>
      <c r="G438" t="str">
        <f t="shared" si="7"/>
        <v>Jun -2025</v>
      </c>
      <c r="H438" s="12"/>
    </row>
    <row r="439" spans="1:8" x14ac:dyDescent="0.3">
      <c r="A439" s="2">
        <v>810357</v>
      </c>
      <c r="B439" s="3" t="s">
        <v>46</v>
      </c>
      <c r="C439" s="3" t="s">
        <v>1010</v>
      </c>
      <c r="D439" s="3" t="s">
        <v>364</v>
      </c>
      <c r="E439" s="3" t="s">
        <v>7</v>
      </c>
      <c r="F439" s="1">
        <v>45817</v>
      </c>
      <c r="G439" t="str">
        <f t="shared" si="7"/>
        <v>Jun -2025</v>
      </c>
      <c r="H439" s="12"/>
    </row>
    <row r="440" spans="1:8" x14ac:dyDescent="0.3">
      <c r="A440" s="2" t="s">
        <v>860</v>
      </c>
      <c r="B440" s="3" t="s">
        <v>777</v>
      </c>
      <c r="C440" s="3" t="s">
        <v>1011</v>
      </c>
      <c r="D440" s="3" t="s">
        <v>972</v>
      </c>
      <c r="E440" s="3" t="s">
        <v>965</v>
      </c>
      <c r="F440" s="1">
        <v>45817</v>
      </c>
      <c r="G440" t="str">
        <f t="shared" si="7"/>
        <v>Jun -2025</v>
      </c>
      <c r="H440" s="12"/>
    </row>
    <row r="441" spans="1:8" x14ac:dyDescent="0.3">
      <c r="A441" s="2" t="s">
        <v>861</v>
      </c>
      <c r="B441" s="3" t="s">
        <v>777</v>
      </c>
      <c r="C441" s="3" t="s">
        <v>1011</v>
      </c>
      <c r="D441" s="3" t="s">
        <v>972</v>
      </c>
      <c r="E441" s="3" t="s">
        <v>965</v>
      </c>
      <c r="F441" s="1">
        <v>45817</v>
      </c>
      <c r="G441" t="str">
        <f t="shared" si="7"/>
        <v>Jun -2025</v>
      </c>
      <c r="H441" s="12"/>
    </row>
    <row r="442" spans="1:8" x14ac:dyDescent="0.3">
      <c r="A442" s="2">
        <v>775568</v>
      </c>
      <c r="B442" s="3" t="s">
        <v>47</v>
      </c>
      <c r="C442" s="3" t="s">
        <v>1010</v>
      </c>
      <c r="D442" s="3" t="s">
        <v>10</v>
      </c>
      <c r="E442" s="3" t="s">
        <v>11</v>
      </c>
      <c r="F442" s="1">
        <v>45818</v>
      </c>
      <c r="G442" t="str">
        <f t="shared" si="7"/>
        <v>Jun -2025</v>
      </c>
      <c r="H442" s="12"/>
    </row>
    <row r="443" spans="1:8" x14ac:dyDescent="0.3">
      <c r="A443" s="2">
        <v>775618</v>
      </c>
      <c r="B443" s="3" t="s">
        <v>48</v>
      </c>
      <c r="C443" s="3" t="s">
        <v>1010</v>
      </c>
      <c r="D443" s="3" t="s">
        <v>364</v>
      </c>
      <c r="E443" s="3" t="s">
        <v>7</v>
      </c>
      <c r="F443" s="1">
        <v>45818</v>
      </c>
      <c r="G443" t="str">
        <f t="shared" si="7"/>
        <v>Jun -2025</v>
      </c>
      <c r="H443" s="12"/>
    </row>
    <row r="444" spans="1:8" x14ac:dyDescent="0.3">
      <c r="A444" s="2">
        <v>775663</v>
      </c>
      <c r="B444" s="3" t="s">
        <v>49</v>
      </c>
      <c r="C444" s="3" t="s">
        <v>1010</v>
      </c>
      <c r="D444" s="3" t="s">
        <v>1259</v>
      </c>
      <c r="E444" s="3" t="s">
        <v>15</v>
      </c>
      <c r="F444" s="1">
        <v>45818</v>
      </c>
      <c r="G444" t="str">
        <f t="shared" si="7"/>
        <v>Jun -2025</v>
      </c>
      <c r="H444" s="12"/>
    </row>
    <row r="445" spans="1:8" x14ac:dyDescent="0.3">
      <c r="A445" s="2">
        <v>775712</v>
      </c>
      <c r="B445" s="3" t="s">
        <v>50</v>
      </c>
      <c r="C445" s="3" t="s">
        <v>1010</v>
      </c>
      <c r="D445" s="3" t="s">
        <v>364</v>
      </c>
      <c r="E445" s="3" t="s">
        <v>7</v>
      </c>
      <c r="F445" s="1">
        <v>45818</v>
      </c>
      <c r="G445" t="str">
        <f t="shared" si="7"/>
        <v>Jun -2025</v>
      </c>
      <c r="H445" s="12"/>
    </row>
    <row r="446" spans="1:8" x14ac:dyDescent="0.3">
      <c r="A446" s="2">
        <v>779544</v>
      </c>
      <c r="B446" s="3" t="s">
        <v>51</v>
      </c>
      <c r="C446" s="3" t="s">
        <v>1010</v>
      </c>
      <c r="D446" s="3" t="s">
        <v>1259</v>
      </c>
      <c r="E446" s="3" t="s">
        <v>15</v>
      </c>
      <c r="F446" s="1">
        <v>45818</v>
      </c>
      <c r="G446" t="str">
        <f t="shared" si="7"/>
        <v>Jun -2025</v>
      </c>
      <c r="H446" s="12"/>
    </row>
    <row r="447" spans="1:8" x14ac:dyDescent="0.3">
      <c r="A447" s="2">
        <v>780508</v>
      </c>
      <c r="B447" s="3" t="s">
        <v>52</v>
      </c>
      <c r="C447" s="3" t="s">
        <v>1010</v>
      </c>
      <c r="D447" s="3" t="s">
        <v>1259</v>
      </c>
      <c r="E447" s="3" t="s">
        <v>15</v>
      </c>
      <c r="F447" s="1">
        <v>45818</v>
      </c>
      <c r="G447" t="str">
        <f t="shared" si="7"/>
        <v>Jun -2025</v>
      </c>
      <c r="H447" s="12"/>
    </row>
    <row r="448" spans="1:8" x14ac:dyDescent="0.3">
      <c r="A448" s="2">
        <v>784039</v>
      </c>
      <c r="B448" s="3" t="s">
        <v>53</v>
      </c>
      <c r="C448" s="3" t="s">
        <v>1010</v>
      </c>
      <c r="D448" s="3" t="s">
        <v>10</v>
      </c>
      <c r="E448" s="3" t="s">
        <v>11</v>
      </c>
      <c r="F448" s="1">
        <v>45818</v>
      </c>
      <c r="G448" t="str">
        <f t="shared" si="7"/>
        <v>Jun -2025</v>
      </c>
      <c r="H448" s="12"/>
    </row>
    <row r="449" spans="1:8" x14ac:dyDescent="0.3">
      <c r="A449" s="2">
        <v>789291</v>
      </c>
      <c r="B449" s="3" t="s">
        <v>54</v>
      </c>
      <c r="C449" s="3" t="s">
        <v>1010</v>
      </c>
      <c r="D449" s="3" t="s">
        <v>364</v>
      </c>
      <c r="E449" s="3" t="s">
        <v>7</v>
      </c>
      <c r="F449" s="1">
        <v>45818</v>
      </c>
      <c r="G449" t="str">
        <f t="shared" si="7"/>
        <v>Jun -2025</v>
      </c>
      <c r="H449" s="12"/>
    </row>
    <row r="450" spans="1:8" x14ac:dyDescent="0.3">
      <c r="A450" s="2">
        <v>792085</v>
      </c>
      <c r="B450" s="3" t="s">
        <v>55</v>
      </c>
      <c r="C450" s="3" t="s">
        <v>1010</v>
      </c>
      <c r="D450" s="3" t="s">
        <v>1259</v>
      </c>
      <c r="E450" s="3" t="s">
        <v>15</v>
      </c>
      <c r="F450" s="1">
        <v>45818</v>
      </c>
      <c r="G450" t="str">
        <f t="shared" ref="G450:G513" si="8">TEXT(F450,"mmm -YYYY")</f>
        <v>Jun -2025</v>
      </c>
      <c r="H450" s="12"/>
    </row>
    <row r="451" spans="1:8" x14ac:dyDescent="0.3">
      <c r="A451" s="2">
        <v>100002681</v>
      </c>
      <c r="B451" s="3" t="s">
        <v>862</v>
      </c>
      <c r="C451" s="3" t="s">
        <v>1011</v>
      </c>
      <c r="D451" s="3" t="s">
        <v>973</v>
      </c>
      <c r="E451" s="3" t="s">
        <v>966</v>
      </c>
      <c r="F451" s="1">
        <v>45818</v>
      </c>
      <c r="G451" t="str">
        <f t="shared" si="8"/>
        <v>Jun -2025</v>
      </c>
      <c r="H451" s="12"/>
    </row>
    <row r="452" spans="1:8" x14ac:dyDescent="0.3">
      <c r="A452" s="2">
        <v>775676</v>
      </c>
      <c r="B452" s="3" t="s">
        <v>56</v>
      </c>
      <c r="C452" s="3" t="s">
        <v>1010</v>
      </c>
      <c r="D452" s="3" t="s">
        <v>364</v>
      </c>
      <c r="E452" s="3" t="s">
        <v>7</v>
      </c>
      <c r="F452" s="1">
        <v>45819</v>
      </c>
      <c r="G452" t="str">
        <f t="shared" si="8"/>
        <v>Jun -2025</v>
      </c>
      <c r="H452" s="12"/>
    </row>
    <row r="453" spans="1:8" x14ac:dyDescent="0.3">
      <c r="A453" s="2">
        <v>784709</v>
      </c>
      <c r="B453" s="3" t="s">
        <v>57</v>
      </c>
      <c r="C453" s="3" t="s">
        <v>1010</v>
      </c>
      <c r="D453" s="3" t="s">
        <v>364</v>
      </c>
      <c r="E453" s="3" t="s">
        <v>7</v>
      </c>
      <c r="F453" s="1">
        <v>45819</v>
      </c>
      <c r="G453" t="str">
        <f t="shared" si="8"/>
        <v>Jun -2025</v>
      </c>
      <c r="H453" s="12"/>
    </row>
    <row r="454" spans="1:8" x14ac:dyDescent="0.3">
      <c r="A454" s="2">
        <v>796558</v>
      </c>
      <c r="B454" s="3" t="s">
        <v>58</v>
      </c>
      <c r="C454" s="3" t="s">
        <v>1010</v>
      </c>
      <c r="D454" s="3" t="s">
        <v>1259</v>
      </c>
      <c r="E454" s="3" t="s">
        <v>15</v>
      </c>
      <c r="F454" s="1">
        <v>45819</v>
      </c>
      <c r="G454" t="str">
        <f t="shared" si="8"/>
        <v>Jun -2025</v>
      </c>
      <c r="H454" s="12"/>
    </row>
    <row r="455" spans="1:8" x14ac:dyDescent="0.3">
      <c r="A455" s="2">
        <v>812091</v>
      </c>
      <c r="B455" s="3" t="s">
        <v>59</v>
      </c>
      <c r="C455" s="3" t="s">
        <v>1010</v>
      </c>
      <c r="D455" s="3" t="s">
        <v>1259</v>
      </c>
      <c r="E455" s="3" t="s">
        <v>15</v>
      </c>
      <c r="F455" s="1">
        <v>45819</v>
      </c>
      <c r="G455" t="str">
        <f t="shared" si="8"/>
        <v>Jun -2025</v>
      </c>
      <c r="H455" s="12"/>
    </row>
    <row r="456" spans="1:8" x14ac:dyDescent="0.3">
      <c r="A456" s="2" t="s">
        <v>863</v>
      </c>
      <c r="B456" s="3" t="s">
        <v>777</v>
      </c>
      <c r="C456" s="3" t="s">
        <v>1011</v>
      </c>
      <c r="D456" s="3" t="s">
        <v>972</v>
      </c>
      <c r="E456" s="3" t="s">
        <v>965</v>
      </c>
      <c r="F456" s="1">
        <v>45819</v>
      </c>
      <c r="G456" t="str">
        <f t="shared" si="8"/>
        <v>Jun -2025</v>
      </c>
      <c r="H456" s="12"/>
    </row>
    <row r="457" spans="1:8" x14ac:dyDescent="0.3">
      <c r="A457" s="2">
        <v>775832</v>
      </c>
      <c r="B457" s="3" t="s">
        <v>60</v>
      </c>
      <c r="C457" s="3" t="s">
        <v>1010</v>
      </c>
      <c r="D457" s="3" t="s">
        <v>364</v>
      </c>
      <c r="E457" s="3" t="s">
        <v>7</v>
      </c>
      <c r="F457" s="1">
        <v>45820</v>
      </c>
      <c r="G457" t="str">
        <f t="shared" si="8"/>
        <v>Jun -2025</v>
      </c>
      <c r="H457" s="12"/>
    </row>
    <row r="458" spans="1:8" x14ac:dyDescent="0.3">
      <c r="A458" s="2">
        <v>789293</v>
      </c>
      <c r="B458" s="3" t="s">
        <v>61</v>
      </c>
      <c r="C458" s="3" t="s">
        <v>1010</v>
      </c>
      <c r="D458" s="3" t="s">
        <v>364</v>
      </c>
      <c r="E458" s="3" t="s">
        <v>7</v>
      </c>
      <c r="F458" s="1">
        <v>45820</v>
      </c>
      <c r="G458" t="str">
        <f t="shared" si="8"/>
        <v>Jun -2025</v>
      </c>
      <c r="H458" s="12"/>
    </row>
    <row r="459" spans="1:8" x14ac:dyDescent="0.3">
      <c r="A459" s="2">
        <v>799398</v>
      </c>
      <c r="B459" s="3" t="s">
        <v>62</v>
      </c>
      <c r="C459" s="3" t="s">
        <v>1010</v>
      </c>
      <c r="D459" s="3" t="s">
        <v>1259</v>
      </c>
      <c r="E459" s="3" t="s">
        <v>15</v>
      </c>
      <c r="F459" s="1">
        <v>45820</v>
      </c>
      <c r="G459" t="str">
        <f t="shared" si="8"/>
        <v>Jun -2025</v>
      </c>
      <c r="H459" s="12"/>
    </row>
    <row r="460" spans="1:8" x14ac:dyDescent="0.3">
      <c r="A460" s="2" t="s">
        <v>864</v>
      </c>
      <c r="B460" s="3" t="s">
        <v>777</v>
      </c>
      <c r="C460" s="3" t="s">
        <v>1011</v>
      </c>
      <c r="D460" s="3" t="s">
        <v>972</v>
      </c>
      <c r="E460" s="3" t="s">
        <v>965</v>
      </c>
      <c r="F460" s="1">
        <v>45820</v>
      </c>
      <c r="G460" t="str">
        <f t="shared" si="8"/>
        <v>Jun -2025</v>
      </c>
      <c r="H460" s="12"/>
    </row>
    <row r="461" spans="1:8" x14ac:dyDescent="0.3">
      <c r="A461" s="2">
        <v>792109</v>
      </c>
      <c r="B461" s="3" t="s">
        <v>63</v>
      </c>
      <c r="C461" s="3" t="s">
        <v>1010</v>
      </c>
      <c r="D461" s="3" t="s">
        <v>364</v>
      </c>
      <c r="E461" s="3" t="s">
        <v>7</v>
      </c>
      <c r="F461" s="1">
        <v>45821</v>
      </c>
      <c r="G461" t="str">
        <f t="shared" si="8"/>
        <v>Jun -2025</v>
      </c>
      <c r="H461" s="12"/>
    </row>
    <row r="462" spans="1:8" x14ac:dyDescent="0.3">
      <c r="A462" s="2">
        <v>819024</v>
      </c>
      <c r="B462" s="3" t="s">
        <v>64</v>
      </c>
      <c r="C462" s="3" t="s">
        <v>1010</v>
      </c>
      <c r="D462" s="3" t="s">
        <v>364</v>
      </c>
      <c r="E462" s="3" t="s">
        <v>7</v>
      </c>
      <c r="F462" s="1">
        <v>45821</v>
      </c>
      <c r="G462" t="str">
        <f t="shared" si="8"/>
        <v>Jun -2025</v>
      </c>
      <c r="H462" s="12"/>
    </row>
    <row r="463" spans="1:8" x14ac:dyDescent="0.3">
      <c r="A463" s="2">
        <v>900003459</v>
      </c>
      <c r="B463" s="3" t="s">
        <v>65</v>
      </c>
      <c r="C463" s="3" t="s">
        <v>1010</v>
      </c>
      <c r="D463" s="3" t="s">
        <v>209</v>
      </c>
      <c r="E463" s="3" t="s">
        <v>322</v>
      </c>
      <c r="F463" s="1">
        <v>45821</v>
      </c>
      <c r="G463" t="str">
        <f t="shared" si="8"/>
        <v>Jun -2025</v>
      </c>
      <c r="H463" s="12"/>
    </row>
    <row r="464" spans="1:8" x14ac:dyDescent="0.3">
      <c r="A464" s="2">
        <v>900002998</v>
      </c>
      <c r="B464" s="3" t="s">
        <v>66</v>
      </c>
      <c r="C464" s="3" t="s">
        <v>1010</v>
      </c>
      <c r="D464" s="3" t="s">
        <v>209</v>
      </c>
      <c r="E464" s="3" t="s">
        <v>322</v>
      </c>
      <c r="F464" s="1">
        <v>45821</v>
      </c>
      <c r="G464" t="str">
        <f t="shared" si="8"/>
        <v>Jun -2025</v>
      </c>
      <c r="H464" s="12"/>
    </row>
    <row r="465" spans="1:8" x14ac:dyDescent="0.3">
      <c r="A465" s="2">
        <v>100002717</v>
      </c>
      <c r="B465" s="3" t="s">
        <v>865</v>
      </c>
      <c r="C465" s="3" t="s">
        <v>1011</v>
      </c>
      <c r="D465" s="3" t="s">
        <v>973</v>
      </c>
      <c r="E465" s="3" t="s">
        <v>966</v>
      </c>
      <c r="F465" s="1">
        <v>45821</v>
      </c>
      <c r="G465" t="str">
        <f t="shared" si="8"/>
        <v>Jun -2025</v>
      </c>
      <c r="H465" s="12"/>
    </row>
    <row r="466" spans="1:8" x14ac:dyDescent="0.3">
      <c r="A466" s="2">
        <v>819430</v>
      </c>
      <c r="B466" s="3" t="s">
        <v>777</v>
      </c>
      <c r="C466" s="3" t="s">
        <v>1011</v>
      </c>
      <c r="D466" s="3" t="s">
        <v>972</v>
      </c>
      <c r="E466" s="3" t="s">
        <v>965</v>
      </c>
      <c r="F466" s="1">
        <v>45821</v>
      </c>
      <c r="G466" t="str">
        <f t="shared" si="8"/>
        <v>Jun -2025</v>
      </c>
      <c r="H466" s="12"/>
    </row>
    <row r="467" spans="1:8" x14ac:dyDescent="0.3">
      <c r="A467" s="2">
        <v>819500</v>
      </c>
      <c r="B467" s="3" t="s">
        <v>777</v>
      </c>
      <c r="C467" s="3" t="s">
        <v>1011</v>
      </c>
      <c r="D467" s="3" t="s">
        <v>972</v>
      </c>
      <c r="E467" s="3" t="s">
        <v>965</v>
      </c>
      <c r="F467" s="1">
        <v>45821</v>
      </c>
      <c r="G467" t="str">
        <f t="shared" si="8"/>
        <v>Jun -2025</v>
      </c>
      <c r="H467" s="12"/>
    </row>
    <row r="468" spans="1:8" x14ac:dyDescent="0.3">
      <c r="A468" s="2">
        <v>792227</v>
      </c>
      <c r="B468" s="3" t="s">
        <v>67</v>
      </c>
      <c r="C468" s="3" t="s">
        <v>1010</v>
      </c>
      <c r="D468" s="3" t="s">
        <v>364</v>
      </c>
      <c r="E468" s="3" t="s">
        <v>7</v>
      </c>
      <c r="F468" s="1">
        <v>45822</v>
      </c>
      <c r="G468" t="str">
        <f t="shared" si="8"/>
        <v>Jun -2025</v>
      </c>
      <c r="H468" s="12"/>
    </row>
    <row r="469" spans="1:8" x14ac:dyDescent="0.3">
      <c r="A469" s="2">
        <v>792241</v>
      </c>
      <c r="B469" s="3" t="s">
        <v>68</v>
      </c>
      <c r="C469" s="3" t="s">
        <v>1010</v>
      </c>
      <c r="D469" s="3" t="s">
        <v>364</v>
      </c>
      <c r="E469" s="3" t="s">
        <v>7</v>
      </c>
      <c r="F469" s="1">
        <v>45822</v>
      </c>
      <c r="G469" t="str">
        <f t="shared" si="8"/>
        <v>Jun -2025</v>
      </c>
      <c r="H469" s="12"/>
    </row>
    <row r="470" spans="1:8" x14ac:dyDescent="0.3">
      <c r="A470" s="2">
        <v>792242</v>
      </c>
      <c r="B470" s="3" t="s">
        <v>69</v>
      </c>
      <c r="C470" s="3" t="s">
        <v>1010</v>
      </c>
      <c r="D470" s="3" t="s">
        <v>364</v>
      </c>
      <c r="E470" s="3" t="s">
        <v>7</v>
      </c>
      <c r="F470" s="1">
        <v>45822</v>
      </c>
      <c r="G470" t="str">
        <f t="shared" si="8"/>
        <v>Jun -2025</v>
      </c>
      <c r="H470" s="12"/>
    </row>
    <row r="471" spans="1:8" x14ac:dyDescent="0.3">
      <c r="A471" s="2">
        <v>792349</v>
      </c>
      <c r="B471" s="3" t="s">
        <v>70</v>
      </c>
      <c r="C471" s="3" t="s">
        <v>1010</v>
      </c>
      <c r="D471" s="3" t="s">
        <v>364</v>
      </c>
      <c r="E471" s="3" t="s">
        <v>7</v>
      </c>
      <c r="F471" s="1">
        <v>45822</v>
      </c>
      <c r="G471" t="str">
        <f t="shared" si="8"/>
        <v>Jun -2025</v>
      </c>
      <c r="H471" s="12"/>
    </row>
    <row r="472" spans="1:8" x14ac:dyDescent="0.3">
      <c r="A472" s="2">
        <v>792361</v>
      </c>
      <c r="B472" s="3" t="s">
        <v>71</v>
      </c>
      <c r="C472" s="3" t="s">
        <v>1010</v>
      </c>
      <c r="D472" s="3" t="s">
        <v>364</v>
      </c>
      <c r="E472" s="3" t="s">
        <v>7</v>
      </c>
      <c r="F472" s="1">
        <v>45822</v>
      </c>
      <c r="G472" t="str">
        <f t="shared" si="8"/>
        <v>Jun -2025</v>
      </c>
      <c r="H472" s="12"/>
    </row>
    <row r="473" spans="1:8" x14ac:dyDescent="0.3">
      <c r="A473" s="2">
        <v>792669</v>
      </c>
      <c r="B473" s="3" t="s">
        <v>72</v>
      </c>
      <c r="C473" s="3" t="s">
        <v>1010</v>
      </c>
      <c r="D473" s="3" t="s">
        <v>1259</v>
      </c>
      <c r="E473" s="3" t="s">
        <v>15</v>
      </c>
      <c r="F473" s="1">
        <v>45822</v>
      </c>
      <c r="G473" t="str">
        <f t="shared" si="8"/>
        <v>Jun -2025</v>
      </c>
      <c r="H473" s="12"/>
    </row>
    <row r="474" spans="1:8" x14ac:dyDescent="0.3">
      <c r="A474" s="2">
        <v>798790</v>
      </c>
      <c r="B474" s="3" t="s">
        <v>73</v>
      </c>
      <c r="C474" s="3" t="s">
        <v>1010</v>
      </c>
      <c r="D474" s="3" t="s">
        <v>364</v>
      </c>
      <c r="E474" s="3" t="s">
        <v>7</v>
      </c>
      <c r="F474" s="1">
        <v>45822</v>
      </c>
      <c r="G474" t="str">
        <f t="shared" si="8"/>
        <v>Jun -2025</v>
      </c>
      <c r="H474" s="12"/>
    </row>
    <row r="475" spans="1:8" x14ac:dyDescent="0.3">
      <c r="A475" s="2">
        <v>810121</v>
      </c>
      <c r="B475" s="3" t="s">
        <v>74</v>
      </c>
      <c r="C475" s="3" t="s">
        <v>1010</v>
      </c>
      <c r="D475" s="3" t="s">
        <v>364</v>
      </c>
      <c r="E475" s="3" t="s">
        <v>7</v>
      </c>
      <c r="F475" s="1">
        <v>45822</v>
      </c>
      <c r="G475" t="str">
        <f t="shared" si="8"/>
        <v>Jun -2025</v>
      </c>
      <c r="H475" s="12"/>
    </row>
    <row r="476" spans="1:8" x14ac:dyDescent="0.3">
      <c r="A476" s="2">
        <v>818834</v>
      </c>
      <c r="B476" s="3" t="s">
        <v>75</v>
      </c>
      <c r="C476" s="3" t="s">
        <v>1010</v>
      </c>
      <c r="D476" s="3" t="s">
        <v>364</v>
      </c>
      <c r="E476" s="3" t="s">
        <v>7</v>
      </c>
      <c r="F476" s="1">
        <v>45822</v>
      </c>
      <c r="G476" t="str">
        <f t="shared" si="8"/>
        <v>Jun -2025</v>
      </c>
      <c r="H476" s="12"/>
    </row>
    <row r="477" spans="1:8" x14ac:dyDescent="0.3">
      <c r="A477" s="2">
        <v>818931</v>
      </c>
      <c r="B477" s="3" t="s">
        <v>76</v>
      </c>
      <c r="C477" s="3" t="s">
        <v>1010</v>
      </c>
      <c r="D477" s="3" t="s">
        <v>364</v>
      </c>
      <c r="E477" s="3" t="s">
        <v>7</v>
      </c>
      <c r="F477" s="1">
        <v>45822</v>
      </c>
      <c r="G477" t="str">
        <f t="shared" si="8"/>
        <v>Jun -2025</v>
      </c>
      <c r="H477" s="12"/>
    </row>
    <row r="478" spans="1:8" x14ac:dyDescent="0.3">
      <c r="A478" s="2">
        <v>818948</v>
      </c>
      <c r="B478" s="3" t="s">
        <v>77</v>
      </c>
      <c r="C478" s="3" t="s">
        <v>1010</v>
      </c>
      <c r="D478" s="3" t="s">
        <v>364</v>
      </c>
      <c r="E478" s="3" t="s">
        <v>7</v>
      </c>
      <c r="F478" s="1">
        <v>45822</v>
      </c>
      <c r="G478" t="str">
        <f t="shared" si="8"/>
        <v>Jun -2025</v>
      </c>
      <c r="H478" s="12"/>
    </row>
    <row r="479" spans="1:8" x14ac:dyDescent="0.3">
      <c r="A479" s="2">
        <v>818983</v>
      </c>
      <c r="B479" s="3" t="s">
        <v>78</v>
      </c>
      <c r="C479" s="3" t="s">
        <v>1010</v>
      </c>
      <c r="D479" s="3" t="s">
        <v>364</v>
      </c>
      <c r="E479" s="3" t="s">
        <v>7</v>
      </c>
      <c r="F479" s="1">
        <v>45822</v>
      </c>
      <c r="G479" t="str">
        <f t="shared" si="8"/>
        <v>Jun -2025</v>
      </c>
      <c r="H479" s="12"/>
    </row>
    <row r="480" spans="1:8" x14ac:dyDescent="0.3">
      <c r="A480" s="2">
        <v>799819</v>
      </c>
      <c r="B480" s="3" t="s">
        <v>79</v>
      </c>
      <c r="C480" s="3" t="s">
        <v>1010</v>
      </c>
      <c r="D480" s="3" t="s">
        <v>1259</v>
      </c>
      <c r="E480" s="3" t="s">
        <v>15</v>
      </c>
      <c r="F480" s="1">
        <v>45824</v>
      </c>
      <c r="G480" t="str">
        <f t="shared" si="8"/>
        <v>Jun -2025</v>
      </c>
      <c r="H480" s="12"/>
    </row>
    <row r="481" spans="1:8" x14ac:dyDescent="0.3">
      <c r="A481" s="2">
        <v>803608</v>
      </c>
      <c r="B481" s="3" t="s">
        <v>80</v>
      </c>
      <c r="C481" s="3" t="s">
        <v>1010</v>
      </c>
      <c r="D481" s="3" t="s">
        <v>1259</v>
      </c>
      <c r="E481" s="3" t="s">
        <v>15</v>
      </c>
      <c r="F481" s="1">
        <v>45824</v>
      </c>
      <c r="G481" t="str">
        <f t="shared" si="8"/>
        <v>Jun -2025</v>
      </c>
      <c r="H481" s="12"/>
    </row>
    <row r="482" spans="1:8" x14ac:dyDescent="0.3">
      <c r="A482" s="2">
        <v>803610</v>
      </c>
      <c r="B482" s="3" t="s">
        <v>81</v>
      </c>
      <c r="C482" s="3" t="s">
        <v>1010</v>
      </c>
      <c r="D482" s="3" t="s">
        <v>1259</v>
      </c>
      <c r="E482" s="3" t="s">
        <v>15</v>
      </c>
      <c r="F482" s="1">
        <v>45824</v>
      </c>
      <c r="G482" t="str">
        <f t="shared" si="8"/>
        <v>Jun -2025</v>
      </c>
      <c r="H482" s="12"/>
    </row>
    <row r="483" spans="1:8" x14ac:dyDescent="0.3">
      <c r="A483" s="2">
        <v>804142</v>
      </c>
      <c r="B483" s="3" t="s">
        <v>82</v>
      </c>
      <c r="C483" s="3" t="s">
        <v>1010</v>
      </c>
      <c r="D483" s="3" t="s">
        <v>1259</v>
      </c>
      <c r="E483" s="3" t="s">
        <v>15</v>
      </c>
      <c r="F483" s="1">
        <v>45824</v>
      </c>
      <c r="G483" t="str">
        <f t="shared" si="8"/>
        <v>Jun -2025</v>
      </c>
      <c r="H483" s="12"/>
    </row>
    <row r="484" spans="1:8" x14ac:dyDescent="0.3">
      <c r="A484" s="2">
        <v>804143</v>
      </c>
      <c r="B484" s="3" t="s">
        <v>83</v>
      </c>
      <c r="C484" s="3" t="s">
        <v>1010</v>
      </c>
      <c r="D484" s="3" t="s">
        <v>1259</v>
      </c>
      <c r="E484" s="3" t="s">
        <v>15</v>
      </c>
      <c r="F484" s="1">
        <v>45824</v>
      </c>
      <c r="G484" t="str">
        <f t="shared" si="8"/>
        <v>Jun -2025</v>
      </c>
      <c r="H484" s="12"/>
    </row>
    <row r="485" spans="1:8" x14ac:dyDescent="0.3">
      <c r="A485" s="2">
        <v>804661</v>
      </c>
      <c r="B485" s="3" t="s">
        <v>84</v>
      </c>
      <c r="C485" s="3" t="s">
        <v>1010</v>
      </c>
      <c r="D485" s="3" t="s">
        <v>1259</v>
      </c>
      <c r="E485" s="3" t="s">
        <v>15</v>
      </c>
      <c r="F485" s="1">
        <v>45824</v>
      </c>
      <c r="G485" t="str">
        <f t="shared" si="8"/>
        <v>Jun -2025</v>
      </c>
      <c r="H485" s="12"/>
    </row>
    <row r="486" spans="1:8" x14ac:dyDescent="0.3">
      <c r="A486" s="2">
        <v>804662</v>
      </c>
      <c r="B486" s="3" t="s">
        <v>85</v>
      </c>
      <c r="C486" s="3" t="s">
        <v>1010</v>
      </c>
      <c r="D486" s="3" t="s">
        <v>1259</v>
      </c>
      <c r="E486" s="3" t="s">
        <v>15</v>
      </c>
      <c r="F486" s="1">
        <v>45824</v>
      </c>
      <c r="G486" t="str">
        <f t="shared" si="8"/>
        <v>Jun -2025</v>
      </c>
      <c r="H486" s="12"/>
    </row>
    <row r="487" spans="1:8" x14ac:dyDescent="0.3">
      <c r="A487" s="2">
        <v>810637</v>
      </c>
      <c r="B487" s="3" t="s">
        <v>86</v>
      </c>
      <c r="C487" s="3" t="s">
        <v>1010</v>
      </c>
      <c r="D487" s="3" t="s">
        <v>1259</v>
      </c>
      <c r="E487" s="3" t="s">
        <v>15</v>
      </c>
      <c r="F487" s="1">
        <v>45824</v>
      </c>
      <c r="G487" t="str">
        <f t="shared" si="8"/>
        <v>Jun -2025</v>
      </c>
      <c r="H487" s="12"/>
    </row>
    <row r="488" spans="1:8" x14ac:dyDescent="0.3">
      <c r="A488" s="2">
        <v>810638</v>
      </c>
      <c r="B488" s="3" t="s">
        <v>87</v>
      </c>
      <c r="C488" s="3" t="s">
        <v>1010</v>
      </c>
      <c r="D488" s="3" t="s">
        <v>1259</v>
      </c>
      <c r="E488" s="3" t="s">
        <v>15</v>
      </c>
      <c r="F488" s="1">
        <v>45824</v>
      </c>
      <c r="G488" t="str">
        <f t="shared" si="8"/>
        <v>Jun -2025</v>
      </c>
      <c r="H488" s="12"/>
    </row>
    <row r="489" spans="1:8" x14ac:dyDescent="0.3">
      <c r="A489" s="2">
        <v>814240</v>
      </c>
      <c r="B489" s="3" t="s">
        <v>88</v>
      </c>
      <c r="C489" s="3" t="s">
        <v>1010</v>
      </c>
      <c r="D489" s="3" t="s">
        <v>1259</v>
      </c>
      <c r="E489" s="3" t="s">
        <v>15</v>
      </c>
      <c r="F489" s="1">
        <v>45824</v>
      </c>
      <c r="G489" t="str">
        <f t="shared" si="8"/>
        <v>Jun -2025</v>
      </c>
      <c r="H489" s="12"/>
    </row>
    <row r="490" spans="1:8" x14ac:dyDescent="0.3">
      <c r="A490" s="2">
        <v>814371</v>
      </c>
      <c r="B490" s="3" t="s">
        <v>89</v>
      </c>
      <c r="C490" s="3" t="s">
        <v>1010</v>
      </c>
      <c r="D490" s="3" t="s">
        <v>1259</v>
      </c>
      <c r="E490" s="3" t="s">
        <v>15</v>
      </c>
      <c r="F490" s="1">
        <v>45824</v>
      </c>
      <c r="G490" t="str">
        <f t="shared" si="8"/>
        <v>Jun -2025</v>
      </c>
      <c r="H490" s="12"/>
    </row>
    <row r="491" spans="1:8" x14ac:dyDescent="0.3">
      <c r="A491" s="2">
        <v>816022</v>
      </c>
      <c r="B491" s="3" t="s">
        <v>90</v>
      </c>
      <c r="C491" s="3" t="s">
        <v>1010</v>
      </c>
      <c r="D491" s="3" t="s">
        <v>364</v>
      </c>
      <c r="E491" s="3" t="s">
        <v>7</v>
      </c>
      <c r="F491" s="1">
        <v>45824</v>
      </c>
      <c r="G491" t="str">
        <f t="shared" si="8"/>
        <v>Jun -2025</v>
      </c>
      <c r="H491" s="12"/>
    </row>
    <row r="492" spans="1:8" x14ac:dyDescent="0.3">
      <c r="A492" s="2">
        <v>816066</v>
      </c>
      <c r="B492" s="3" t="s">
        <v>91</v>
      </c>
      <c r="C492" s="3" t="s">
        <v>1010</v>
      </c>
      <c r="D492" s="3" t="s">
        <v>1259</v>
      </c>
      <c r="E492" s="3" t="s">
        <v>15</v>
      </c>
      <c r="F492" s="1">
        <v>45824</v>
      </c>
      <c r="G492" t="str">
        <f t="shared" si="8"/>
        <v>Jun -2025</v>
      </c>
      <c r="H492" s="12"/>
    </row>
    <row r="493" spans="1:8" x14ac:dyDescent="0.3">
      <c r="A493" s="2">
        <v>822065</v>
      </c>
      <c r="B493" s="3" t="s">
        <v>92</v>
      </c>
      <c r="C493" s="3" t="s">
        <v>1010</v>
      </c>
      <c r="D493" s="3" t="s">
        <v>364</v>
      </c>
      <c r="E493" s="3" t="s">
        <v>7</v>
      </c>
      <c r="F493" s="1">
        <v>45824</v>
      </c>
      <c r="G493" t="str">
        <f t="shared" si="8"/>
        <v>Jun -2025</v>
      </c>
      <c r="H493" s="12"/>
    </row>
    <row r="494" spans="1:8" x14ac:dyDescent="0.3">
      <c r="A494" s="2">
        <v>900003456</v>
      </c>
      <c r="B494" s="3" t="s">
        <v>93</v>
      </c>
      <c r="C494" s="3" t="s">
        <v>1010</v>
      </c>
      <c r="D494" s="3" t="s">
        <v>209</v>
      </c>
      <c r="E494" s="3" t="s">
        <v>322</v>
      </c>
      <c r="F494" s="1">
        <v>45824</v>
      </c>
      <c r="G494" t="str">
        <f t="shared" si="8"/>
        <v>Jun -2025</v>
      </c>
      <c r="H494" s="12"/>
    </row>
    <row r="495" spans="1:8" x14ac:dyDescent="0.3">
      <c r="A495" s="2">
        <v>100002830</v>
      </c>
      <c r="B495" s="3" t="s">
        <v>866</v>
      </c>
      <c r="C495" s="3" t="s">
        <v>1011</v>
      </c>
      <c r="D495" s="3" t="s">
        <v>972</v>
      </c>
      <c r="E495" s="3" t="s">
        <v>967</v>
      </c>
      <c r="F495" s="1">
        <v>45824</v>
      </c>
      <c r="G495" t="str">
        <f t="shared" si="8"/>
        <v>Jun -2025</v>
      </c>
      <c r="H495" s="12"/>
    </row>
    <row r="496" spans="1:8" x14ac:dyDescent="0.3">
      <c r="A496" s="2">
        <v>100002830</v>
      </c>
      <c r="B496" s="3" t="s">
        <v>788</v>
      </c>
      <c r="C496" s="3" t="s">
        <v>1011</v>
      </c>
      <c r="D496" s="3" t="s">
        <v>972</v>
      </c>
      <c r="E496" s="3" t="s">
        <v>967</v>
      </c>
      <c r="F496" s="1">
        <v>45824</v>
      </c>
      <c r="G496" t="str">
        <f t="shared" si="8"/>
        <v>Jun -2025</v>
      </c>
      <c r="H496" s="12"/>
    </row>
    <row r="497" spans="1:8" x14ac:dyDescent="0.3">
      <c r="A497" s="2">
        <v>821606</v>
      </c>
      <c r="B497" s="3" t="s">
        <v>777</v>
      </c>
      <c r="C497" s="3" t="s">
        <v>1011</v>
      </c>
      <c r="D497" s="3" t="s">
        <v>972</v>
      </c>
      <c r="E497" s="3" t="s">
        <v>965</v>
      </c>
      <c r="F497" s="1">
        <v>45824</v>
      </c>
      <c r="G497" t="str">
        <f t="shared" si="8"/>
        <v>Jun -2025</v>
      </c>
      <c r="H497" s="12"/>
    </row>
    <row r="498" spans="1:8" x14ac:dyDescent="0.3">
      <c r="A498" s="2">
        <v>821609</v>
      </c>
      <c r="B498" s="3" t="s">
        <v>777</v>
      </c>
      <c r="C498" s="3" t="s">
        <v>1011</v>
      </c>
      <c r="D498" s="3" t="s">
        <v>972</v>
      </c>
      <c r="E498" s="3" t="s">
        <v>965</v>
      </c>
      <c r="F498" s="1">
        <v>45824</v>
      </c>
      <c r="G498" t="str">
        <f t="shared" si="8"/>
        <v>Jun -2025</v>
      </c>
      <c r="H498" s="12"/>
    </row>
    <row r="499" spans="1:8" x14ac:dyDescent="0.3">
      <c r="A499" s="2">
        <v>821610</v>
      </c>
      <c r="B499" s="3" t="s">
        <v>777</v>
      </c>
      <c r="C499" s="3" t="s">
        <v>1011</v>
      </c>
      <c r="D499" s="3" t="s">
        <v>972</v>
      </c>
      <c r="E499" s="3" t="s">
        <v>965</v>
      </c>
      <c r="F499" s="1">
        <v>45824</v>
      </c>
      <c r="G499" t="str">
        <f t="shared" si="8"/>
        <v>Jun -2025</v>
      </c>
      <c r="H499" s="12"/>
    </row>
    <row r="500" spans="1:8" x14ac:dyDescent="0.3">
      <c r="A500" s="2">
        <v>821707</v>
      </c>
      <c r="B500" s="3" t="s">
        <v>777</v>
      </c>
      <c r="C500" s="3" t="s">
        <v>1011</v>
      </c>
      <c r="D500" s="3" t="s">
        <v>972</v>
      </c>
      <c r="E500" s="3" t="s">
        <v>965</v>
      </c>
      <c r="F500" s="1">
        <v>45824</v>
      </c>
      <c r="G500" t="str">
        <f t="shared" si="8"/>
        <v>Jun -2025</v>
      </c>
      <c r="H500" s="12"/>
    </row>
    <row r="501" spans="1:8" x14ac:dyDescent="0.3">
      <c r="A501" s="2">
        <v>821709</v>
      </c>
      <c r="B501" s="3" t="s">
        <v>777</v>
      </c>
      <c r="C501" s="3" t="s">
        <v>1011</v>
      </c>
      <c r="D501" s="3" t="s">
        <v>972</v>
      </c>
      <c r="E501" s="3" t="s">
        <v>965</v>
      </c>
      <c r="F501" s="1">
        <v>45824</v>
      </c>
      <c r="G501" t="str">
        <f t="shared" si="8"/>
        <v>Jun -2025</v>
      </c>
      <c r="H501" s="12"/>
    </row>
    <row r="502" spans="1:8" x14ac:dyDescent="0.3">
      <c r="A502" s="2">
        <v>821714</v>
      </c>
      <c r="B502" s="3" t="s">
        <v>777</v>
      </c>
      <c r="C502" s="3" t="s">
        <v>1011</v>
      </c>
      <c r="D502" s="3" t="s">
        <v>972</v>
      </c>
      <c r="E502" s="3" t="s">
        <v>965</v>
      </c>
      <c r="F502" s="1">
        <v>45824</v>
      </c>
      <c r="G502" t="str">
        <f t="shared" si="8"/>
        <v>Jun -2025</v>
      </c>
      <c r="H502" s="12"/>
    </row>
    <row r="503" spans="1:8" x14ac:dyDescent="0.3">
      <c r="A503" s="2">
        <v>771888</v>
      </c>
      <c r="B503" s="3" t="s">
        <v>94</v>
      </c>
      <c r="C503" s="3" t="s">
        <v>1010</v>
      </c>
      <c r="D503" s="3" t="s">
        <v>364</v>
      </c>
      <c r="E503" s="3" t="s">
        <v>15</v>
      </c>
      <c r="F503" s="1">
        <v>45825</v>
      </c>
      <c r="G503" t="str">
        <f t="shared" si="8"/>
        <v>Jun -2025</v>
      </c>
      <c r="H503" s="12"/>
    </row>
    <row r="504" spans="1:8" x14ac:dyDescent="0.3">
      <c r="A504" s="2">
        <v>788658</v>
      </c>
      <c r="B504" s="3" t="s">
        <v>95</v>
      </c>
      <c r="C504" s="3" t="s">
        <v>1010</v>
      </c>
      <c r="D504" s="3" t="s">
        <v>364</v>
      </c>
      <c r="E504" s="3" t="s">
        <v>15</v>
      </c>
      <c r="F504" s="1">
        <v>45825</v>
      </c>
      <c r="G504" t="str">
        <f t="shared" si="8"/>
        <v>Jun -2025</v>
      </c>
      <c r="H504" s="12"/>
    </row>
    <row r="505" spans="1:8" x14ac:dyDescent="0.3">
      <c r="A505" s="2">
        <v>803609</v>
      </c>
      <c r="B505" s="3" t="s">
        <v>96</v>
      </c>
      <c r="C505" s="3" t="s">
        <v>1010</v>
      </c>
      <c r="D505" s="3" t="s">
        <v>364</v>
      </c>
      <c r="E505" s="3" t="s">
        <v>15</v>
      </c>
      <c r="F505" s="1">
        <v>45825</v>
      </c>
      <c r="G505" t="str">
        <f t="shared" si="8"/>
        <v>Jun -2025</v>
      </c>
      <c r="H505" s="12"/>
    </row>
    <row r="506" spans="1:8" x14ac:dyDescent="0.3">
      <c r="A506" s="2">
        <v>820446</v>
      </c>
      <c r="B506" s="3" t="s">
        <v>97</v>
      </c>
      <c r="C506" s="3" t="s">
        <v>1010</v>
      </c>
      <c r="D506" s="3" t="s">
        <v>364</v>
      </c>
      <c r="E506" s="3" t="s">
        <v>15</v>
      </c>
      <c r="F506" s="1">
        <v>45825</v>
      </c>
      <c r="G506" t="str">
        <f t="shared" si="8"/>
        <v>Jun -2025</v>
      </c>
      <c r="H506" s="12"/>
    </row>
    <row r="507" spans="1:8" x14ac:dyDescent="0.3">
      <c r="A507" s="2">
        <v>823499</v>
      </c>
      <c r="B507" s="3" t="s">
        <v>777</v>
      </c>
      <c r="C507" s="3" t="s">
        <v>1011</v>
      </c>
      <c r="D507" s="3" t="s">
        <v>972</v>
      </c>
      <c r="E507" s="3" t="s">
        <v>965</v>
      </c>
      <c r="F507" s="1">
        <v>45825</v>
      </c>
      <c r="G507" t="str">
        <f t="shared" si="8"/>
        <v>Jun -2025</v>
      </c>
      <c r="H507" s="12"/>
    </row>
    <row r="508" spans="1:8" x14ac:dyDescent="0.3">
      <c r="A508" s="2">
        <v>820344</v>
      </c>
      <c r="B508" s="3" t="s">
        <v>97</v>
      </c>
      <c r="C508" s="3" t="s">
        <v>1010</v>
      </c>
      <c r="D508" s="3" t="s">
        <v>10</v>
      </c>
      <c r="E508" s="3" t="s">
        <v>11</v>
      </c>
      <c r="F508" s="1">
        <v>45826</v>
      </c>
      <c r="G508" t="str">
        <f t="shared" si="8"/>
        <v>Jun -2025</v>
      </c>
      <c r="H508" s="12"/>
    </row>
    <row r="509" spans="1:8" x14ac:dyDescent="0.3">
      <c r="A509" s="2">
        <v>810636</v>
      </c>
      <c r="B509" s="3" t="s">
        <v>98</v>
      </c>
      <c r="C509" s="3" t="s">
        <v>1010</v>
      </c>
      <c r="D509" s="3" t="s">
        <v>364</v>
      </c>
      <c r="E509" s="3" t="s">
        <v>15</v>
      </c>
      <c r="F509" s="1">
        <v>45826</v>
      </c>
      <c r="G509" t="str">
        <f t="shared" si="8"/>
        <v>Jun -2025</v>
      </c>
      <c r="H509" s="12"/>
    </row>
    <row r="510" spans="1:8" x14ac:dyDescent="0.3">
      <c r="A510" s="2">
        <v>814602</v>
      </c>
      <c r="B510" s="3" t="s">
        <v>99</v>
      </c>
      <c r="C510" s="3" t="s">
        <v>1010</v>
      </c>
      <c r="D510" s="3" t="s">
        <v>364</v>
      </c>
      <c r="E510" s="3" t="s">
        <v>15</v>
      </c>
      <c r="F510" s="1">
        <v>45826</v>
      </c>
      <c r="G510" t="str">
        <f t="shared" si="8"/>
        <v>Jun -2025</v>
      </c>
      <c r="H510" s="12"/>
    </row>
    <row r="511" spans="1:8" x14ac:dyDescent="0.3">
      <c r="A511" s="2">
        <v>816142</v>
      </c>
      <c r="B511" s="3" t="s">
        <v>100</v>
      </c>
      <c r="C511" s="3" t="s">
        <v>1010</v>
      </c>
      <c r="D511" s="3" t="s">
        <v>364</v>
      </c>
      <c r="E511" s="3" t="s">
        <v>15</v>
      </c>
      <c r="F511" s="1">
        <v>45826</v>
      </c>
      <c r="G511" t="str">
        <f t="shared" si="8"/>
        <v>Jun -2025</v>
      </c>
      <c r="H511" s="12"/>
    </row>
    <row r="512" spans="1:8" x14ac:dyDescent="0.3">
      <c r="A512" s="2">
        <v>820897</v>
      </c>
      <c r="B512" s="3" t="s">
        <v>101</v>
      </c>
      <c r="C512" s="3" t="s">
        <v>1010</v>
      </c>
      <c r="D512" s="3" t="s">
        <v>364</v>
      </c>
      <c r="E512" s="3" t="s">
        <v>15</v>
      </c>
      <c r="F512" s="1">
        <v>45826</v>
      </c>
      <c r="G512" t="str">
        <f t="shared" si="8"/>
        <v>Jun -2025</v>
      </c>
      <c r="H512" s="12"/>
    </row>
    <row r="513" spans="1:8" x14ac:dyDescent="0.3">
      <c r="A513" s="2">
        <v>821012</v>
      </c>
      <c r="B513" s="3" t="s">
        <v>102</v>
      </c>
      <c r="C513" s="3" t="s">
        <v>1010</v>
      </c>
      <c r="D513" s="3" t="s">
        <v>364</v>
      </c>
      <c r="E513" s="3" t="s">
        <v>15</v>
      </c>
      <c r="F513" s="1">
        <v>45826</v>
      </c>
      <c r="G513" t="str">
        <f t="shared" si="8"/>
        <v>Jun -2025</v>
      </c>
      <c r="H513" s="12"/>
    </row>
    <row r="514" spans="1:8" x14ac:dyDescent="0.3">
      <c r="A514" s="2">
        <v>823822</v>
      </c>
      <c r="B514" s="3" t="s">
        <v>103</v>
      </c>
      <c r="C514" s="3" t="s">
        <v>1010</v>
      </c>
      <c r="D514" s="3" t="s">
        <v>364</v>
      </c>
      <c r="E514" s="3" t="s">
        <v>15</v>
      </c>
      <c r="F514" s="1">
        <v>45826</v>
      </c>
      <c r="G514" t="str">
        <f t="shared" ref="G514:G577" si="9">TEXT(F514,"mmm -YYYY")</f>
        <v>Jun -2025</v>
      </c>
      <c r="H514" s="12"/>
    </row>
    <row r="515" spans="1:8" x14ac:dyDescent="0.3">
      <c r="A515" s="2">
        <v>823937</v>
      </c>
      <c r="B515" s="3" t="s">
        <v>777</v>
      </c>
      <c r="C515" s="3" t="s">
        <v>1011</v>
      </c>
      <c r="D515" s="3" t="s">
        <v>972</v>
      </c>
      <c r="E515" s="3" t="s">
        <v>965</v>
      </c>
      <c r="F515" s="1">
        <v>45826</v>
      </c>
      <c r="G515" t="str">
        <f t="shared" si="9"/>
        <v>Jun -2025</v>
      </c>
      <c r="H515" s="12"/>
    </row>
    <row r="516" spans="1:8" x14ac:dyDescent="0.3">
      <c r="A516" s="2">
        <v>823981</v>
      </c>
      <c r="B516" s="3" t="s">
        <v>777</v>
      </c>
      <c r="C516" s="3" t="s">
        <v>1011</v>
      </c>
      <c r="D516" s="3" t="s">
        <v>972</v>
      </c>
      <c r="E516" s="3" t="s">
        <v>965</v>
      </c>
      <c r="F516" s="1">
        <v>45826</v>
      </c>
      <c r="G516" t="str">
        <f t="shared" si="9"/>
        <v>Jun -2025</v>
      </c>
      <c r="H516" s="12"/>
    </row>
    <row r="517" spans="1:8" x14ac:dyDescent="0.3">
      <c r="A517" s="2">
        <v>821017</v>
      </c>
      <c r="B517" s="3" t="s">
        <v>104</v>
      </c>
      <c r="C517" s="3" t="s">
        <v>1010</v>
      </c>
      <c r="D517" s="3" t="s">
        <v>364</v>
      </c>
      <c r="E517" s="3" t="s">
        <v>15</v>
      </c>
      <c r="F517" s="1">
        <v>45827</v>
      </c>
      <c r="G517" t="str">
        <f t="shared" si="9"/>
        <v>Jun -2025</v>
      </c>
      <c r="H517" s="12"/>
    </row>
    <row r="518" spans="1:8" x14ac:dyDescent="0.3">
      <c r="A518" s="2">
        <v>821061</v>
      </c>
      <c r="B518" s="3" t="s">
        <v>105</v>
      </c>
      <c r="C518" s="3" t="s">
        <v>1010</v>
      </c>
      <c r="D518" s="3" t="s">
        <v>364</v>
      </c>
      <c r="E518" s="3" t="s">
        <v>15</v>
      </c>
      <c r="F518" s="1">
        <v>45827</v>
      </c>
      <c r="G518" t="str">
        <f t="shared" si="9"/>
        <v>Jun -2025</v>
      </c>
      <c r="H518" s="12"/>
    </row>
    <row r="519" spans="1:8" x14ac:dyDescent="0.3">
      <c r="A519" s="2">
        <v>820899</v>
      </c>
      <c r="B519" s="3" t="s">
        <v>106</v>
      </c>
      <c r="C519" s="3" t="s">
        <v>1010</v>
      </c>
      <c r="D519" s="3" t="s">
        <v>364</v>
      </c>
      <c r="E519" s="3" t="s">
        <v>15</v>
      </c>
      <c r="F519" s="1">
        <v>45828</v>
      </c>
      <c r="G519" t="str">
        <f t="shared" si="9"/>
        <v>Jun -2025</v>
      </c>
      <c r="H519" s="12"/>
    </row>
    <row r="520" spans="1:8" x14ac:dyDescent="0.3">
      <c r="A520" s="2">
        <v>820900</v>
      </c>
      <c r="B520" s="3" t="s">
        <v>107</v>
      </c>
      <c r="C520" s="3" t="s">
        <v>1010</v>
      </c>
      <c r="D520" s="3" t="s">
        <v>364</v>
      </c>
      <c r="E520" s="3" t="s">
        <v>15</v>
      </c>
      <c r="F520" s="1">
        <v>45828</v>
      </c>
      <c r="G520" t="str">
        <f t="shared" si="9"/>
        <v>Jun -2025</v>
      </c>
      <c r="H520" s="12"/>
    </row>
    <row r="521" spans="1:8" x14ac:dyDescent="0.3">
      <c r="A521" s="2">
        <v>819982</v>
      </c>
      <c r="B521" s="3" t="s">
        <v>108</v>
      </c>
      <c r="C521" s="3" t="s">
        <v>1010</v>
      </c>
      <c r="D521" s="3" t="s">
        <v>364</v>
      </c>
      <c r="E521" s="3" t="s">
        <v>15</v>
      </c>
      <c r="F521" s="1">
        <v>45828</v>
      </c>
      <c r="G521" t="str">
        <f t="shared" si="9"/>
        <v>Jun -2025</v>
      </c>
      <c r="H521" s="12"/>
    </row>
    <row r="522" spans="1:8" x14ac:dyDescent="0.3">
      <c r="A522" s="2">
        <v>819197</v>
      </c>
      <c r="B522" s="3" t="s">
        <v>109</v>
      </c>
      <c r="C522" s="3" t="s">
        <v>1010</v>
      </c>
      <c r="D522" s="3" t="s">
        <v>364</v>
      </c>
      <c r="E522" s="3" t="s">
        <v>15</v>
      </c>
      <c r="F522" s="1">
        <v>45829</v>
      </c>
      <c r="G522" t="str">
        <f t="shared" si="9"/>
        <v>Jun -2025</v>
      </c>
      <c r="H522" s="12"/>
    </row>
    <row r="523" spans="1:8" x14ac:dyDescent="0.3">
      <c r="A523" s="2">
        <v>819948</v>
      </c>
      <c r="B523" s="3" t="s">
        <v>110</v>
      </c>
      <c r="C523" s="3" t="s">
        <v>1010</v>
      </c>
      <c r="D523" s="3" t="s">
        <v>364</v>
      </c>
      <c r="E523" s="3" t="s">
        <v>15</v>
      </c>
      <c r="F523" s="1">
        <v>45829</v>
      </c>
      <c r="G523" t="str">
        <f t="shared" si="9"/>
        <v>Jun -2025</v>
      </c>
      <c r="H523" s="12"/>
    </row>
    <row r="524" spans="1:8" x14ac:dyDescent="0.3">
      <c r="A524" s="2">
        <v>820302</v>
      </c>
      <c r="B524" s="3" t="s">
        <v>111</v>
      </c>
      <c r="C524" s="3" t="s">
        <v>1010</v>
      </c>
      <c r="D524" s="3" t="s">
        <v>364</v>
      </c>
      <c r="E524" s="3" t="s">
        <v>15</v>
      </c>
      <c r="F524" s="1">
        <v>45829</v>
      </c>
      <c r="G524" t="str">
        <f t="shared" si="9"/>
        <v>Jun -2025</v>
      </c>
      <c r="H524" s="12"/>
    </row>
    <row r="525" spans="1:8" x14ac:dyDescent="0.3">
      <c r="A525" s="2">
        <v>820898</v>
      </c>
      <c r="B525" s="3" t="s">
        <v>112</v>
      </c>
      <c r="C525" s="3" t="s">
        <v>1010</v>
      </c>
      <c r="D525" s="3" t="s">
        <v>364</v>
      </c>
      <c r="E525" s="3" t="s">
        <v>15</v>
      </c>
      <c r="F525" s="1">
        <v>45829</v>
      </c>
      <c r="G525" t="str">
        <f t="shared" si="9"/>
        <v>Jun -2025</v>
      </c>
      <c r="H525" s="12"/>
    </row>
    <row r="526" spans="1:8" x14ac:dyDescent="0.3">
      <c r="A526" s="2">
        <v>821011</v>
      </c>
      <c r="B526" s="3" t="s">
        <v>113</v>
      </c>
      <c r="C526" s="3" t="s">
        <v>1010</v>
      </c>
      <c r="D526" s="3" t="s">
        <v>364</v>
      </c>
      <c r="E526" s="3" t="s">
        <v>15</v>
      </c>
      <c r="F526" s="1">
        <v>45829</v>
      </c>
      <c r="G526" t="str">
        <f t="shared" si="9"/>
        <v>Jun -2025</v>
      </c>
      <c r="H526" s="12"/>
    </row>
    <row r="527" spans="1:8" x14ac:dyDescent="0.3">
      <c r="A527" s="2">
        <v>821018</v>
      </c>
      <c r="B527" s="3" t="s">
        <v>114</v>
      </c>
      <c r="C527" s="3" t="s">
        <v>1010</v>
      </c>
      <c r="D527" s="3" t="s">
        <v>364</v>
      </c>
      <c r="E527" s="3" t="s">
        <v>15</v>
      </c>
      <c r="F527" s="1">
        <v>45829</v>
      </c>
      <c r="G527" t="str">
        <f t="shared" si="9"/>
        <v>Jun -2025</v>
      </c>
      <c r="H527" s="12"/>
    </row>
    <row r="528" spans="1:8" x14ac:dyDescent="0.3">
      <c r="A528" s="2">
        <v>821019</v>
      </c>
      <c r="B528" s="3" t="s">
        <v>115</v>
      </c>
      <c r="C528" s="3" t="s">
        <v>1010</v>
      </c>
      <c r="D528" s="3" t="s">
        <v>364</v>
      </c>
      <c r="E528" s="3" t="s">
        <v>15</v>
      </c>
      <c r="F528" s="1">
        <v>45829</v>
      </c>
      <c r="G528" t="str">
        <f t="shared" si="9"/>
        <v>Jun -2025</v>
      </c>
      <c r="H528" s="12"/>
    </row>
    <row r="529" spans="1:8" x14ac:dyDescent="0.3">
      <c r="A529" s="2">
        <v>822191</v>
      </c>
      <c r="B529" s="3" t="s">
        <v>116</v>
      </c>
      <c r="C529" s="3" t="s">
        <v>1010</v>
      </c>
      <c r="D529" s="3" t="s">
        <v>364</v>
      </c>
      <c r="E529" s="3" t="s">
        <v>15</v>
      </c>
      <c r="F529" s="1">
        <v>45829</v>
      </c>
      <c r="G529" t="str">
        <f t="shared" si="9"/>
        <v>Jun -2025</v>
      </c>
      <c r="H529" s="12"/>
    </row>
    <row r="530" spans="1:8" x14ac:dyDescent="0.3">
      <c r="A530" s="2">
        <v>822197</v>
      </c>
      <c r="B530" s="3" t="s">
        <v>117</v>
      </c>
      <c r="C530" s="3" t="s">
        <v>1010</v>
      </c>
      <c r="D530" s="3" t="s">
        <v>364</v>
      </c>
      <c r="E530" s="3" t="s">
        <v>15</v>
      </c>
      <c r="F530" s="1">
        <v>45829</v>
      </c>
      <c r="G530" t="str">
        <f t="shared" si="9"/>
        <v>Jun -2025</v>
      </c>
      <c r="H530" s="12"/>
    </row>
    <row r="531" spans="1:8" x14ac:dyDescent="0.3">
      <c r="A531" s="2">
        <v>822221</v>
      </c>
      <c r="B531" s="3" t="s">
        <v>118</v>
      </c>
      <c r="C531" s="3" t="s">
        <v>1010</v>
      </c>
      <c r="D531" s="3" t="s">
        <v>364</v>
      </c>
      <c r="E531" s="3" t="s">
        <v>15</v>
      </c>
      <c r="F531" s="1">
        <v>45829</v>
      </c>
      <c r="G531" t="str">
        <f t="shared" si="9"/>
        <v>Jun -2025</v>
      </c>
      <c r="H531" s="12"/>
    </row>
    <row r="532" spans="1:8" x14ac:dyDescent="0.3">
      <c r="A532" s="2">
        <v>822233</v>
      </c>
      <c r="B532" s="3" t="s">
        <v>119</v>
      </c>
      <c r="C532" s="3" t="s">
        <v>1010</v>
      </c>
      <c r="D532" s="3" t="s">
        <v>364</v>
      </c>
      <c r="E532" s="3" t="s">
        <v>15</v>
      </c>
      <c r="F532" s="1">
        <v>45829</v>
      </c>
      <c r="G532" t="str">
        <f t="shared" si="9"/>
        <v>Jun -2025</v>
      </c>
      <c r="H532" s="12"/>
    </row>
    <row r="533" spans="1:8" x14ac:dyDescent="0.3">
      <c r="A533" s="2">
        <v>823566</v>
      </c>
      <c r="B533" s="3" t="s">
        <v>120</v>
      </c>
      <c r="C533" s="3" t="s">
        <v>1010</v>
      </c>
      <c r="D533" s="3" t="s">
        <v>364</v>
      </c>
      <c r="E533" s="3" t="s">
        <v>15</v>
      </c>
      <c r="F533" s="1">
        <v>45829</v>
      </c>
      <c r="G533" t="str">
        <f t="shared" si="9"/>
        <v>Jun -2025</v>
      </c>
      <c r="H533" s="12"/>
    </row>
    <row r="534" spans="1:8" x14ac:dyDescent="0.3">
      <c r="A534" s="2">
        <v>825006</v>
      </c>
      <c r="B534" s="3" t="s">
        <v>121</v>
      </c>
      <c r="C534" s="3" t="s">
        <v>1010</v>
      </c>
      <c r="D534" s="3" t="s">
        <v>364</v>
      </c>
      <c r="E534" s="3" t="s">
        <v>15</v>
      </c>
      <c r="F534" s="1">
        <v>45829</v>
      </c>
      <c r="G534" t="str">
        <f t="shared" si="9"/>
        <v>Jun -2025</v>
      </c>
      <c r="H534" s="12"/>
    </row>
    <row r="535" spans="1:8" x14ac:dyDescent="0.3">
      <c r="A535" s="2">
        <v>900003458</v>
      </c>
      <c r="B535" s="3" t="s">
        <v>122</v>
      </c>
      <c r="C535" s="3" t="s">
        <v>1010</v>
      </c>
      <c r="D535" s="3" t="s">
        <v>209</v>
      </c>
      <c r="E535" s="3" t="s">
        <v>322</v>
      </c>
      <c r="F535" s="1">
        <v>45829</v>
      </c>
      <c r="G535" t="str">
        <f t="shared" si="9"/>
        <v>Jun -2025</v>
      </c>
      <c r="H535" s="12"/>
    </row>
    <row r="536" spans="1:8" x14ac:dyDescent="0.3">
      <c r="A536" s="2">
        <v>822270</v>
      </c>
      <c r="B536" s="3" t="s">
        <v>123</v>
      </c>
      <c r="C536" s="3" t="s">
        <v>1010</v>
      </c>
      <c r="D536" s="3" t="s">
        <v>364</v>
      </c>
      <c r="E536" s="3" t="s">
        <v>15</v>
      </c>
      <c r="F536" s="1">
        <v>45831</v>
      </c>
      <c r="G536" t="str">
        <f t="shared" si="9"/>
        <v>Jun -2025</v>
      </c>
      <c r="H536" s="12"/>
    </row>
    <row r="537" spans="1:8" x14ac:dyDescent="0.3">
      <c r="A537" s="2">
        <v>822617</v>
      </c>
      <c r="B537" s="3" t="s">
        <v>124</v>
      </c>
      <c r="C537" s="3" t="s">
        <v>1010</v>
      </c>
      <c r="D537" s="3" t="s">
        <v>364</v>
      </c>
      <c r="E537" s="3" t="s">
        <v>15</v>
      </c>
      <c r="F537" s="1">
        <v>45831</v>
      </c>
      <c r="G537" t="str">
        <f t="shared" si="9"/>
        <v>Jun -2025</v>
      </c>
      <c r="H537" s="12"/>
    </row>
    <row r="538" spans="1:8" x14ac:dyDescent="0.3">
      <c r="A538" s="2">
        <v>823378</v>
      </c>
      <c r="B538" s="3" t="s">
        <v>125</v>
      </c>
      <c r="C538" s="3" t="s">
        <v>1010</v>
      </c>
      <c r="D538" s="3" t="s">
        <v>364</v>
      </c>
      <c r="E538" s="3" t="s">
        <v>15</v>
      </c>
      <c r="F538" s="1">
        <v>45831</v>
      </c>
      <c r="G538" t="str">
        <f t="shared" si="9"/>
        <v>Jun -2025</v>
      </c>
      <c r="H538" s="12"/>
    </row>
    <row r="539" spans="1:8" x14ac:dyDescent="0.3">
      <c r="A539" s="2">
        <v>825017</v>
      </c>
      <c r="B539" s="3" t="s">
        <v>126</v>
      </c>
      <c r="C539" s="3" t="s">
        <v>1010</v>
      </c>
      <c r="D539" s="3" t="s">
        <v>364</v>
      </c>
      <c r="E539" s="3" t="s">
        <v>15</v>
      </c>
      <c r="F539" s="1">
        <v>45831</v>
      </c>
      <c r="G539" t="str">
        <f t="shared" si="9"/>
        <v>Jun -2025</v>
      </c>
      <c r="H539" s="12"/>
    </row>
    <row r="540" spans="1:8" x14ac:dyDescent="0.3">
      <c r="A540" s="2">
        <v>825008</v>
      </c>
      <c r="B540" s="3" t="s">
        <v>127</v>
      </c>
      <c r="C540" s="3" t="s">
        <v>1010</v>
      </c>
      <c r="D540" s="3" t="s">
        <v>364</v>
      </c>
      <c r="E540" s="3" t="s">
        <v>15</v>
      </c>
      <c r="F540" s="1">
        <v>45831</v>
      </c>
      <c r="G540" t="str">
        <f t="shared" si="9"/>
        <v>Jun -2025</v>
      </c>
      <c r="H540" s="12"/>
    </row>
    <row r="541" spans="1:8" x14ac:dyDescent="0.3">
      <c r="A541" s="2">
        <v>824999</v>
      </c>
      <c r="B541" s="3" t="s">
        <v>128</v>
      </c>
      <c r="C541" s="3" t="s">
        <v>1010</v>
      </c>
      <c r="D541" s="3" t="s">
        <v>364</v>
      </c>
      <c r="E541" s="3" t="s">
        <v>15</v>
      </c>
      <c r="F541" s="1">
        <v>45831</v>
      </c>
      <c r="G541" t="str">
        <f t="shared" si="9"/>
        <v>Jun -2025</v>
      </c>
      <c r="H541" s="12"/>
    </row>
    <row r="542" spans="1:8" x14ac:dyDescent="0.3">
      <c r="A542" s="2">
        <v>100002849</v>
      </c>
      <c r="B542" s="3" t="s">
        <v>867</v>
      </c>
      <c r="C542" s="3" t="s">
        <v>1011</v>
      </c>
      <c r="D542" s="3" t="s">
        <v>973</v>
      </c>
      <c r="E542" s="3" t="s">
        <v>966</v>
      </c>
      <c r="F542" s="1">
        <v>45831</v>
      </c>
      <c r="G542" t="str">
        <f t="shared" si="9"/>
        <v>Jun -2025</v>
      </c>
      <c r="H542" s="12"/>
    </row>
    <row r="543" spans="1:8" x14ac:dyDescent="0.3">
      <c r="A543" s="2">
        <v>100002881</v>
      </c>
      <c r="B543" s="3" t="s">
        <v>868</v>
      </c>
      <c r="C543" s="3" t="s">
        <v>1011</v>
      </c>
      <c r="D543" s="3" t="s">
        <v>973</v>
      </c>
      <c r="E543" s="3" t="s">
        <v>966</v>
      </c>
      <c r="F543" s="1">
        <v>45831</v>
      </c>
      <c r="G543" t="str">
        <f t="shared" si="9"/>
        <v>Jun -2025</v>
      </c>
      <c r="H543" s="12"/>
    </row>
    <row r="544" spans="1:8" x14ac:dyDescent="0.3">
      <c r="A544" s="2">
        <v>825035</v>
      </c>
      <c r="B544" s="3" t="s">
        <v>129</v>
      </c>
      <c r="C544" s="3" t="s">
        <v>1010</v>
      </c>
      <c r="D544" s="3" t="s">
        <v>364</v>
      </c>
      <c r="E544" s="3" t="s">
        <v>15</v>
      </c>
      <c r="F544" s="1">
        <v>45832</v>
      </c>
      <c r="G544" t="str">
        <f t="shared" si="9"/>
        <v>Jun -2025</v>
      </c>
      <c r="H544" s="12"/>
    </row>
    <row r="545" spans="1:8" x14ac:dyDescent="0.3">
      <c r="A545" s="2">
        <v>825060</v>
      </c>
      <c r="B545" s="3" t="s">
        <v>130</v>
      </c>
      <c r="C545" s="3" t="s">
        <v>1010</v>
      </c>
      <c r="D545" s="3" t="s">
        <v>364</v>
      </c>
      <c r="E545" s="3" t="s">
        <v>15</v>
      </c>
      <c r="F545" s="1">
        <v>45832</v>
      </c>
      <c r="G545" t="str">
        <f t="shared" si="9"/>
        <v>Jun -2025</v>
      </c>
      <c r="H545" s="12"/>
    </row>
    <row r="546" spans="1:8" x14ac:dyDescent="0.3">
      <c r="A546" s="2">
        <v>827166</v>
      </c>
      <c r="B546" s="3" t="s">
        <v>131</v>
      </c>
      <c r="C546" s="3" t="s">
        <v>1010</v>
      </c>
      <c r="D546" s="3" t="s">
        <v>1259</v>
      </c>
      <c r="E546" s="3" t="s">
        <v>15</v>
      </c>
      <c r="F546" s="1">
        <v>45832</v>
      </c>
      <c r="G546" t="str">
        <f t="shared" si="9"/>
        <v>Jun -2025</v>
      </c>
      <c r="H546" s="12"/>
    </row>
    <row r="547" spans="1:8" x14ac:dyDescent="0.3">
      <c r="A547" s="2">
        <v>827815</v>
      </c>
      <c r="B547" s="3" t="s">
        <v>132</v>
      </c>
      <c r="C547" s="3" t="s">
        <v>1010</v>
      </c>
      <c r="D547" s="3" t="s">
        <v>1259</v>
      </c>
      <c r="E547" s="3" t="s">
        <v>15</v>
      </c>
      <c r="F547" s="1">
        <v>45832</v>
      </c>
      <c r="G547" t="str">
        <f t="shared" si="9"/>
        <v>Jun -2025</v>
      </c>
      <c r="H547" s="12"/>
    </row>
    <row r="548" spans="1:8" x14ac:dyDescent="0.3">
      <c r="A548" s="2">
        <v>827845</v>
      </c>
      <c r="B548" s="3" t="s">
        <v>133</v>
      </c>
      <c r="C548" s="3" t="s">
        <v>1010</v>
      </c>
      <c r="D548" s="3" t="s">
        <v>1259</v>
      </c>
      <c r="E548" s="3" t="s">
        <v>15</v>
      </c>
      <c r="F548" s="1">
        <v>45832</v>
      </c>
      <c r="G548" t="str">
        <f t="shared" si="9"/>
        <v>Jun -2025</v>
      </c>
      <c r="H548" s="12"/>
    </row>
    <row r="549" spans="1:8" x14ac:dyDescent="0.3">
      <c r="A549" s="2">
        <v>827785</v>
      </c>
      <c r="B549" s="3" t="s">
        <v>134</v>
      </c>
      <c r="C549" s="3" t="s">
        <v>1010</v>
      </c>
      <c r="D549" s="3" t="s">
        <v>1259</v>
      </c>
      <c r="E549" s="3" t="s">
        <v>15</v>
      </c>
      <c r="F549" s="1">
        <v>45832</v>
      </c>
      <c r="G549" t="str">
        <f t="shared" si="9"/>
        <v>Jun -2025</v>
      </c>
      <c r="H549" s="12"/>
    </row>
    <row r="550" spans="1:8" x14ac:dyDescent="0.3">
      <c r="A550" s="2">
        <v>827820</v>
      </c>
      <c r="B550" s="3" t="s">
        <v>135</v>
      </c>
      <c r="C550" s="3" t="s">
        <v>1010</v>
      </c>
      <c r="D550" s="3" t="s">
        <v>1259</v>
      </c>
      <c r="E550" s="3" t="s">
        <v>15</v>
      </c>
      <c r="F550" s="1">
        <v>45832</v>
      </c>
      <c r="G550" t="str">
        <f t="shared" si="9"/>
        <v>Jun -2025</v>
      </c>
      <c r="H550" s="12"/>
    </row>
    <row r="551" spans="1:8" x14ac:dyDescent="0.3">
      <c r="A551" s="2">
        <v>827883</v>
      </c>
      <c r="B551" s="3" t="s">
        <v>136</v>
      </c>
      <c r="C551" s="3" t="s">
        <v>1010</v>
      </c>
      <c r="D551" s="3" t="s">
        <v>1259</v>
      </c>
      <c r="E551" s="3" t="s">
        <v>15</v>
      </c>
      <c r="F551" s="1">
        <v>45832</v>
      </c>
      <c r="G551" t="str">
        <f t="shared" si="9"/>
        <v>Jun -2025</v>
      </c>
      <c r="H551" s="12"/>
    </row>
    <row r="552" spans="1:8" x14ac:dyDescent="0.3">
      <c r="A552" s="2">
        <v>827811</v>
      </c>
      <c r="B552" s="3" t="s">
        <v>137</v>
      </c>
      <c r="C552" s="3" t="s">
        <v>1010</v>
      </c>
      <c r="D552" s="3" t="s">
        <v>1259</v>
      </c>
      <c r="E552" s="3" t="s">
        <v>15</v>
      </c>
      <c r="F552" s="1">
        <v>45832</v>
      </c>
      <c r="G552" t="str">
        <f t="shared" si="9"/>
        <v>Jun -2025</v>
      </c>
      <c r="H552" s="12"/>
    </row>
    <row r="553" spans="1:8" x14ac:dyDescent="0.3">
      <c r="A553" s="2">
        <v>829750</v>
      </c>
      <c r="B553" s="3" t="s">
        <v>138</v>
      </c>
      <c r="C553" s="3" t="s">
        <v>1010</v>
      </c>
      <c r="D553" s="3" t="s">
        <v>1259</v>
      </c>
      <c r="E553" s="3" t="s">
        <v>15</v>
      </c>
      <c r="F553" s="1">
        <v>45832</v>
      </c>
      <c r="G553" t="str">
        <f t="shared" si="9"/>
        <v>Jun -2025</v>
      </c>
      <c r="H553" s="12"/>
    </row>
    <row r="554" spans="1:8" x14ac:dyDescent="0.3">
      <c r="A554" s="2">
        <v>829221</v>
      </c>
      <c r="B554" s="3" t="s">
        <v>139</v>
      </c>
      <c r="C554" s="3" t="s">
        <v>1010</v>
      </c>
      <c r="D554" s="3" t="s">
        <v>209</v>
      </c>
      <c r="E554" s="3" t="s">
        <v>11</v>
      </c>
      <c r="F554" s="1">
        <v>45832</v>
      </c>
      <c r="G554" t="str">
        <f t="shared" si="9"/>
        <v>Jun -2025</v>
      </c>
      <c r="H554" s="12"/>
    </row>
    <row r="555" spans="1:8" x14ac:dyDescent="0.3">
      <c r="A555" s="2">
        <v>829224</v>
      </c>
      <c r="B555" s="3" t="s">
        <v>139</v>
      </c>
      <c r="C555" s="3" t="s">
        <v>1010</v>
      </c>
      <c r="D555" s="3" t="s">
        <v>209</v>
      </c>
      <c r="E555" s="3" t="s">
        <v>11</v>
      </c>
      <c r="F555" s="1">
        <v>45832</v>
      </c>
      <c r="G555" t="str">
        <f t="shared" si="9"/>
        <v>Jun -2025</v>
      </c>
      <c r="H555" s="12"/>
    </row>
    <row r="556" spans="1:8" x14ac:dyDescent="0.3">
      <c r="A556" s="2">
        <v>829225</v>
      </c>
      <c r="B556" s="3" t="s">
        <v>139</v>
      </c>
      <c r="C556" s="3" t="s">
        <v>1010</v>
      </c>
      <c r="D556" s="3" t="s">
        <v>209</v>
      </c>
      <c r="E556" s="3" t="s">
        <v>11</v>
      </c>
      <c r="F556" s="1">
        <v>45832</v>
      </c>
      <c r="G556" t="str">
        <f t="shared" si="9"/>
        <v>Jun -2025</v>
      </c>
      <c r="H556" s="12"/>
    </row>
    <row r="557" spans="1:8" x14ac:dyDescent="0.3">
      <c r="A557" s="2">
        <v>826092</v>
      </c>
      <c r="B557" s="3" t="s">
        <v>140</v>
      </c>
      <c r="C557" s="3" t="s">
        <v>1010</v>
      </c>
      <c r="D557" s="3" t="s">
        <v>364</v>
      </c>
      <c r="E557" s="3" t="s">
        <v>15</v>
      </c>
      <c r="F557" s="1">
        <v>45832</v>
      </c>
      <c r="G557" t="str">
        <f t="shared" si="9"/>
        <v>Jun -2025</v>
      </c>
      <c r="H557" s="12"/>
    </row>
    <row r="558" spans="1:8" x14ac:dyDescent="0.3">
      <c r="A558" s="2">
        <v>830242</v>
      </c>
      <c r="B558" s="3" t="s">
        <v>141</v>
      </c>
      <c r="C558" s="3" t="s">
        <v>1010</v>
      </c>
      <c r="D558" s="3" t="s">
        <v>364</v>
      </c>
      <c r="E558" s="3" t="s">
        <v>15</v>
      </c>
      <c r="F558" s="1">
        <v>45832</v>
      </c>
      <c r="G558" t="str">
        <f t="shared" si="9"/>
        <v>Jun -2025</v>
      </c>
      <c r="H558" s="12"/>
    </row>
    <row r="559" spans="1:8" x14ac:dyDescent="0.3">
      <c r="A559" s="2">
        <v>900003666</v>
      </c>
      <c r="B559" s="3" t="s">
        <v>142</v>
      </c>
      <c r="C559" s="3" t="s">
        <v>1010</v>
      </c>
      <c r="D559" s="3" t="s">
        <v>143</v>
      </c>
      <c r="E559" s="3" t="s">
        <v>322</v>
      </c>
      <c r="F559" s="1">
        <v>45832</v>
      </c>
      <c r="G559" t="str">
        <f t="shared" si="9"/>
        <v>Jun -2025</v>
      </c>
      <c r="H559" s="12"/>
    </row>
    <row r="560" spans="1:8" x14ac:dyDescent="0.3">
      <c r="A560" s="2">
        <v>827844</v>
      </c>
      <c r="B560" s="3" t="s">
        <v>144</v>
      </c>
      <c r="C560" s="3" t="s">
        <v>1010</v>
      </c>
      <c r="D560" s="3" t="s">
        <v>1259</v>
      </c>
      <c r="E560" s="3" t="s">
        <v>15</v>
      </c>
      <c r="F560" s="1">
        <v>45833</v>
      </c>
      <c r="G560" t="str">
        <f t="shared" si="9"/>
        <v>Jun -2025</v>
      </c>
      <c r="H560" s="12"/>
    </row>
    <row r="561" spans="1:8" x14ac:dyDescent="0.3">
      <c r="A561" s="2">
        <v>827921</v>
      </c>
      <c r="B561" s="3" t="s">
        <v>145</v>
      </c>
      <c r="C561" s="3" t="s">
        <v>1010</v>
      </c>
      <c r="D561" s="3" t="s">
        <v>1259</v>
      </c>
      <c r="E561" s="3" t="s">
        <v>15</v>
      </c>
      <c r="F561" s="1">
        <v>45833</v>
      </c>
      <c r="G561" t="str">
        <f t="shared" si="9"/>
        <v>Jun -2025</v>
      </c>
      <c r="H561" s="12"/>
    </row>
    <row r="562" spans="1:8" x14ac:dyDescent="0.3">
      <c r="A562" s="2">
        <v>827884</v>
      </c>
      <c r="B562" s="3" t="s">
        <v>146</v>
      </c>
      <c r="C562" s="3" t="s">
        <v>1010</v>
      </c>
      <c r="D562" s="3" t="s">
        <v>1259</v>
      </c>
      <c r="E562" s="3" t="s">
        <v>15</v>
      </c>
      <c r="F562" s="1">
        <v>45833</v>
      </c>
      <c r="G562" t="str">
        <f t="shared" si="9"/>
        <v>Jun -2025</v>
      </c>
      <c r="H562" s="12"/>
    </row>
    <row r="563" spans="1:8" x14ac:dyDescent="0.3">
      <c r="A563" s="2">
        <v>828652</v>
      </c>
      <c r="B563" s="3" t="s">
        <v>147</v>
      </c>
      <c r="C563" s="3" t="s">
        <v>1010</v>
      </c>
      <c r="D563" s="3" t="s">
        <v>1259</v>
      </c>
      <c r="E563" s="3" t="s">
        <v>15</v>
      </c>
      <c r="F563" s="1">
        <v>45833</v>
      </c>
      <c r="G563" t="str">
        <f t="shared" si="9"/>
        <v>Jun -2025</v>
      </c>
      <c r="H563" s="12"/>
    </row>
    <row r="564" spans="1:8" x14ac:dyDescent="0.3">
      <c r="A564" s="2">
        <v>827825</v>
      </c>
      <c r="B564" s="3" t="s">
        <v>148</v>
      </c>
      <c r="C564" s="3" t="s">
        <v>1010</v>
      </c>
      <c r="D564" s="3" t="s">
        <v>1259</v>
      </c>
      <c r="E564" s="3" t="s">
        <v>15</v>
      </c>
      <c r="F564" s="1">
        <v>45833</v>
      </c>
      <c r="G564" t="str">
        <f t="shared" si="9"/>
        <v>Jun -2025</v>
      </c>
      <c r="H564" s="12"/>
    </row>
    <row r="565" spans="1:8" x14ac:dyDescent="0.3">
      <c r="A565" s="2">
        <v>827814</v>
      </c>
      <c r="B565" s="3" t="s">
        <v>149</v>
      </c>
      <c r="C565" s="3" t="s">
        <v>1010</v>
      </c>
      <c r="D565" s="3" t="s">
        <v>1259</v>
      </c>
      <c r="E565" s="3" t="s">
        <v>15</v>
      </c>
      <c r="F565" s="1">
        <v>45833</v>
      </c>
      <c r="G565" t="str">
        <f t="shared" si="9"/>
        <v>Jun -2025</v>
      </c>
      <c r="H565" s="12"/>
    </row>
    <row r="566" spans="1:8" x14ac:dyDescent="0.3">
      <c r="A566" s="2">
        <v>828856</v>
      </c>
      <c r="B566" s="3" t="s">
        <v>150</v>
      </c>
      <c r="C566" s="3" t="s">
        <v>1010</v>
      </c>
      <c r="D566" s="3" t="s">
        <v>1259</v>
      </c>
      <c r="E566" s="3" t="s">
        <v>15</v>
      </c>
      <c r="F566" s="1">
        <v>45833</v>
      </c>
      <c r="G566" t="str">
        <f t="shared" si="9"/>
        <v>Jun -2025</v>
      </c>
      <c r="H566" s="12"/>
    </row>
    <row r="567" spans="1:8" x14ac:dyDescent="0.3">
      <c r="A567" s="2">
        <v>832008</v>
      </c>
      <c r="B567" s="3" t="s">
        <v>151</v>
      </c>
      <c r="C567" s="3" t="s">
        <v>1010</v>
      </c>
      <c r="D567" s="3" t="s">
        <v>1259</v>
      </c>
      <c r="E567" s="3" t="s">
        <v>15</v>
      </c>
      <c r="F567" s="1">
        <v>45833</v>
      </c>
      <c r="G567" t="str">
        <f t="shared" si="9"/>
        <v>Jun -2025</v>
      </c>
      <c r="H567" s="12"/>
    </row>
    <row r="568" spans="1:8" x14ac:dyDescent="0.3">
      <c r="A568" s="2" t="s">
        <v>152</v>
      </c>
      <c r="B568" s="3" t="s">
        <v>153</v>
      </c>
      <c r="C568" s="3" t="s">
        <v>1010</v>
      </c>
      <c r="D568" s="3" t="s">
        <v>364</v>
      </c>
      <c r="E568" s="3" t="s">
        <v>15</v>
      </c>
      <c r="F568" s="1">
        <v>45833</v>
      </c>
      <c r="G568" t="str">
        <f t="shared" si="9"/>
        <v>Jun -2025</v>
      </c>
      <c r="H568" s="12"/>
    </row>
    <row r="569" spans="1:8" x14ac:dyDescent="0.3">
      <c r="A569" s="2">
        <v>826973</v>
      </c>
      <c r="B569" s="3" t="s">
        <v>154</v>
      </c>
      <c r="C569" s="3" t="s">
        <v>1010</v>
      </c>
      <c r="D569" s="3" t="s">
        <v>364</v>
      </c>
      <c r="E569" s="3" t="s">
        <v>15</v>
      </c>
      <c r="F569" s="1">
        <v>45833</v>
      </c>
      <c r="G569" t="str">
        <f t="shared" si="9"/>
        <v>Jun -2025</v>
      </c>
      <c r="H569" s="12"/>
    </row>
    <row r="570" spans="1:8" x14ac:dyDescent="0.3">
      <c r="A570" s="2">
        <v>826960</v>
      </c>
      <c r="B570" s="3" t="s">
        <v>155</v>
      </c>
      <c r="C570" s="3" t="s">
        <v>1010</v>
      </c>
      <c r="D570" s="3" t="s">
        <v>364</v>
      </c>
      <c r="E570" s="3" t="s">
        <v>15</v>
      </c>
      <c r="F570" s="1">
        <v>45833</v>
      </c>
      <c r="G570" t="str">
        <f t="shared" si="9"/>
        <v>Jun -2025</v>
      </c>
      <c r="H570" s="12"/>
    </row>
    <row r="571" spans="1:8" x14ac:dyDescent="0.3">
      <c r="A571" s="2">
        <v>900003673</v>
      </c>
      <c r="B571" s="3" t="s">
        <v>156</v>
      </c>
      <c r="C571" s="3" t="s">
        <v>1010</v>
      </c>
      <c r="D571" s="3" t="s">
        <v>209</v>
      </c>
      <c r="E571" s="3" t="s">
        <v>322</v>
      </c>
      <c r="F571" s="1">
        <v>45833</v>
      </c>
      <c r="G571" t="str">
        <f t="shared" si="9"/>
        <v>Jun -2025</v>
      </c>
      <c r="H571" s="12"/>
    </row>
    <row r="572" spans="1:8" x14ac:dyDescent="0.3">
      <c r="A572" s="2">
        <v>826212</v>
      </c>
      <c r="B572" s="3" t="s">
        <v>157</v>
      </c>
      <c r="C572" s="3" t="s">
        <v>1010</v>
      </c>
      <c r="D572" s="3" t="s">
        <v>1259</v>
      </c>
      <c r="E572" s="3" t="s">
        <v>15</v>
      </c>
      <c r="F572" s="1">
        <v>45833</v>
      </c>
      <c r="G572" t="str">
        <f t="shared" si="9"/>
        <v>Jun -2025</v>
      </c>
      <c r="H572" s="12"/>
    </row>
    <row r="573" spans="1:8" x14ac:dyDescent="0.3">
      <c r="A573" s="2">
        <v>900003681</v>
      </c>
      <c r="B573" s="3" t="s">
        <v>158</v>
      </c>
      <c r="C573" s="3" t="s">
        <v>1010</v>
      </c>
      <c r="D573" s="3" t="s">
        <v>143</v>
      </c>
      <c r="E573" s="3" t="s">
        <v>322</v>
      </c>
      <c r="F573" s="1">
        <v>45833</v>
      </c>
      <c r="G573" t="str">
        <f t="shared" si="9"/>
        <v>Jun -2025</v>
      </c>
      <c r="H573" s="12"/>
    </row>
    <row r="574" spans="1:8" x14ac:dyDescent="0.3">
      <c r="A574" s="2">
        <v>900003667</v>
      </c>
      <c r="B574" s="3" t="s">
        <v>159</v>
      </c>
      <c r="C574" s="3" t="s">
        <v>1010</v>
      </c>
      <c r="D574" s="3" t="s">
        <v>143</v>
      </c>
      <c r="E574" s="3" t="s">
        <v>322</v>
      </c>
      <c r="F574" s="1">
        <v>45833</v>
      </c>
      <c r="G574" t="str">
        <f t="shared" si="9"/>
        <v>Jun -2025</v>
      </c>
      <c r="H574" s="12"/>
    </row>
    <row r="575" spans="1:8" x14ac:dyDescent="0.3">
      <c r="A575" s="2">
        <v>900003730</v>
      </c>
      <c r="B575" s="3" t="s">
        <v>160</v>
      </c>
      <c r="C575" s="3" t="s">
        <v>1010</v>
      </c>
      <c r="D575" s="3" t="s">
        <v>209</v>
      </c>
      <c r="E575" s="3" t="s">
        <v>322</v>
      </c>
      <c r="F575" s="1">
        <v>45833</v>
      </c>
      <c r="G575" t="str">
        <f t="shared" si="9"/>
        <v>Jun -2025</v>
      </c>
      <c r="H575" s="12"/>
    </row>
    <row r="576" spans="1:8" x14ac:dyDescent="0.3">
      <c r="A576" s="2">
        <v>829631</v>
      </c>
      <c r="B576" s="3" t="s">
        <v>161</v>
      </c>
      <c r="C576" s="3" t="s">
        <v>1010</v>
      </c>
      <c r="D576" s="3" t="s">
        <v>1259</v>
      </c>
      <c r="E576" s="3" t="s">
        <v>15</v>
      </c>
      <c r="F576" s="1">
        <v>45833</v>
      </c>
      <c r="G576" t="str">
        <f t="shared" si="9"/>
        <v>Jun -2025</v>
      </c>
      <c r="H576" s="12"/>
    </row>
    <row r="577" spans="1:8" x14ac:dyDescent="0.3">
      <c r="A577" s="2">
        <v>827031</v>
      </c>
      <c r="B577" s="3" t="s">
        <v>162</v>
      </c>
      <c r="C577" s="3" t="s">
        <v>1010</v>
      </c>
      <c r="D577" s="3" t="s">
        <v>364</v>
      </c>
      <c r="E577" s="3" t="s">
        <v>15</v>
      </c>
      <c r="F577" s="1">
        <v>45833</v>
      </c>
      <c r="G577" t="str">
        <f t="shared" si="9"/>
        <v>Jun -2025</v>
      </c>
      <c r="H577" s="12"/>
    </row>
    <row r="578" spans="1:8" x14ac:dyDescent="0.3">
      <c r="A578" s="2">
        <v>818878</v>
      </c>
      <c r="B578" s="3" t="s">
        <v>163</v>
      </c>
      <c r="C578" s="3" t="s">
        <v>1010</v>
      </c>
      <c r="D578" s="3" t="s">
        <v>364</v>
      </c>
      <c r="E578" s="3" t="s">
        <v>15</v>
      </c>
      <c r="F578" s="1">
        <v>45834</v>
      </c>
      <c r="G578" t="str">
        <f t="shared" ref="G578:G641" si="10">TEXT(F578,"mmm -YYYY")</f>
        <v>Jun -2025</v>
      </c>
      <c r="H578" s="12"/>
    </row>
    <row r="579" spans="1:8" x14ac:dyDescent="0.3">
      <c r="A579" s="2">
        <v>820896</v>
      </c>
      <c r="B579" s="3" t="s">
        <v>164</v>
      </c>
      <c r="C579" s="3" t="s">
        <v>1010</v>
      </c>
      <c r="D579" s="3" t="s">
        <v>364</v>
      </c>
      <c r="E579" s="3" t="s">
        <v>15</v>
      </c>
      <c r="F579" s="1">
        <v>45834</v>
      </c>
      <c r="G579" t="str">
        <f t="shared" si="10"/>
        <v>Jun -2025</v>
      </c>
      <c r="H579" s="12"/>
    </row>
    <row r="580" spans="1:8" x14ac:dyDescent="0.3">
      <c r="A580" s="2">
        <v>827046</v>
      </c>
      <c r="B580" s="3" t="s">
        <v>165</v>
      </c>
      <c r="C580" s="3" t="s">
        <v>1010</v>
      </c>
      <c r="D580" s="3" t="s">
        <v>364</v>
      </c>
      <c r="E580" s="3" t="s">
        <v>15</v>
      </c>
      <c r="F580" s="1">
        <v>45834</v>
      </c>
      <c r="G580" t="str">
        <f t="shared" si="10"/>
        <v>Jun -2025</v>
      </c>
      <c r="H580" s="12"/>
    </row>
    <row r="581" spans="1:8" x14ac:dyDescent="0.3">
      <c r="A581" s="2">
        <v>827225</v>
      </c>
      <c r="B581" s="3" t="s">
        <v>166</v>
      </c>
      <c r="C581" s="3" t="s">
        <v>1010</v>
      </c>
      <c r="D581" s="3" t="s">
        <v>364</v>
      </c>
      <c r="E581" s="3" t="s">
        <v>15</v>
      </c>
      <c r="F581" s="1">
        <v>45834</v>
      </c>
      <c r="G581" t="str">
        <f t="shared" si="10"/>
        <v>Jun -2025</v>
      </c>
      <c r="H581" s="12"/>
    </row>
    <row r="582" spans="1:8" x14ac:dyDescent="0.3">
      <c r="A582" s="2">
        <v>827774</v>
      </c>
      <c r="B582" s="3" t="s">
        <v>167</v>
      </c>
      <c r="C582" s="3" t="s">
        <v>1010</v>
      </c>
      <c r="D582" s="3" t="s">
        <v>364</v>
      </c>
      <c r="E582" s="3" t="s">
        <v>15</v>
      </c>
      <c r="F582" s="1">
        <v>45834</v>
      </c>
      <c r="G582" t="str">
        <f t="shared" si="10"/>
        <v>Jun -2025</v>
      </c>
      <c r="H582" s="12"/>
    </row>
    <row r="583" spans="1:8" x14ac:dyDescent="0.3">
      <c r="A583" s="2">
        <v>825421</v>
      </c>
      <c r="B583" s="3" t="s">
        <v>168</v>
      </c>
      <c r="C583" s="3" t="s">
        <v>1010</v>
      </c>
      <c r="D583" s="3" t="s">
        <v>364</v>
      </c>
      <c r="E583" s="3" t="s">
        <v>15</v>
      </c>
      <c r="F583" s="1">
        <v>45834</v>
      </c>
      <c r="G583" t="str">
        <f t="shared" si="10"/>
        <v>Jun -2025</v>
      </c>
      <c r="H583" s="12"/>
    </row>
    <row r="584" spans="1:8" x14ac:dyDescent="0.3">
      <c r="A584" s="2">
        <v>824912</v>
      </c>
      <c r="B584" s="3" t="s">
        <v>169</v>
      </c>
      <c r="C584" s="3" t="s">
        <v>1010</v>
      </c>
      <c r="D584" s="3" t="s">
        <v>364</v>
      </c>
      <c r="E584" s="3" t="s">
        <v>15</v>
      </c>
      <c r="F584" s="1">
        <v>45834</v>
      </c>
      <c r="G584" t="str">
        <f t="shared" si="10"/>
        <v>Jun -2025</v>
      </c>
      <c r="H584" s="12"/>
    </row>
    <row r="585" spans="1:8" x14ac:dyDescent="0.3">
      <c r="A585" s="2">
        <v>826331</v>
      </c>
      <c r="B585" s="3" t="s">
        <v>170</v>
      </c>
      <c r="C585" s="3" t="s">
        <v>1010</v>
      </c>
      <c r="D585" s="3" t="s">
        <v>364</v>
      </c>
      <c r="E585" s="3" t="s">
        <v>15</v>
      </c>
      <c r="F585" s="1">
        <v>45834</v>
      </c>
      <c r="G585" t="str">
        <f t="shared" si="10"/>
        <v>Jun -2025</v>
      </c>
      <c r="H585" s="12"/>
    </row>
    <row r="586" spans="1:8" x14ac:dyDescent="0.3">
      <c r="A586" s="2">
        <v>827047</v>
      </c>
      <c r="B586" s="3" t="s">
        <v>171</v>
      </c>
      <c r="C586" s="3" t="s">
        <v>1010</v>
      </c>
      <c r="D586" s="3" t="s">
        <v>364</v>
      </c>
      <c r="E586" s="3" t="s">
        <v>15</v>
      </c>
      <c r="F586" s="1">
        <v>45834</v>
      </c>
      <c r="G586" t="str">
        <f t="shared" si="10"/>
        <v>Jun -2025</v>
      </c>
      <c r="H586" s="12"/>
    </row>
    <row r="587" spans="1:8" x14ac:dyDescent="0.3">
      <c r="A587" s="2">
        <v>827904</v>
      </c>
      <c r="B587" s="3" t="s">
        <v>172</v>
      </c>
      <c r="C587" s="3" t="s">
        <v>1010</v>
      </c>
      <c r="D587" s="3" t="s">
        <v>364</v>
      </c>
      <c r="E587" s="3" t="s">
        <v>15</v>
      </c>
      <c r="F587" s="1">
        <v>45834</v>
      </c>
      <c r="G587" t="str">
        <f t="shared" si="10"/>
        <v>Jun -2025</v>
      </c>
      <c r="H587" s="12"/>
    </row>
    <row r="588" spans="1:8" x14ac:dyDescent="0.3">
      <c r="A588" s="2">
        <v>827050</v>
      </c>
      <c r="B588" s="3" t="s">
        <v>173</v>
      </c>
      <c r="C588" s="3" t="s">
        <v>1010</v>
      </c>
      <c r="D588" s="3" t="s">
        <v>364</v>
      </c>
      <c r="E588" s="3" t="s">
        <v>15</v>
      </c>
      <c r="F588" s="1">
        <v>45834</v>
      </c>
      <c r="G588" t="str">
        <f t="shared" si="10"/>
        <v>Jun -2025</v>
      </c>
      <c r="H588" s="12"/>
    </row>
    <row r="589" spans="1:8" x14ac:dyDescent="0.3">
      <c r="A589" s="2">
        <v>827871</v>
      </c>
      <c r="B589" s="3" t="s">
        <v>174</v>
      </c>
      <c r="C589" s="3" t="s">
        <v>1010</v>
      </c>
      <c r="D589" s="3" t="s">
        <v>364</v>
      </c>
      <c r="E589" s="3" t="s">
        <v>15</v>
      </c>
      <c r="F589" s="1">
        <v>45834</v>
      </c>
      <c r="G589" t="str">
        <f t="shared" si="10"/>
        <v>Jun -2025</v>
      </c>
      <c r="H589" s="12"/>
    </row>
    <row r="590" spans="1:8" x14ac:dyDescent="0.3">
      <c r="A590" s="2">
        <v>827901</v>
      </c>
      <c r="B590" s="3" t="s">
        <v>175</v>
      </c>
      <c r="C590" s="3" t="s">
        <v>1010</v>
      </c>
      <c r="D590" s="3" t="s">
        <v>364</v>
      </c>
      <c r="E590" s="3" t="s">
        <v>15</v>
      </c>
      <c r="F590" s="1">
        <v>45834</v>
      </c>
      <c r="G590" t="str">
        <f t="shared" si="10"/>
        <v>Jun -2025</v>
      </c>
      <c r="H590" s="12"/>
    </row>
    <row r="591" spans="1:8" x14ac:dyDescent="0.3">
      <c r="A591" s="2">
        <v>827872</v>
      </c>
      <c r="B591" s="3" t="s">
        <v>176</v>
      </c>
      <c r="C591" s="3" t="s">
        <v>1010</v>
      </c>
      <c r="D591" s="3" t="s">
        <v>364</v>
      </c>
      <c r="E591" s="3" t="s">
        <v>15</v>
      </c>
      <c r="F591" s="1">
        <v>45834</v>
      </c>
      <c r="G591" t="str">
        <f t="shared" si="10"/>
        <v>Jun -2025</v>
      </c>
      <c r="H591" s="12"/>
    </row>
    <row r="592" spans="1:8" x14ac:dyDescent="0.3">
      <c r="A592" s="2">
        <v>826332</v>
      </c>
      <c r="B592" s="3" t="s">
        <v>177</v>
      </c>
      <c r="C592" s="3" t="s">
        <v>1010</v>
      </c>
      <c r="D592" s="3" t="s">
        <v>364</v>
      </c>
      <c r="E592" s="3" t="s">
        <v>15</v>
      </c>
      <c r="F592" s="1">
        <v>45834</v>
      </c>
      <c r="G592" t="str">
        <f t="shared" si="10"/>
        <v>Jun -2025</v>
      </c>
      <c r="H592" s="12"/>
    </row>
    <row r="593" spans="1:8" x14ac:dyDescent="0.3">
      <c r="A593" s="2">
        <v>827902</v>
      </c>
      <c r="B593" s="3" t="s">
        <v>178</v>
      </c>
      <c r="C593" s="3" t="s">
        <v>1010</v>
      </c>
      <c r="D593" s="3" t="s">
        <v>364</v>
      </c>
      <c r="E593" s="3" t="s">
        <v>15</v>
      </c>
      <c r="F593" s="1">
        <v>45834</v>
      </c>
      <c r="G593" t="str">
        <f t="shared" si="10"/>
        <v>Jun -2025</v>
      </c>
      <c r="H593" s="12"/>
    </row>
    <row r="594" spans="1:8" x14ac:dyDescent="0.3">
      <c r="A594" s="2">
        <v>827775</v>
      </c>
      <c r="B594" s="3" t="s">
        <v>179</v>
      </c>
      <c r="C594" s="3" t="s">
        <v>1010</v>
      </c>
      <c r="D594" s="3" t="s">
        <v>364</v>
      </c>
      <c r="E594" s="3" t="s">
        <v>15</v>
      </c>
      <c r="F594" s="1">
        <v>45834</v>
      </c>
      <c r="G594" t="str">
        <f t="shared" si="10"/>
        <v>Jun -2025</v>
      </c>
      <c r="H594" s="12"/>
    </row>
    <row r="595" spans="1:8" x14ac:dyDescent="0.3">
      <c r="A595" s="2">
        <v>829743</v>
      </c>
      <c r="B595" s="3" t="s">
        <v>180</v>
      </c>
      <c r="C595" s="3" t="s">
        <v>1010</v>
      </c>
      <c r="D595" s="3" t="s">
        <v>364</v>
      </c>
      <c r="E595" s="3" t="s">
        <v>15</v>
      </c>
      <c r="F595" s="1">
        <v>45834</v>
      </c>
      <c r="G595" t="str">
        <f t="shared" si="10"/>
        <v>Jun -2025</v>
      </c>
      <c r="H595" s="12"/>
    </row>
    <row r="596" spans="1:8" x14ac:dyDescent="0.3">
      <c r="A596" s="2">
        <v>828905</v>
      </c>
      <c r="B596" s="3" t="s">
        <v>181</v>
      </c>
      <c r="C596" s="3" t="s">
        <v>1010</v>
      </c>
      <c r="D596" s="3" t="s">
        <v>364</v>
      </c>
      <c r="E596" s="3" t="s">
        <v>15</v>
      </c>
      <c r="F596" s="1">
        <v>45834</v>
      </c>
      <c r="G596" t="str">
        <f t="shared" si="10"/>
        <v>Jun -2025</v>
      </c>
      <c r="H596" s="12"/>
    </row>
    <row r="597" spans="1:8" x14ac:dyDescent="0.3">
      <c r="A597" s="2">
        <v>828910</v>
      </c>
      <c r="B597" s="3" t="s">
        <v>182</v>
      </c>
      <c r="C597" s="3" t="s">
        <v>1010</v>
      </c>
      <c r="D597" s="3" t="s">
        <v>364</v>
      </c>
      <c r="E597" s="3" t="s">
        <v>15</v>
      </c>
      <c r="F597" s="1">
        <v>45834</v>
      </c>
      <c r="G597" t="str">
        <f t="shared" si="10"/>
        <v>Jun -2025</v>
      </c>
      <c r="H597" s="12"/>
    </row>
    <row r="598" spans="1:8" x14ac:dyDescent="0.3">
      <c r="A598" s="2">
        <v>829744</v>
      </c>
      <c r="B598" s="3" t="s">
        <v>183</v>
      </c>
      <c r="C598" s="3" t="s">
        <v>1010</v>
      </c>
      <c r="D598" s="3" t="s">
        <v>364</v>
      </c>
      <c r="E598" s="3" t="s">
        <v>15</v>
      </c>
      <c r="F598" s="1">
        <v>45834</v>
      </c>
      <c r="G598" t="str">
        <f t="shared" si="10"/>
        <v>Jun -2025</v>
      </c>
      <c r="H598" s="12"/>
    </row>
    <row r="599" spans="1:8" x14ac:dyDescent="0.3">
      <c r="A599" s="2">
        <v>827780</v>
      </c>
      <c r="B599" s="3" t="s">
        <v>184</v>
      </c>
      <c r="C599" s="3" t="s">
        <v>1010</v>
      </c>
      <c r="D599" s="3" t="s">
        <v>364</v>
      </c>
      <c r="E599" s="3" t="s">
        <v>15</v>
      </c>
      <c r="F599" s="1">
        <v>45834</v>
      </c>
      <c r="G599" t="str">
        <f t="shared" si="10"/>
        <v>Jun -2025</v>
      </c>
      <c r="H599" s="12"/>
    </row>
    <row r="600" spans="1:8" x14ac:dyDescent="0.3">
      <c r="A600" s="2">
        <v>818878</v>
      </c>
      <c r="B600" s="3" t="s">
        <v>163</v>
      </c>
      <c r="C600" s="3" t="s">
        <v>1010</v>
      </c>
      <c r="D600" s="3" t="s">
        <v>364</v>
      </c>
      <c r="E600" s="3" t="s">
        <v>15</v>
      </c>
      <c r="F600" s="1">
        <v>45834</v>
      </c>
      <c r="G600" t="str">
        <f t="shared" si="10"/>
        <v>Jun -2025</v>
      </c>
      <c r="H600" s="12"/>
    </row>
    <row r="601" spans="1:8" x14ac:dyDescent="0.3">
      <c r="A601" s="2">
        <v>820896</v>
      </c>
      <c r="B601" s="3" t="s">
        <v>164</v>
      </c>
      <c r="C601" s="3" t="s">
        <v>1010</v>
      </c>
      <c r="D601" s="3" t="s">
        <v>364</v>
      </c>
      <c r="E601" s="3" t="s">
        <v>15</v>
      </c>
      <c r="F601" s="1">
        <v>45834</v>
      </c>
      <c r="G601" t="str">
        <f t="shared" si="10"/>
        <v>Jun -2025</v>
      </c>
      <c r="H601" s="12"/>
    </row>
    <row r="602" spans="1:8" x14ac:dyDescent="0.3">
      <c r="A602" s="2">
        <v>827046</v>
      </c>
      <c r="B602" s="3" t="s">
        <v>165</v>
      </c>
      <c r="C602" s="3" t="s">
        <v>1010</v>
      </c>
      <c r="D602" s="3" t="s">
        <v>364</v>
      </c>
      <c r="E602" s="3" t="s">
        <v>15</v>
      </c>
      <c r="F602" s="1">
        <v>45834</v>
      </c>
      <c r="G602" t="str">
        <f t="shared" si="10"/>
        <v>Jun -2025</v>
      </c>
      <c r="H602" s="12"/>
    </row>
    <row r="603" spans="1:8" x14ac:dyDescent="0.3">
      <c r="A603" s="2">
        <v>827225</v>
      </c>
      <c r="B603" s="3" t="s">
        <v>166</v>
      </c>
      <c r="C603" s="3" t="s">
        <v>1010</v>
      </c>
      <c r="D603" s="3" t="s">
        <v>364</v>
      </c>
      <c r="E603" s="3" t="s">
        <v>15</v>
      </c>
      <c r="F603" s="1">
        <v>45834</v>
      </c>
      <c r="G603" t="str">
        <f t="shared" si="10"/>
        <v>Jun -2025</v>
      </c>
      <c r="H603" s="12"/>
    </row>
    <row r="604" spans="1:8" x14ac:dyDescent="0.3">
      <c r="A604" s="2">
        <v>827774</v>
      </c>
      <c r="B604" s="3" t="s">
        <v>167</v>
      </c>
      <c r="C604" s="3" t="s">
        <v>1010</v>
      </c>
      <c r="D604" s="3" t="s">
        <v>364</v>
      </c>
      <c r="E604" s="3" t="s">
        <v>15</v>
      </c>
      <c r="F604" s="1">
        <v>45834</v>
      </c>
      <c r="G604" t="str">
        <f t="shared" si="10"/>
        <v>Jun -2025</v>
      </c>
      <c r="H604" s="12"/>
    </row>
    <row r="605" spans="1:8" x14ac:dyDescent="0.3">
      <c r="A605" s="2">
        <v>827013</v>
      </c>
      <c r="B605" s="3" t="s">
        <v>185</v>
      </c>
      <c r="C605" s="3" t="s">
        <v>1010</v>
      </c>
      <c r="D605" s="3" t="s">
        <v>364</v>
      </c>
      <c r="E605" s="3" t="s">
        <v>15</v>
      </c>
      <c r="F605" s="1">
        <v>45834</v>
      </c>
      <c r="G605" t="str">
        <f t="shared" si="10"/>
        <v>Jun -2025</v>
      </c>
      <c r="H605" s="12"/>
    </row>
    <row r="606" spans="1:8" x14ac:dyDescent="0.3">
      <c r="A606" s="2">
        <v>828708</v>
      </c>
      <c r="B606" s="3" t="s">
        <v>186</v>
      </c>
      <c r="C606" s="3" t="s">
        <v>1010</v>
      </c>
      <c r="D606" s="3" t="s">
        <v>364</v>
      </c>
      <c r="E606" s="3" t="s">
        <v>15</v>
      </c>
      <c r="F606" s="1">
        <v>45834</v>
      </c>
      <c r="G606" t="str">
        <f t="shared" si="10"/>
        <v>Jun -2025</v>
      </c>
      <c r="H606" s="12"/>
    </row>
    <row r="607" spans="1:8" x14ac:dyDescent="0.3">
      <c r="A607" s="2">
        <v>829142</v>
      </c>
      <c r="B607" s="3" t="s">
        <v>187</v>
      </c>
      <c r="C607" s="3" t="s">
        <v>1010</v>
      </c>
      <c r="D607" s="3" t="s">
        <v>209</v>
      </c>
      <c r="E607" s="3" t="s">
        <v>15</v>
      </c>
      <c r="F607" s="1">
        <v>45834</v>
      </c>
      <c r="G607" t="str">
        <f t="shared" si="10"/>
        <v>Jun -2025</v>
      </c>
      <c r="H607" s="12"/>
    </row>
    <row r="608" spans="1:8" x14ac:dyDescent="0.3">
      <c r="A608" s="2">
        <v>829196</v>
      </c>
      <c r="B608" s="3" t="s">
        <v>188</v>
      </c>
      <c r="C608" s="3" t="s">
        <v>1010</v>
      </c>
      <c r="D608" s="3" t="s">
        <v>364</v>
      </c>
      <c r="E608" s="3" t="s">
        <v>15</v>
      </c>
      <c r="F608" s="1">
        <v>45834</v>
      </c>
      <c r="G608" t="str">
        <f t="shared" si="10"/>
        <v>Jun -2025</v>
      </c>
      <c r="H608" s="12"/>
    </row>
    <row r="609" spans="1:8" x14ac:dyDescent="0.3">
      <c r="A609" s="2">
        <v>829072</v>
      </c>
      <c r="B609" s="3" t="s">
        <v>189</v>
      </c>
      <c r="C609" s="3" t="s">
        <v>1010</v>
      </c>
      <c r="D609" s="3" t="s">
        <v>364</v>
      </c>
      <c r="E609" s="3" t="s">
        <v>15</v>
      </c>
      <c r="F609" s="1">
        <v>45834</v>
      </c>
      <c r="G609" t="str">
        <f t="shared" si="10"/>
        <v>Jun -2025</v>
      </c>
      <c r="H609" s="12"/>
    </row>
    <row r="610" spans="1:8" x14ac:dyDescent="0.3">
      <c r="A610" s="2">
        <v>100002854</v>
      </c>
      <c r="B610" s="3" t="s">
        <v>869</v>
      </c>
      <c r="C610" s="3" t="s">
        <v>1011</v>
      </c>
      <c r="D610" s="3" t="s">
        <v>972</v>
      </c>
      <c r="E610" s="3" t="s">
        <v>976</v>
      </c>
      <c r="F610" s="1">
        <v>45835</v>
      </c>
      <c r="G610" t="str">
        <f t="shared" si="10"/>
        <v>Jun -2025</v>
      </c>
      <c r="H610" s="12"/>
    </row>
    <row r="611" spans="1:8" x14ac:dyDescent="0.3">
      <c r="A611" s="2">
        <v>100002879</v>
      </c>
      <c r="B611" s="3" t="s">
        <v>870</v>
      </c>
      <c r="C611" s="3" t="s">
        <v>1011</v>
      </c>
      <c r="D611" s="3" t="s">
        <v>972</v>
      </c>
      <c r="E611" s="3" t="s">
        <v>968</v>
      </c>
      <c r="F611" s="1">
        <v>45835</v>
      </c>
      <c r="G611" t="str">
        <f t="shared" si="10"/>
        <v>Jun -2025</v>
      </c>
      <c r="H611" s="12"/>
    </row>
    <row r="612" spans="1:8" x14ac:dyDescent="0.3">
      <c r="A612" s="2">
        <v>900003700</v>
      </c>
      <c r="B612" s="3" t="s">
        <v>190</v>
      </c>
      <c r="C612" s="3" t="s">
        <v>1010</v>
      </c>
      <c r="D612" s="3" t="s">
        <v>209</v>
      </c>
      <c r="E612" s="3" t="s">
        <v>322</v>
      </c>
      <c r="F612" s="1">
        <v>45838</v>
      </c>
      <c r="G612" t="str">
        <f t="shared" si="10"/>
        <v>Jun -2025</v>
      </c>
      <c r="H612" s="12"/>
    </row>
    <row r="613" spans="1:8" x14ac:dyDescent="0.3">
      <c r="A613" s="2">
        <v>200001976</v>
      </c>
      <c r="B613" s="3" t="s">
        <v>191</v>
      </c>
      <c r="C613" s="3" t="s">
        <v>1010</v>
      </c>
      <c r="D613" s="3" t="s">
        <v>192</v>
      </c>
      <c r="E613" s="3" t="s">
        <v>193</v>
      </c>
      <c r="F613" s="1">
        <v>45840</v>
      </c>
      <c r="G613" t="str">
        <f t="shared" si="10"/>
        <v>Jul -2025</v>
      </c>
      <c r="H613" s="12"/>
    </row>
    <row r="614" spans="1:8" x14ac:dyDescent="0.3">
      <c r="A614" s="2">
        <v>838378</v>
      </c>
      <c r="B614" s="3" t="s">
        <v>195</v>
      </c>
      <c r="C614" s="3" t="s">
        <v>1010</v>
      </c>
      <c r="D614" s="3" t="s">
        <v>209</v>
      </c>
      <c r="E614" s="3" t="s">
        <v>196</v>
      </c>
      <c r="F614" s="1">
        <v>45840</v>
      </c>
      <c r="G614" t="str">
        <f t="shared" si="10"/>
        <v>Jul -2025</v>
      </c>
      <c r="H614" s="12"/>
    </row>
    <row r="615" spans="1:8" x14ac:dyDescent="0.3">
      <c r="A615" s="2">
        <v>838407</v>
      </c>
      <c r="B615" s="3" t="s">
        <v>197</v>
      </c>
      <c r="C615" s="3" t="s">
        <v>1010</v>
      </c>
      <c r="D615" s="3" t="s">
        <v>209</v>
      </c>
      <c r="E615" s="3" t="s">
        <v>196</v>
      </c>
      <c r="F615" s="1">
        <v>45840</v>
      </c>
      <c r="G615" t="str">
        <f t="shared" si="10"/>
        <v>Jul -2025</v>
      </c>
      <c r="H615" s="12"/>
    </row>
    <row r="616" spans="1:8" x14ac:dyDescent="0.3">
      <c r="A616" s="2">
        <v>838347</v>
      </c>
      <c r="B616" s="3" t="s">
        <v>197</v>
      </c>
      <c r="C616" s="3" t="s">
        <v>1010</v>
      </c>
      <c r="D616" s="3" t="s">
        <v>209</v>
      </c>
      <c r="E616" s="3" t="s">
        <v>196</v>
      </c>
      <c r="F616" s="1">
        <v>45840</v>
      </c>
      <c r="G616" t="str">
        <f t="shared" si="10"/>
        <v>Jul -2025</v>
      </c>
      <c r="H616" s="12"/>
    </row>
    <row r="617" spans="1:8" x14ac:dyDescent="0.3">
      <c r="A617" s="2">
        <v>838432</v>
      </c>
      <c r="B617" s="3" t="s">
        <v>197</v>
      </c>
      <c r="C617" s="3" t="s">
        <v>1010</v>
      </c>
      <c r="D617" s="3" t="s">
        <v>209</v>
      </c>
      <c r="E617" s="3" t="s">
        <v>196</v>
      </c>
      <c r="F617" s="1">
        <v>45840</v>
      </c>
      <c r="G617" t="str">
        <f t="shared" si="10"/>
        <v>Jul -2025</v>
      </c>
      <c r="H617" s="12"/>
    </row>
    <row r="618" spans="1:8" x14ac:dyDescent="0.3">
      <c r="A618" s="2">
        <v>838379</v>
      </c>
      <c r="B618" s="3" t="s">
        <v>198</v>
      </c>
      <c r="C618" s="3" t="s">
        <v>1010</v>
      </c>
      <c r="D618" s="3" t="s">
        <v>209</v>
      </c>
      <c r="E618" s="3" t="s">
        <v>196</v>
      </c>
      <c r="F618" s="1">
        <v>45840</v>
      </c>
      <c r="G618" t="str">
        <f t="shared" si="10"/>
        <v>Jul -2025</v>
      </c>
      <c r="H618" s="12"/>
    </row>
    <row r="619" spans="1:8" x14ac:dyDescent="0.3">
      <c r="A619" s="2">
        <v>838434</v>
      </c>
      <c r="B619" s="3" t="s">
        <v>199</v>
      </c>
      <c r="C619" s="3" t="s">
        <v>1010</v>
      </c>
      <c r="D619" s="3" t="s">
        <v>209</v>
      </c>
      <c r="E619" s="3" t="s">
        <v>196</v>
      </c>
      <c r="F619" s="1">
        <v>45840</v>
      </c>
      <c r="G619" t="str">
        <f t="shared" si="10"/>
        <v>Jul -2025</v>
      </c>
      <c r="H619" s="12"/>
    </row>
    <row r="620" spans="1:8" x14ac:dyDescent="0.3">
      <c r="A620" s="2">
        <v>838380</v>
      </c>
      <c r="B620" s="3" t="s">
        <v>199</v>
      </c>
      <c r="C620" s="3" t="s">
        <v>1010</v>
      </c>
      <c r="D620" s="3" t="s">
        <v>209</v>
      </c>
      <c r="E620" s="3" t="s">
        <v>196</v>
      </c>
      <c r="F620" s="1">
        <v>45840</v>
      </c>
      <c r="G620" t="str">
        <f t="shared" si="10"/>
        <v>Jul -2025</v>
      </c>
      <c r="H620" s="12"/>
    </row>
    <row r="621" spans="1:8" x14ac:dyDescent="0.3">
      <c r="A621" s="2">
        <v>838350</v>
      </c>
      <c r="B621" s="3" t="s">
        <v>199</v>
      </c>
      <c r="C621" s="3" t="s">
        <v>1010</v>
      </c>
      <c r="D621" s="3" t="s">
        <v>209</v>
      </c>
      <c r="E621" s="3" t="s">
        <v>196</v>
      </c>
      <c r="F621" s="1">
        <v>45840</v>
      </c>
      <c r="G621" t="str">
        <f t="shared" si="10"/>
        <v>Jul -2025</v>
      </c>
      <c r="H621" s="12"/>
    </row>
    <row r="622" spans="1:8" x14ac:dyDescent="0.3">
      <c r="A622" s="2">
        <v>833095</v>
      </c>
      <c r="B622" s="3" t="s">
        <v>200</v>
      </c>
      <c r="C622" s="3" t="s">
        <v>1010</v>
      </c>
      <c r="D622" s="3" t="s">
        <v>1259</v>
      </c>
      <c r="E622" s="3" t="s">
        <v>15</v>
      </c>
      <c r="F622" s="1">
        <v>45840</v>
      </c>
      <c r="G622" t="str">
        <f t="shared" si="10"/>
        <v>Jul -2025</v>
      </c>
      <c r="H622" s="12"/>
    </row>
    <row r="623" spans="1:8" x14ac:dyDescent="0.3">
      <c r="A623" s="2">
        <v>829131</v>
      </c>
      <c r="B623" s="3" t="s">
        <v>201</v>
      </c>
      <c r="C623" s="3" t="s">
        <v>1010</v>
      </c>
      <c r="D623" s="3" t="s">
        <v>364</v>
      </c>
      <c r="E623" s="3" t="s">
        <v>15</v>
      </c>
      <c r="F623" s="1">
        <v>45840</v>
      </c>
      <c r="G623" t="str">
        <f t="shared" si="10"/>
        <v>Jul -2025</v>
      </c>
      <c r="H623" s="12"/>
    </row>
    <row r="624" spans="1:8" x14ac:dyDescent="0.3">
      <c r="A624" s="2">
        <v>831718</v>
      </c>
      <c r="B624" s="3" t="s">
        <v>202</v>
      </c>
      <c r="C624" s="3" t="s">
        <v>1010</v>
      </c>
      <c r="D624" s="3" t="s">
        <v>364</v>
      </c>
      <c r="E624" s="3" t="s">
        <v>15</v>
      </c>
      <c r="F624" s="1">
        <v>45840</v>
      </c>
      <c r="G624" t="str">
        <f t="shared" si="10"/>
        <v>Jul -2025</v>
      </c>
      <c r="H624" s="12"/>
    </row>
    <row r="625" spans="1:8" x14ac:dyDescent="0.3">
      <c r="A625" s="2">
        <v>838418</v>
      </c>
      <c r="B625" s="3" t="s">
        <v>199</v>
      </c>
      <c r="C625" s="3" t="s">
        <v>1010</v>
      </c>
      <c r="D625" s="3" t="s">
        <v>209</v>
      </c>
      <c r="E625" s="3" t="s">
        <v>196</v>
      </c>
      <c r="F625" s="1">
        <v>45840</v>
      </c>
      <c r="G625" t="str">
        <f t="shared" si="10"/>
        <v>Jul -2025</v>
      </c>
      <c r="H625" s="12"/>
    </row>
    <row r="626" spans="1:8" x14ac:dyDescent="0.3">
      <c r="A626" s="2">
        <v>838440</v>
      </c>
      <c r="B626" s="3" t="s">
        <v>203</v>
      </c>
      <c r="C626" s="3" t="s">
        <v>1010</v>
      </c>
      <c r="D626" s="3" t="s">
        <v>209</v>
      </c>
      <c r="E626" s="3" t="s">
        <v>196</v>
      </c>
      <c r="F626" s="1">
        <v>45840</v>
      </c>
      <c r="G626" t="str">
        <f t="shared" si="10"/>
        <v>Jul -2025</v>
      </c>
      <c r="H626" s="12"/>
    </row>
    <row r="627" spans="1:8" x14ac:dyDescent="0.3">
      <c r="A627" s="2">
        <v>838445</v>
      </c>
      <c r="B627" s="3" t="s">
        <v>203</v>
      </c>
      <c r="C627" s="3" t="s">
        <v>1010</v>
      </c>
      <c r="D627" s="3" t="s">
        <v>209</v>
      </c>
      <c r="E627" s="3" t="s">
        <v>196</v>
      </c>
      <c r="F627" s="1">
        <v>45840</v>
      </c>
      <c r="G627" t="str">
        <f t="shared" si="10"/>
        <v>Jul -2025</v>
      </c>
      <c r="H627" s="12"/>
    </row>
    <row r="628" spans="1:8" x14ac:dyDescent="0.3">
      <c r="A628" s="2">
        <v>838463</v>
      </c>
      <c r="B628" s="3" t="s">
        <v>199</v>
      </c>
      <c r="C628" s="3" t="s">
        <v>1010</v>
      </c>
      <c r="D628" s="3" t="s">
        <v>209</v>
      </c>
      <c r="E628" s="3" t="s">
        <v>196</v>
      </c>
      <c r="F628" s="1">
        <v>45840</v>
      </c>
      <c r="G628" t="str">
        <f t="shared" si="10"/>
        <v>Jul -2025</v>
      </c>
      <c r="H628" s="12"/>
    </row>
    <row r="629" spans="1:8" x14ac:dyDescent="0.3">
      <c r="A629" s="2">
        <v>838466</v>
      </c>
      <c r="B629" s="3" t="s">
        <v>203</v>
      </c>
      <c r="C629" s="3" t="s">
        <v>1010</v>
      </c>
      <c r="D629" s="3" t="s">
        <v>209</v>
      </c>
      <c r="E629" s="3" t="s">
        <v>196</v>
      </c>
      <c r="F629" s="1">
        <v>45840</v>
      </c>
      <c r="G629" t="str">
        <f t="shared" si="10"/>
        <v>Jul -2025</v>
      </c>
      <c r="H629" s="12"/>
    </row>
    <row r="630" spans="1:8" x14ac:dyDescent="0.3">
      <c r="A630" s="2">
        <v>838476</v>
      </c>
      <c r="B630" s="3" t="s">
        <v>199</v>
      </c>
      <c r="C630" s="3" t="s">
        <v>1010</v>
      </c>
      <c r="D630" s="3" t="s">
        <v>209</v>
      </c>
      <c r="E630" s="3" t="s">
        <v>196</v>
      </c>
      <c r="F630" s="1">
        <v>45840</v>
      </c>
      <c r="G630" t="str">
        <f t="shared" si="10"/>
        <v>Jul -2025</v>
      </c>
      <c r="H630" s="12"/>
    </row>
    <row r="631" spans="1:8" x14ac:dyDescent="0.3">
      <c r="A631" s="2">
        <v>838483</v>
      </c>
      <c r="B631" s="3" t="s">
        <v>199</v>
      </c>
      <c r="C631" s="3" t="s">
        <v>1010</v>
      </c>
      <c r="D631" s="3" t="s">
        <v>209</v>
      </c>
      <c r="E631" s="3" t="s">
        <v>196</v>
      </c>
      <c r="F631" s="1">
        <v>45840</v>
      </c>
      <c r="G631" t="str">
        <f t="shared" si="10"/>
        <v>Jul -2025</v>
      </c>
      <c r="H631" s="12"/>
    </row>
    <row r="632" spans="1:8" x14ac:dyDescent="0.3">
      <c r="A632" s="2">
        <v>838501</v>
      </c>
      <c r="B632" s="3" t="s">
        <v>199</v>
      </c>
      <c r="C632" s="3" t="s">
        <v>1010</v>
      </c>
      <c r="D632" s="3" t="s">
        <v>209</v>
      </c>
      <c r="E632" s="3" t="s">
        <v>196</v>
      </c>
      <c r="F632" s="1">
        <v>45840</v>
      </c>
      <c r="G632" t="str">
        <f t="shared" si="10"/>
        <v>Jul -2025</v>
      </c>
      <c r="H632" s="12"/>
    </row>
    <row r="633" spans="1:8" x14ac:dyDescent="0.3">
      <c r="A633" s="2">
        <v>838512</v>
      </c>
      <c r="B633" s="3" t="s">
        <v>199</v>
      </c>
      <c r="C633" s="3" t="s">
        <v>1010</v>
      </c>
      <c r="D633" s="3" t="s">
        <v>209</v>
      </c>
      <c r="E633" s="3" t="s">
        <v>196</v>
      </c>
      <c r="F633" s="1">
        <v>45840</v>
      </c>
      <c r="G633" t="str">
        <f t="shared" si="10"/>
        <v>Jul -2025</v>
      </c>
      <c r="H633" s="12"/>
    </row>
    <row r="634" spans="1:8" x14ac:dyDescent="0.3">
      <c r="A634" s="2">
        <v>838515</v>
      </c>
      <c r="B634" s="3" t="s">
        <v>199</v>
      </c>
      <c r="C634" s="3" t="s">
        <v>1010</v>
      </c>
      <c r="D634" s="3" t="s">
        <v>209</v>
      </c>
      <c r="E634" s="3" t="s">
        <v>196</v>
      </c>
      <c r="F634" s="1">
        <v>45840</v>
      </c>
      <c r="G634" t="str">
        <f t="shared" si="10"/>
        <v>Jul -2025</v>
      </c>
      <c r="H634" s="12"/>
    </row>
    <row r="635" spans="1:8" x14ac:dyDescent="0.3">
      <c r="A635" s="2">
        <v>838521</v>
      </c>
      <c r="B635" s="3" t="s">
        <v>199</v>
      </c>
      <c r="C635" s="3" t="s">
        <v>1010</v>
      </c>
      <c r="D635" s="3" t="s">
        <v>209</v>
      </c>
      <c r="E635" s="3" t="s">
        <v>196</v>
      </c>
      <c r="F635" s="1">
        <v>45840</v>
      </c>
      <c r="G635" t="str">
        <f t="shared" si="10"/>
        <v>Jul -2025</v>
      </c>
      <c r="H635" s="12"/>
    </row>
    <row r="636" spans="1:8" x14ac:dyDescent="0.3">
      <c r="A636" s="2">
        <v>838206</v>
      </c>
      <c r="B636" s="3" t="s">
        <v>204</v>
      </c>
      <c r="C636" s="3" t="s">
        <v>1010</v>
      </c>
      <c r="D636" s="3" t="s">
        <v>209</v>
      </c>
      <c r="E636" s="3" t="s">
        <v>196</v>
      </c>
      <c r="F636" s="1">
        <v>45840</v>
      </c>
      <c r="G636" t="str">
        <f t="shared" si="10"/>
        <v>Jul -2025</v>
      </c>
      <c r="H636" s="12"/>
    </row>
    <row r="637" spans="1:8" x14ac:dyDescent="0.3">
      <c r="A637" s="2">
        <v>838207</v>
      </c>
      <c r="B637" s="3" t="s">
        <v>204</v>
      </c>
      <c r="C637" s="3" t="s">
        <v>1010</v>
      </c>
      <c r="D637" s="3" t="s">
        <v>209</v>
      </c>
      <c r="E637" s="3" t="s">
        <v>196</v>
      </c>
      <c r="F637" s="1">
        <v>45840</v>
      </c>
      <c r="G637" t="str">
        <f t="shared" si="10"/>
        <v>Jul -2025</v>
      </c>
      <c r="H637" s="12"/>
    </row>
    <row r="638" spans="1:8" x14ac:dyDescent="0.3">
      <c r="A638" s="2">
        <v>838208</v>
      </c>
      <c r="B638" s="3" t="s">
        <v>204</v>
      </c>
      <c r="C638" s="3" t="s">
        <v>1010</v>
      </c>
      <c r="D638" s="3" t="s">
        <v>209</v>
      </c>
      <c r="E638" s="3" t="s">
        <v>196</v>
      </c>
      <c r="F638" s="1">
        <v>45840</v>
      </c>
      <c r="G638" t="str">
        <f t="shared" si="10"/>
        <v>Jul -2025</v>
      </c>
      <c r="H638" s="12"/>
    </row>
    <row r="639" spans="1:8" x14ac:dyDescent="0.3">
      <c r="A639" s="2">
        <v>838214</v>
      </c>
      <c r="B639" s="3" t="s">
        <v>204</v>
      </c>
      <c r="C639" s="3" t="s">
        <v>1010</v>
      </c>
      <c r="D639" s="3" t="s">
        <v>209</v>
      </c>
      <c r="E639" s="3" t="s">
        <v>196</v>
      </c>
      <c r="F639" s="1">
        <v>45840</v>
      </c>
      <c r="G639" t="str">
        <f t="shared" si="10"/>
        <v>Jul -2025</v>
      </c>
      <c r="H639" s="12"/>
    </row>
    <row r="640" spans="1:8" x14ac:dyDescent="0.3">
      <c r="A640" s="2">
        <v>838244</v>
      </c>
      <c r="B640" s="3" t="s">
        <v>204</v>
      </c>
      <c r="C640" s="3" t="s">
        <v>1010</v>
      </c>
      <c r="D640" s="3" t="s">
        <v>209</v>
      </c>
      <c r="E640" s="3" t="s">
        <v>196</v>
      </c>
      <c r="F640" s="1">
        <v>45840</v>
      </c>
      <c r="G640" t="str">
        <f t="shared" si="10"/>
        <v>Jul -2025</v>
      </c>
      <c r="H640" s="12"/>
    </row>
    <row r="641" spans="1:8" x14ac:dyDescent="0.3">
      <c r="A641" s="2">
        <v>838246</v>
      </c>
      <c r="B641" s="3" t="s">
        <v>204</v>
      </c>
      <c r="C641" s="3" t="s">
        <v>1010</v>
      </c>
      <c r="D641" s="3" t="s">
        <v>209</v>
      </c>
      <c r="E641" s="3" t="s">
        <v>196</v>
      </c>
      <c r="F641" s="1">
        <v>45840</v>
      </c>
      <c r="G641" t="str">
        <f t="shared" si="10"/>
        <v>Jul -2025</v>
      </c>
      <c r="H641" s="12"/>
    </row>
    <row r="642" spans="1:8" x14ac:dyDescent="0.3">
      <c r="A642" s="2">
        <v>838267</v>
      </c>
      <c r="B642" s="3" t="s">
        <v>204</v>
      </c>
      <c r="C642" s="3" t="s">
        <v>1010</v>
      </c>
      <c r="D642" s="3" t="s">
        <v>209</v>
      </c>
      <c r="E642" s="3" t="s">
        <v>196</v>
      </c>
      <c r="F642" s="1">
        <v>45840</v>
      </c>
      <c r="G642" t="str">
        <f t="shared" ref="G642:G705" si="11">TEXT(F642,"mmm -YYYY")</f>
        <v>Jul -2025</v>
      </c>
      <c r="H642" s="12"/>
    </row>
    <row r="643" spans="1:8" x14ac:dyDescent="0.3">
      <c r="A643" s="2">
        <v>838272</v>
      </c>
      <c r="B643" s="3" t="s">
        <v>204</v>
      </c>
      <c r="C643" s="3" t="s">
        <v>1010</v>
      </c>
      <c r="D643" s="3" t="s">
        <v>209</v>
      </c>
      <c r="E643" s="3" t="s">
        <v>196</v>
      </c>
      <c r="F643" s="1">
        <v>45840</v>
      </c>
      <c r="G643" t="str">
        <f t="shared" si="11"/>
        <v>Jul -2025</v>
      </c>
      <c r="H643" s="12"/>
    </row>
    <row r="644" spans="1:8" x14ac:dyDescent="0.3">
      <c r="A644" s="2">
        <v>838275</v>
      </c>
      <c r="B644" s="3" t="s">
        <v>204</v>
      </c>
      <c r="C644" s="3" t="s">
        <v>1010</v>
      </c>
      <c r="D644" s="3" t="s">
        <v>209</v>
      </c>
      <c r="E644" s="3" t="s">
        <v>196</v>
      </c>
      <c r="F644" s="1">
        <v>45840</v>
      </c>
      <c r="G644" t="str">
        <f t="shared" si="11"/>
        <v>Jul -2025</v>
      </c>
      <c r="H644" s="12"/>
    </row>
    <row r="645" spans="1:8" x14ac:dyDescent="0.3">
      <c r="A645" s="2">
        <v>838282</v>
      </c>
      <c r="B645" s="3" t="s">
        <v>204</v>
      </c>
      <c r="C645" s="3" t="s">
        <v>1010</v>
      </c>
      <c r="D645" s="3" t="s">
        <v>209</v>
      </c>
      <c r="E645" s="3" t="s">
        <v>196</v>
      </c>
      <c r="F645" s="1">
        <v>45840</v>
      </c>
      <c r="G645" t="str">
        <f t="shared" si="11"/>
        <v>Jul -2025</v>
      </c>
      <c r="H645" s="12"/>
    </row>
    <row r="646" spans="1:8" x14ac:dyDescent="0.3">
      <c r="A646" s="2">
        <v>838291</v>
      </c>
      <c r="B646" s="3" t="s">
        <v>204</v>
      </c>
      <c r="C646" s="3" t="s">
        <v>1010</v>
      </c>
      <c r="D646" s="3" t="s">
        <v>209</v>
      </c>
      <c r="E646" s="3" t="s">
        <v>196</v>
      </c>
      <c r="F646" s="1">
        <v>45840</v>
      </c>
      <c r="G646" t="str">
        <f t="shared" si="11"/>
        <v>Jul -2025</v>
      </c>
      <c r="H646" s="12"/>
    </row>
    <row r="647" spans="1:8" x14ac:dyDescent="0.3">
      <c r="A647" s="2">
        <v>833341</v>
      </c>
      <c r="B647" s="3" t="s">
        <v>205</v>
      </c>
      <c r="C647" s="3" t="s">
        <v>1010</v>
      </c>
      <c r="D647" s="3" t="s">
        <v>1259</v>
      </c>
      <c r="E647" s="3" t="s">
        <v>15</v>
      </c>
      <c r="F647" s="1">
        <v>45840</v>
      </c>
      <c r="G647" t="str">
        <f t="shared" si="11"/>
        <v>Jul -2025</v>
      </c>
      <c r="H647" s="12"/>
    </row>
    <row r="648" spans="1:8" x14ac:dyDescent="0.3">
      <c r="A648" s="2">
        <v>836789</v>
      </c>
      <c r="B648" s="3" t="s">
        <v>206</v>
      </c>
      <c r="C648" s="3" t="s">
        <v>1010</v>
      </c>
      <c r="D648" s="3" t="s">
        <v>1259</v>
      </c>
      <c r="E648" s="3" t="s">
        <v>15</v>
      </c>
      <c r="F648" s="1">
        <v>45840</v>
      </c>
      <c r="G648" t="str">
        <f t="shared" si="11"/>
        <v>Jul -2025</v>
      </c>
      <c r="H648" s="12"/>
    </row>
    <row r="649" spans="1:8" x14ac:dyDescent="0.3">
      <c r="A649" s="2">
        <v>834986</v>
      </c>
      <c r="B649" s="3" t="s">
        <v>207</v>
      </c>
      <c r="C649" s="3" t="s">
        <v>1010</v>
      </c>
      <c r="D649" s="3" t="s">
        <v>1259</v>
      </c>
      <c r="E649" s="3" t="s">
        <v>15</v>
      </c>
      <c r="F649" s="1">
        <v>45840</v>
      </c>
      <c r="G649" t="str">
        <f t="shared" si="11"/>
        <v>Jul -2025</v>
      </c>
      <c r="H649" s="12"/>
    </row>
    <row r="650" spans="1:8" x14ac:dyDescent="0.3">
      <c r="A650" s="2">
        <v>839175</v>
      </c>
      <c r="B650" s="3" t="s">
        <v>208</v>
      </c>
      <c r="C650" s="3" t="s">
        <v>1010</v>
      </c>
      <c r="D650" s="3" t="s">
        <v>209</v>
      </c>
      <c r="E650" s="3" t="s">
        <v>210</v>
      </c>
      <c r="F650" s="1">
        <v>45841</v>
      </c>
      <c r="G650" t="str">
        <f t="shared" si="11"/>
        <v>Jul -2025</v>
      </c>
      <c r="H650" s="12"/>
    </row>
    <row r="651" spans="1:8" x14ac:dyDescent="0.3">
      <c r="A651" s="2">
        <v>832099</v>
      </c>
      <c r="B651" s="3" t="s">
        <v>47</v>
      </c>
      <c r="C651" s="3" t="s">
        <v>1010</v>
      </c>
      <c r="D651" s="3" t="s">
        <v>10</v>
      </c>
      <c r="E651" s="3" t="s">
        <v>211</v>
      </c>
      <c r="F651" s="1">
        <v>45841</v>
      </c>
      <c r="G651" t="str">
        <f t="shared" si="11"/>
        <v>Jul -2025</v>
      </c>
      <c r="H651" s="12"/>
    </row>
    <row r="652" spans="1:8" x14ac:dyDescent="0.3">
      <c r="A652" s="2">
        <v>832179</v>
      </c>
      <c r="B652" s="3" t="s">
        <v>53</v>
      </c>
      <c r="C652" s="3" t="s">
        <v>1010</v>
      </c>
      <c r="D652" s="3" t="s">
        <v>10</v>
      </c>
      <c r="E652" s="3" t="s">
        <v>211</v>
      </c>
      <c r="F652" s="1">
        <v>45841</v>
      </c>
      <c r="G652" t="str">
        <f t="shared" si="11"/>
        <v>Jul -2025</v>
      </c>
      <c r="H652" s="12"/>
    </row>
    <row r="653" spans="1:8" x14ac:dyDescent="0.3">
      <c r="A653" s="2">
        <v>834221</v>
      </c>
      <c r="B653" s="3" t="s">
        <v>212</v>
      </c>
      <c r="C653" s="3" t="s">
        <v>1010</v>
      </c>
      <c r="D653" s="3" t="s">
        <v>1259</v>
      </c>
      <c r="E653" s="3" t="s">
        <v>15</v>
      </c>
      <c r="F653" s="1">
        <v>45841</v>
      </c>
      <c r="G653" t="str">
        <f t="shared" si="11"/>
        <v>Jul -2025</v>
      </c>
      <c r="H653" s="12"/>
    </row>
    <row r="654" spans="1:8" x14ac:dyDescent="0.3">
      <c r="A654" s="2">
        <v>834220</v>
      </c>
      <c r="B654" s="3" t="s">
        <v>213</v>
      </c>
      <c r="C654" s="3" t="s">
        <v>1010</v>
      </c>
      <c r="D654" s="3" t="s">
        <v>1259</v>
      </c>
      <c r="E654" s="3" t="s">
        <v>15</v>
      </c>
      <c r="F654" s="1">
        <v>45841</v>
      </c>
      <c r="G654" t="str">
        <f t="shared" si="11"/>
        <v>Jul -2025</v>
      </c>
      <c r="H654" s="12"/>
    </row>
    <row r="655" spans="1:8" x14ac:dyDescent="0.3">
      <c r="A655" s="2">
        <v>834276</v>
      </c>
      <c r="B655" s="3" t="s">
        <v>214</v>
      </c>
      <c r="C655" s="3" t="s">
        <v>1010</v>
      </c>
      <c r="D655" s="3" t="s">
        <v>1259</v>
      </c>
      <c r="E655" s="3" t="s">
        <v>15</v>
      </c>
      <c r="F655" s="1">
        <v>45841</v>
      </c>
      <c r="G655" t="str">
        <f t="shared" si="11"/>
        <v>Jul -2025</v>
      </c>
      <c r="H655" s="12"/>
    </row>
    <row r="656" spans="1:8" x14ac:dyDescent="0.3">
      <c r="A656" s="2">
        <v>200001764</v>
      </c>
      <c r="B656" s="3" t="s">
        <v>215</v>
      </c>
      <c r="C656" s="3" t="s">
        <v>1010</v>
      </c>
      <c r="D656" s="3" t="s">
        <v>192</v>
      </c>
      <c r="E656" s="3" t="s">
        <v>216</v>
      </c>
      <c r="F656" s="1">
        <v>45841</v>
      </c>
      <c r="G656" t="str">
        <f t="shared" si="11"/>
        <v>Jul -2025</v>
      </c>
      <c r="H656" s="12"/>
    </row>
    <row r="657" spans="1:8" x14ac:dyDescent="0.3">
      <c r="A657" s="2">
        <v>834193</v>
      </c>
      <c r="B657" s="3" t="s">
        <v>217</v>
      </c>
      <c r="C657" s="3" t="s">
        <v>1010</v>
      </c>
      <c r="D657" s="3" t="s">
        <v>1259</v>
      </c>
      <c r="E657" s="3" t="s">
        <v>15</v>
      </c>
      <c r="F657" s="1">
        <v>45841</v>
      </c>
      <c r="G657" t="str">
        <f t="shared" si="11"/>
        <v>Jul -2025</v>
      </c>
      <c r="H657" s="12"/>
    </row>
    <row r="658" spans="1:8" x14ac:dyDescent="0.3">
      <c r="A658" s="2">
        <v>834305</v>
      </c>
      <c r="B658" s="3" t="s">
        <v>218</v>
      </c>
      <c r="C658" s="3" t="s">
        <v>1010</v>
      </c>
      <c r="D658" s="3" t="s">
        <v>1259</v>
      </c>
      <c r="E658" s="3" t="s">
        <v>15</v>
      </c>
      <c r="F658" s="1">
        <v>45841</v>
      </c>
      <c r="G658" t="str">
        <f t="shared" si="11"/>
        <v>Jul -2025</v>
      </c>
      <c r="H658" s="12"/>
    </row>
    <row r="659" spans="1:8" x14ac:dyDescent="0.3">
      <c r="A659" s="2">
        <v>834333</v>
      </c>
      <c r="B659" s="3" t="s">
        <v>219</v>
      </c>
      <c r="C659" s="3" t="s">
        <v>1010</v>
      </c>
      <c r="D659" s="3" t="s">
        <v>1259</v>
      </c>
      <c r="E659" s="3" t="s">
        <v>15</v>
      </c>
      <c r="F659" s="1">
        <v>45841</v>
      </c>
      <c r="G659" t="str">
        <f t="shared" si="11"/>
        <v>Jul -2025</v>
      </c>
      <c r="H659" s="12"/>
    </row>
    <row r="660" spans="1:8" x14ac:dyDescent="0.3">
      <c r="A660" s="2">
        <v>834047</v>
      </c>
      <c r="B660" s="3" t="s">
        <v>220</v>
      </c>
      <c r="C660" s="3" t="s">
        <v>1010</v>
      </c>
      <c r="D660" s="3" t="s">
        <v>1259</v>
      </c>
      <c r="E660" s="3" t="s">
        <v>15</v>
      </c>
      <c r="F660" s="1">
        <v>45841</v>
      </c>
      <c r="G660" t="str">
        <f t="shared" si="11"/>
        <v>Jul -2025</v>
      </c>
      <c r="H660" s="12"/>
    </row>
    <row r="661" spans="1:8" x14ac:dyDescent="0.3">
      <c r="A661" s="2">
        <v>834197</v>
      </c>
      <c r="B661" s="3" t="s">
        <v>221</v>
      </c>
      <c r="C661" s="3" t="s">
        <v>1010</v>
      </c>
      <c r="D661" s="3" t="s">
        <v>1259</v>
      </c>
      <c r="E661" s="3" t="s">
        <v>15</v>
      </c>
      <c r="F661" s="1">
        <v>45841</v>
      </c>
      <c r="G661" t="str">
        <f t="shared" si="11"/>
        <v>Jul -2025</v>
      </c>
      <c r="H661" s="12"/>
    </row>
    <row r="662" spans="1:8" x14ac:dyDescent="0.3">
      <c r="A662" s="2">
        <v>840008</v>
      </c>
      <c r="B662" s="3" t="s">
        <v>222</v>
      </c>
      <c r="C662" s="3" t="s">
        <v>1010</v>
      </c>
      <c r="D662" s="3" t="s">
        <v>1259</v>
      </c>
      <c r="E662" s="3" t="s">
        <v>15</v>
      </c>
      <c r="F662" s="1">
        <v>45841</v>
      </c>
      <c r="G662" t="str">
        <f t="shared" si="11"/>
        <v>Jul -2025</v>
      </c>
      <c r="H662" s="12"/>
    </row>
    <row r="663" spans="1:8" x14ac:dyDescent="0.3">
      <c r="A663" s="2">
        <v>833054</v>
      </c>
      <c r="B663" s="3" t="s">
        <v>223</v>
      </c>
      <c r="C663" s="3" t="s">
        <v>1010</v>
      </c>
      <c r="D663" s="3" t="s">
        <v>364</v>
      </c>
      <c r="E663" s="3" t="s">
        <v>15</v>
      </c>
      <c r="F663" s="1">
        <v>45841</v>
      </c>
      <c r="G663" t="str">
        <f t="shared" si="11"/>
        <v>Jul -2025</v>
      </c>
      <c r="H663" s="12"/>
    </row>
    <row r="664" spans="1:8" x14ac:dyDescent="0.3">
      <c r="A664" s="2">
        <v>838385</v>
      </c>
      <c r="B664" s="3" t="s">
        <v>224</v>
      </c>
      <c r="C664" s="3" t="s">
        <v>1010</v>
      </c>
      <c r="D664" s="3" t="s">
        <v>209</v>
      </c>
      <c r="E664" s="3" t="s">
        <v>225</v>
      </c>
      <c r="F664" s="1">
        <v>45841</v>
      </c>
      <c r="G664" t="str">
        <f t="shared" si="11"/>
        <v>Jul -2025</v>
      </c>
      <c r="H664" s="12"/>
    </row>
    <row r="665" spans="1:8" x14ac:dyDescent="0.3">
      <c r="A665" s="2">
        <v>100002943</v>
      </c>
      <c r="B665" s="3" t="s">
        <v>871</v>
      </c>
      <c r="C665" s="3" t="s">
        <v>1011</v>
      </c>
      <c r="D665" s="3" t="s">
        <v>973</v>
      </c>
      <c r="E665" s="3" t="s">
        <v>966</v>
      </c>
      <c r="F665" s="1">
        <v>45841</v>
      </c>
      <c r="G665" t="str">
        <f t="shared" si="11"/>
        <v>Jul -2025</v>
      </c>
      <c r="H665" s="12"/>
    </row>
    <row r="666" spans="1:8" x14ac:dyDescent="0.3">
      <c r="A666" s="2">
        <v>100002925</v>
      </c>
      <c r="B666" s="3" t="s">
        <v>872</v>
      </c>
      <c r="C666" s="3" t="s">
        <v>1011</v>
      </c>
      <c r="D666" s="3" t="s">
        <v>972</v>
      </c>
      <c r="E666" s="3" t="s">
        <v>977</v>
      </c>
      <c r="F666" s="1">
        <v>45841</v>
      </c>
      <c r="G666" t="str">
        <f t="shared" si="11"/>
        <v>Jul -2025</v>
      </c>
      <c r="H666" s="12"/>
    </row>
    <row r="667" spans="1:8" x14ac:dyDescent="0.3">
      <c r="A667" s="2">
        <v>100002965</v>
      </c>
      <c r="B667" s="3" t="s">
        <v>873</v>
      </c>
      <c r="C667" s="3" t="s">
        <v>1011</v>
      </c>
      <c r="D667" s="3" t="s">
        <v>972</v>
      </c>
      <c r="E667" s="3" t="s">
        <v>976</v>
      </c>
      <c r="F667" s="1">
        <v>45841</v>
      </c>
      <c r="G667" t="str">
        <f t="shared" si="11"/>
        <v>Jul -2025</v>
      </c>
      <c r="H667" s="12"/>
    </row>
    <row r="668" spans="1:8" x14ac:dyDescent="0.3">
      <c r="A668" s="2">
        <v>100002926</v>
      </c>
      <c r="B668" s="3" t="s">
        <v>874</v>
      </c>
      <c r="C668" s="3" t="s">
        <v>1011</v>
      </c>
      <c r="D668" s="3" t="s">
        <v>972</v>
      </c>
      <c r="E668" s="3" t="s">
        <v>977</v>
      </c>
      <c r="F668" s="1">
        <v>45841</v>
      </c>
      <c r="G668" t="str">
        <f t="shared" si="11"/>
        <v>Jul -2025</v>
      </c>
      <c r="H668" s="12"/>
    </row>
    <row r="669" spans="1:8" x14ac:dyDescent="0.3">
      <c r="A669" s="2">
        <v>100002927</v>
      </c>
      <c r="B669" s="3" t="s">
        <v>875</v>
      </c>
      <c r="C669" s="3" t="s">
        <v>1011</v>
      </c>
      <c r="D669" s="3" t="s">
        <v>972</v>
      </c>
      <c r="E669" s="3" t="s">
        <v>967</v>
      </c>
      <c r="F669" s="1">
        <v>45841</v>
      </c>
      <c r="G669" t="str">
        <f t="shared" si="11"/>
        <v>Jul -2025</v>
      </c>
      <c r="H669" s="12"/>
    </row>
    <row r="670" spans="1:8" x14ac:dyDescent="0.3">
      <c r="A670" s="2">
        <v>100002936</v>
      </c>
      <c r="B670" s="3" t="s">
        <v>874</v>
      </c>
      <c r="C670" s="3" t="s">
        <v>1011</v>
      </c>
      <c r="D670" s="3" t="s">
        <v>972</v>
      </c>
      <c r="E670" s="3" t="s">
        <v>977</v>
      </c>
      <c r="F670" s="1">
        <v>45841</v>
      </c>
      <c r="G670" t="str">
        <f t="shared" si="11"/>
        <v>Jul -2025</v>
      </c>
      <c r="H670" s="12"/>
    </row>
    <row r="671" spans="1:8" x14ac:dyDescent="0.3">
      <c r="A671" s="2">
        <v>100002937</v>
      </c>
      <c r="B671" s="3" t="s">
        <v>874</v>
      </c>
      <c r="C671" s="3" t="s">
        <v>1011</v>
      </c>
      <c r="D671" s="3" t="s">
        <v>972</v>
      </c>
      <c r="E671" s="3" t="s">
        <v>977</v>
      </c>
      <c r="F671" s="1">
        <v>45841</v>
      </c>
      <c r="G671" t="str">
        <f t="shared" si="11"/>
        <v>Jul -2025</v>
      </c>
      <c r="H671" s="12"/>
    </row>
    <row r="672" spans="1:8" x14ac:dyDescent="0.3">
      <c r="A672" s="2">
        <v>838606</v>
      </c>
      <c r="B672" s="3" t="s">
        <v>226</v>
      </c>
      <c r="C672" s="3" t="s">
        <v>1010</v>
      </c>
      <c r="D672" s="3" t="s">
        <v>227</v>
      </c>
      <c r="E672" s="3" t="s">
        <v>228</v>
      </c>
      <c r="F672" s="1">
        <v>45842</v>
      </c>
      <c r="G672" t="str">
        <f t="shared" si="11"/>
        <v>Jul -2025</v>
      </c>
      <c r="H672" s="12"/>
    </row>
    <row r="673" spans="1:8" x14ac:dyDescent="0.3">
      <c r="A673" s="2">
        <v>838609</v>
      </c>
      <c r="B673" s="3" t="s">
        <v>229</v>
      </c>
      <c r="C673" s="3" t="s">
        <v>1010</v>
      </c>
      <c r="D673" s="3" t="s">
        <v>227</v>
      </c>
      <c r="E673" s="3" t="s">
        <v>228</v>
      </c>
      <c r="F673" s="1">
        <v>45842</v>
      </c>
      <c r="G673" t="str">
        <f t="shared" si="11"/>
        <v>Jul -2025</v>
      </c>
      <c r="H673" s="12"/>
    </row>
    <row r="674" spans="1:8" x14ac:dyDescent="0.3">
      <c r="A674" s="2">
        <v>838633</v>
      </c>
      <c r="B674" s="3" t="s">
        <v>230</v>
      </c>
      <c r="C674" s="3" t="s">
        <v>1010</v>
      </c>
      <c r="D674" s="3" t="s">
        <v>227</v>
      </c>
      <c r="E674" s="3" t="s">
        <v>228</v>
      </c>
      <c r="F674" s="1">
        <v>45842</v>
      </c>
      <c r="G674" t="str">
        <f t="shared" si="11"/>
        <v>Jul -2025</v>
      </c>
      <c r="H674" s="12"/>
    </row>
    <row r="675" spans="1:8" x14ac:dyDescent="0.3">
      <c r="A675" s="2">
        <v>838642</v>
      </c>
      <c r="B675" s="3" t="s">
        <v>231</v>
      </c>
      <c r="C675" s="3" t="s">
        <v>1010</v>
      </c>
      <c r="D675" s="3" t="s">
        <v>227</v>
      </c>
      <c r="E675" s="3" t="s">
        <v>228</v>
      </c>
      <c r="F675" s="1">
        <v>45842</v>
      </c>
      <c r="G675" t="str">
        <f t="shared" si="11"/>
        <v>Jul -2025</v>
      </c>
      <c r="H675" s="12"/>
    </row>
    <row r="676" spans="1:8" x14ac:dyDescent="0.3">
      <c r="A676" s="2">
        <v>838912</v>
      </c>
      <c r="B676" s="3" t="s">
        <v>232</v>
      </c>
      <c r="C676" s="3" t="s">
        <v>1010</v>
      </c>
      <c r="D676" s="3" t="s">
        <v>227</v>
      </c>
      <c r="E676" s="3" t="s">
        <v>228</v>
      </c>
      <c r="F676" s="1">
        <v>45842</v>
      </c>
      <c r="G676" t="str">
        <f t="shared" si="11"/>
        <v>Jul -2025</v>
      </c>
      <c r="H676" s="12"/>
    </row>
    <row r="677" spans="1:8" x14ac:dyDescent="0.3">
      <c r="A677" s="2">
        <v>838924</v>
      </c>
      <c r="B677" s="3" t="s">
        <v>232</v>
      </c>
      <c r="C677" s="3" t="s">
        <v>1010</v>
      </c>
      <c r="D677" s="3" t="s">
        <v>227</v>
      </c>
      <c r="E677" s="3" t="s">
        <v>228</v>
      </c>
      <c r="F677" s="1">
        <v>45842</v>
      </c>
      <c r="G677" t="str">
        <f t="shared" si="11"/>
        <v>Jul -2025</v>
      </c>
      <c r="H677" s="12"/>
    </row>
    <row r="678" spans="1:8" x14ac:dyDescent="0.3">
      <c r="A678" s="2">
        <v>834024</v>
      </c>
      <c r="B678" s="3" t="s">
        <v>233</v>
      </c>
      <c r="C678" s="3" t="s">
        <v>1010</v>
      </c>
      <c r="D678" s="3" t="s">
        <v>364</v>
      </c>
      <c r="E678" s="3" t="s">
        <v>15</v>
      </c>
      <c r="F678" s="1">
        <v>45842</v>
      </c>
      <c r="G678" t="str">
        <f t="shared" si="11"/>
        <v>Jul -2025</v>
      </c>
      <c r="H678" s="12"/>
    </row>
    <row r="679" spans="1:8" x14ac:dyDescent="0.3">
      <c r="A679" s="2">
        <v>834192</v>
      </c>
      <c r="B679" s="3" t="s">
        <v>234</v>
      </c>
      <c r="C679" s="3" t="s">
        <v>1010</v>
      </c>
      <c r="D679" s="3" t="s">
        <v>364</v>
      </c>
      <c r="E679" s="3" t="s">
        <v>15</v>
      </c>
      <c r="F679" s="1">
        <v>45842</v>
      </c>
      <c r="G679" t="str">
        <f t="shared" si="11"/>
        <v>Jul -2025</v>
      </c>
      <c r="H679" s="12"/>
    </row>
    <row r="680" spans="1:8" x14ac:dyDescent="0.3">
      <c r="A680" s="2">
        <v>840226</v>
      </c>
      <c r="B680" s="3" t="s">
        <v>235</v>
      </c>
      <c r="C680" s="3" t="s">
        <v>1010</v>
      </c>
      <c r="D680" s="3" t="s">
        <v>227</v>
      </c>
      <c r="E680" s="3" t="s">
        <v>228</v>
      </c>
      <c r="F680" s="1">
        <v>45842</v>
      </c>
      <c r="G680" t="str">
        <f t="shared" si="11"/>
        <v>Jul -2025</v>
      </c>
      <c r="H680" s="12"/>
    </row>
    <row r="681" spans="1:8" x14ac:dyDescent="0.3">
      <c r="A681" s="2">
        <v>100002945</v>
      </c>
      <c r="B681" s="3" t="s">
        <v>876</v>
      </c>
      <c r="C681" s="3" t="s">
        <v>1011</v>
      </c>
      <c r="D681" s="3" t="s">
        <v>972</v>
      </c>
      <c r="E681" s="3" t="s">
        <v>968</v>
      </c>
      <c r="F681" s="1">
        <v>45842</v>
      </c>
      <c r="G681" t="str">
        <f t="shared" si="11"/>
        <v>Jul -2025</v>
      </c>
      <c r="H681" s="12"/>
    </row>
    <row r="682" spans="1:8" x14ac:dyDescent="0.3">
      <c r="A682" s="2">
        <v>100003003</v>
      </c>
      <c r="B682" s="3" t="s">
        <v>877</v>
      </c>
      <c r="C682" s="3" t="s">
        <v>1011</v>
      </c>
      <c r="D682" s="3" t="s">
        <v>972</v>
      </c>
      <c r="E682" s="3" t="s">
        <v>968</v>
      </c>
      <c r="F682" s="1">
        <v>45842</v>
      </c>
      <c r="G682" t="str">
        <f t="shared" si="11"/>
        <v>Jul -2025</v>
      </c>
      <c r="H682" s="12"/>
    </row>
    <row r="683" spans="1:8" x14ac:dyDescent="0.3">
      <c r="A683" s="2">
        <v>838817</v>
      </c>
      <c r="B683" s="3" t="s">
        <v>236</v>
      </c>
      <c r="C683" s="3" t="s">
        <v>1010</v>
      </c>
      <c r="D683" s="3" t="s">
        <v>227</v>
      </c>
      <c r="E683" s="3" t="s">
        <v>228</v>
      </c>
      <c r="F683" s="1">
        <v>45845</v>
      </c>
      <c r="G683" t="str">
        <f t="shared" si="11"/>
        <v>Jul -2025</v>
      </c>
      <c r="H683" s="12"/>
    </row>
    <row r="684" spans="1:8" x14ac:dyDescent="0.3">
      <c r="A684" s="2">
        <v>841791</v>
      </c>
      <c r="B684" s="3" t="s">
        <v>237</v>
      </c>
      <c r="C684" s="3" t="s">
        <v>1010</v>
      </c>
      <c r="D684" s="3" t="s">
        <v>209</v>
      </c>
      <c r="E684" s="3" t="s">
        <v>210</v>
      </c>
      <c r="F684" s="1">
        <v>45845</v>
      </c>
      <c r="G684" t="str">
        <f t="shared" si="11"/>
        <v>Jul -2025</v>
      </c>
      <c r="H684" s="12"/>
    </row>
    <row r="685" spans="1:8" x14ac:dyDescent="0.3">
      <c r="A685" s="2">
        <v>838753</v>
      </c>
      <c r="B685" s="3" t="s">
        <v>238</v>
      </c>
      <c r="C685" s="3" t="s">
        <v>1010</v>
      </c>
      <c r="D685" s="3" t="s">
        <v>364</v>
      </c>
      <c r="E685" s="3" t="s">
        <v>15</v>
      </c>
      <c r="F685" s="1">
        <v>45845</v>
      </c>
      <c r="G685" t="str">
        <f t="shared" si="11"/>
        <v>Jul -2025</v>
      </c>
      <c r="H685" s="12"/>
    </row>
    <row r="686" spans="1:8" x14ac:dyDescent="0.3">
      <c r="A686" s="2">
        <v>838657</v>
      </c>
      <c r="B686" s="3" t="s">
        <v>239</v>
      </c>
      <c r="C686" s="3" t="s">
        <v>1010</v>
      </c>
      <c r="D686" s="3" t="s">
        <v>364</v>
      </c>
      <c r="E686" s="3" t="s">
        <v>15</v>
      </c>
      <c r="F686" s="1">
        <v>45845</v>
      </c>
      <c r="G686" t="str">
        <f t="shared" si="11"/>
        <v>Jul -2025</v>
      </c>
      <c r="H686" s="12"/>
    </row>
    <row r="687" spans="1:8" x14ac:dyDescent="0.3">
      <c r="A687" s="2">
        <v>838659</v>
      </c>
      <c r="B687" s="3" t="s">
        <v>240</v>
      </c>
      <c r="C687" s="3" t="s">
        <v>1010</v>
      </c>
      <c r="D687" s="3" t="s">
        <v>364</v>
      </c>
      <c r="E687" s="3" t="s">
        <v>15</v>
      </c>
      <c r="F687" s="1">
        <v>45845</v>
      </c>
      <c r="G687" t="str">
        <f t="shared" si="11"/>
        <v>Jul -2025</v>
      </c>
      <c r="H687" s="12"/>
    </row>
    <row r="688" spans="1:8" x14ac:dyDescent="0.3">
      <c r="A688" s="2">
        <v>838903</v>
      </c>
      <c r="B688" s="3" t="s">
        <v>232</v>
      </c>
      <c r="C688" s="3" t="s">
        <v>1010</v>
      </c>
      <c r="D688" s="3" t="s">
        <v>1259</v>
      </c>
      <c r="E688" s="3" t="s">
        <v>15</v>
      </c>
      <c r="F688" s="1">
        <v>45845</v>
      </c>
      <c r="G688" t="str">
        <f t="shared" si="11"/>
        <v>Jul -2025</v>
      </c>
      <c r="H688" s="12"/>
    </row>
    <row r="689" spans="1:8" x14ac:dyDescent="0.3">
      <c r="A689" s="2">
        <v>845778</v>
      </c>
      <c r="B689" s="3" t="s">
        <v>241</v>
      </c>
      <c r="C689" s="3" t="s">
        <v>1010</v>
      </c>
      <c r="D689" s="3" t="s">
        <v>1172</v>
      </c>
      <c r="E689" s="3" t="s">
        <v>210</v>
      </c>
      <c r="F689" s="1">
        <v>45845</v>
      </c>
      <c r="G689" t="str">
        <f t="shared" si="11"/>
        <v>Jul -2025</v>
      </c>
      <c r="H689" s="12"/>
    </row>
    <row r="690" spans="1:8" x14ac:dyDescent="0.3">
      <c r="A690" s="2">
        <v>845780</v>
      </c>
      <c r="B690" s="3" t="s">
        <v>242</v>
      </c>
      <c r="C690" s="3" t="s">
        <v>1010</v>
      </c>
      <c r="D690" s="3" t="s">
        <v>1172</v>
      </c>
      <c r="E690" s="3" t="s">
        <v>210</v>
      </c>
      <c r="F690" s="1">
        <v>45845</v>
      </c>
      <c r="G690" t="str">
        <f t="shared" si="11"/>
        <v>Jul -2025</v>
      </c>
      <c r="H690" s="12"/>
    </row>
    <row r="691" spans="1:8" x14ac:dyDescent="0.3">
      <c r="A691" s="2">
        <v>845818</v>
      </c>
      <c r="B691" s="3" t="s">
        <v>243</v>
      </c>
      <c r="C691" s="3" t="s">
        <v>1010</v>
      </c>
      <c r="D691" s="3" t="s">
        <v>1172</v>
      </c>
      <c r="E691" s="3" t="s">
        <v>210</v>
      </c>
      <c r="F691" s="1">
        <v>45845</v>
      </c>
      <c r="G691" t="str">
        <f t="shared" si="11"/>
        <v>Jul -2025</v>
      </c>
      <c r="H691" s="12"/>
    </row>
    <row r="692" spans="1:8" x14ac:dyDescent="0.3">
      <c r="A692" s="2">
        <v>845839</v>
      </c>
      <c r="B692" s="3" t="s">
        <v>244</v>
      </c>
      <c r="C692" s="3" t="s">
        <v>1010</v>
      </c>
      <c r="D692" s="3" t="s">
        <v>1172</v>
      </c>
      <c r="E692" s="3" t="s">
        <v>210</v>
      </c>
      <c r="F692" s="1">
        <v>45845</v>
      </c>
      <c r="G692" t="str">
        <f t="shared" si="11"/>
        <v>Jul -2025</v>
      </c>
      <c r="H692" s="12"/>
    </row>
    <row r="693" spans="1:8" x14ac:dyDescent="0.3">
      <c r="A693" s="2">
        <v>552907</v>
      </c>
      <c r="B693" s="3" t="s">
        <v>245</v>
      </c>
      <c r="C693" s="3" t="s">
        <v>1010</v>
      </c>
      <c r="D693" s="3" t="s">
        <v>1172</v>
      </c>
      <c r="E693" s="3" t="s">
        <v>246</v>
      </c>
      <c r="F693" s="1">
        <v>45845</v>
      </c>
      <c r="G693" t="str">
        <f t="shared" si="11"/>
        <v>Jul -2025</v>
      </c>
      <c r="H693" s="12"/>
    </row>
    <row r="694" spans="1:8" x14ac:dyDescent="0.3">
      <c r="A694" s="2">
        <v>552837</v>
      </c>
      <c r="B694" s="3" t="s">
        <v>247</v>
      </c>
      <c r="C694" s="3" t="s">
        <v>1010</v>
      </c>
      <c r="D694" s="3" t="s">
        <v>1172</v>
      </c>
      <c r="E694" s="3" t="s">
        <v>246</v>
      </c>
      <c r="F694" s="1">
        <v>45845</v>
      </c>
      <c r="G694" t="str">
        <f t="shared" si="11"/>
        <v>Jul -2025</v>
      </c>
      <c r="H694" s="12"/>
    </row>
    <row r="695" spans="1:8" x14ac:dyDescent="0.3">
      <c r="A695" s="2">
        <v>548536</v>
      </c>
      <c r="B695" s="3" t="s">
        <v>248</v>
      </c>
      <c r="C695" s="3" t="s">
        <v>1010</v>
      </c>
      <c r="D695" s="3" t="s">
        <v>1172</v>
      </c>
      <c r="E695" s="3" t="s">
        <v>246</v>
      </c>
      <c r="F695" s="1">
        <v>45845</v>
      </c>
      <c r="G695" t="str">
        <f t="shared" si="11"/>
        <v>Jul -2025</v>
      </c>
      <c r="H695" s="12"/>
    </row>
    <row r="696" spans="1:8" x14ac:dyDescent="0.3">
      <c r="A696" s="2">
        <v>544929</v>
      </c>
      <c r="B696" s="3" t="s">
        <v>249</v>
      </c>
      <c r="C696" s="3" t="s">
        <v>1010</v>
      </c>
      <c r="D696" s="3" t="s">
        <v>1172</v>
      </c>
      <c r="E696" s="3" t="s">
        <v>246</v>
      </c>
      <c r="F696" s="1">
        <v>45845</v>
      </c>
      <c r="G696" t="str">
        <f t="shared" si="11"/>
        <v>Jul -2025</v>
      </c>
      <c r="H696" s="12"/>
    </row>
    <row r="697" spans="1:8" x14ac:dyDescent="0.3">
      <c r="A697" s="2">
        <v>838931</v>
      </c>
      <c r="B697" s="3" t="s">
        <v>250</v>
      </c>
      <c r="C697" s="3" t="s">
        <v>1010</v>
      </c>
      <c r="D697" s="3" t="s">
        <v>364</v>
      </c>
      <c r="E697" s="3" t="s">
        <v>15</v>
      </c>
      <c r="F697" s="1">
        <v>45845</v>
      </c>
      <c r="G697" t="str">
        <f t="shared" si="11"/>
        <v>Jul -2025</v>
      </c>
      <c r="H697" s="12"/>
    </row>
    <row r="698" spans="1:8" x14ac:dyDescent="0.3">
      <c r="A698" s="2">
        <v>100002908</v>
      </c>
      <c r="B698" s="3" t="s">
        <v>878</v>
      </c>
      <c r="C698" s="3" t="s">
        <v>1011</v>
      </c>
      <c r="D698" s="3" t="s">
        <v>972</v>
      </c>
      <c r="E698" s="3" t="s">
        <v>978</v>
      </c>
      <c r="F698" s="1">
        <v>45845</v>
      </c>
      <c r="G698" t="str">
        <f t="shared" si="11"/>
        <v>Jul -2025</v>
      </c>
      <c r="H698" s="12"/>
    </row>
    <row r="699" spans="1:8" x14ac:dyDescent="0.3">
      <c r="A699" s="2">
        <v>100003023</v>
      </c>
      <c r="B699" s="3" t="s">
        <v>879</v>
      </c>
      <c r="C699" s="3" t="s">
        <v>1011</v>
      </c>
      <c r="D699" s="3" t="s">
        <v>975</v>
      </c>
      <c r="E699" s="3" t="s">
        <v>979</v>
      </c>
      <c r="F699" s="1">
        <v>45845</v>
      </c>
      <c r="G699" t="str">
        <f t="shared" si="11"/>
        <v>Jul -2025</v>
      </c>
      <c r="H699" s="12"/>
    </row>
    <row r="700" spans="1:8" x14ac:dyDescent="0.3">
      <c r="A700" s="2">
        <v>900003738</v>
      </c>
      <c r="B700" s="3" t="s">
        <v>251</v>
      </c>
      <c r="C700" s="3" t="s">
        <v>1010</v>
      </c>
      <c r="D700" s="3" t="s">
        <v>143</v>
      </c>
      <c r="E700" s="3" t="s">
        <v>322</v>
      </c>
      <c r="F700" s="1">
        <v>45846</v>
      </c>
      <c r="G700" t="str">
        <f t="shared" si="11"/>
        <v>Jul -2025</v>
      </c>
      <c r="H700" s="12"/>
    </row>
    <row r="701" spans="1:8" x14ac:dyDescent="0.3">
      <c r="A701" s="2">
        <v>839461</v>
      </c>
      <c r="B701" s="3" t="s">
        <v>252</v>
      </c>
      <c r="C701" s="3" t="s">
        <v>1010</v>
      </c>
      <c r="D701" s="3" t="s">
        <v>1259</v>
      </c>
      <c r="E701" s="3" t="s">
        <v>15</v>
      </c>
      <c r="F701" s="1">
        <v>45846</v>
      </c>
      <c r="G701" t="str">
        <f t="shared" si="11"/>
        <v>Jul -2025</v>
      </c>
      <c r="H701" s="12"/>
    </row>
    <row r="702" spans="1:8" x14ac:dyDescent="0.3">
      <c r="A702" s="2">
        <v>838758</v>
      </c>
      <c r="B702" s="3" t="s">
        <v>253</v>
      </c>
      <c r="C702" s="3" t="s">
        <v>1010</v>
      </c>
      <c r="D702" s="3" t="s">
        <v>364</v>
      </c>
      <c r="E702" s="3" t="s">
        <v>15</v>
      </c>
      <c r="F702" s="1">
        <v>45846</v>
      </c>
      <c r="G702" t="str">
        <f t="shared" si="11"/>
        <v>Jul -2025</v>
      </c>
      <c r="H702" s="12"/>
    </row>
    <row r="703" spans="1:8" x14ac:dyDescent="0.3">
      <c r="A703" s="2">
        <v>838830</v>
      </c>
      <c r="B703" s="3" t="s">
        <v>254</v>
      </c>
      <c r="C703" s="3" t="s">
        <v>1010</v>
      </c>
      <c r="D703" s="3" t="s">
        <v>364</v>
      </c>
      <c r="E703" s="3" t="s">
        <v>15</v>
      </c>
      <c r="F703" s="1">
        <v>45846</v>
      </c>
      <c r="G703" t="str">
        <f t="shared" si="11"/>
        <v>Jul -2025</v>
      </c>
      <c r="H703" s="12"/>
    </row>
    <row r="704" spans="1:8" x14ac:dyDescent="0.3">
      <c r="A704" s="2">
        <v>847193</v>
      </c>
      <c r="B704" s="3" t="s">
        <v>255</v>
      </c>
      <c r="C704" s="3" t="s">
        <v>1010</v>
      </c>
      <c r="D704" s="3" t="s">
        <v>209</v>
      </c>
      <c r="E704" s="3" t="s">
        <v>225</v>
      </c>
      <c r="F704" s="1">
        <v>45846</v>
      </c>
      <c r="G704" t="str">
        <f t="shared" si="11"/>
        <v>Jul -2025</v>
      </c>
      <c r="H704" s="12"/>
    </row>
    <row r="705" spans="1:8" x14ac:dyDescent="0.3">
      <c r="A705" s="2">
        <v>841528</v>
      </c>
      <c r="B705" s="3" t="s">
        <v>256</v>
      </c>
      <c r="C705" s="3" t="s">
        <v>1010</v>
      </c>
      <c r="D705" s="3" t="s">
        <v>364</v>
      </c>
      <c r="E705" s="3" t="s">
        <v>15</v>
      </c>
      <c r="F705" s="1">
        <v>45846</v>
      </c>
      <c r="G705" t="str">
        <f t="shared" si="11"/>
        <v>Jul -2025</v>
      </c>
      <c r="H705" s="12"/>
    </row>
    <row r="706" spans="1:8" x14ac:dyDescent="0.3">
      <c r="A706" s="2">
        <v>847481</v>
      </c>
      <c r="B706" s="3" t="s">
        <v>257</v>
      </c>
      <c r="C706" s="3" t="s">
        <v>1010</v>
      </c>
      <c r="D706" s="3" t="s">
        <v>1172</v>
      </c>
      <c r="E706" s="3" t="s">
        <v>210</v>
      </c>
      <c r="F706" s="1">
        <v>45846</v>
      </c>
      <c r="G706" t="str">
        <f t="shared" ref="G706:G769" si="12">TEXT(F706,"mmm -YYYY")</f>
        <v>Jul -2025</v>
      </c>
      <c r="H706" s="12"/>
    </row>
    <row r="707" spans="1:8" x14ac:dyDescent="0.3">
      <c r="A707" s="2">
        <v>553073</v>
      </c>
      <c r="B707" s="3" t="s">
        <v>258</v>
      </c>
      <c r="C707" s="3" t="s">
        <v>1010</v>
      </c>
      <c r="D707" s="3" t="s">
        <v>1172</v>
      </c>
      <c r="E707" s="3" t="s">
        <v>246</v>
      </c>
      <c r="F707" s="1">
        <v>45846</v>
      </c>
      <c r="G707" t="str">
        <f t="shared" si="12"/>
        <v>Jul -2025</v>
      </c>
      <c r="H707" s="12"/>
    </row>
    <row r="708" spans="1:8" x14ac:dyDescent="0.3">
      <c r="A708" s="2">
        <v>552255</v>
      </c>
      <c r="B708" s="3" t="s">
        <v>259</v>
      </c>
      <c r="C708" s="3" t="s">
        <v>1010</v>
      </c>
      <c r="D708" s="3" t="s">
        <v>1172</v>
      </c>
      <c r="E708" s="3" t="s">
        <v>246</v>
      </c>
      <c r="F708" s="1">
        <v>45846</v>
      </c>
      <c r="G708" t="str">
        <f t="shared" si="12"/>
        <v>Jul -2025</v>
      </c>
      <c r="H708" s="12"/>
    </row>
    <row r="709" spans="1:8" x14ac:dyDescent="0.3">
      <c r="A709" s="2">
        <v>845552</v>
      </c>
      <c r="B709" s="3" t="s">
        <v>260</v>
      </c>
      <c r="C709" s="3" t="s">
        <v>1010</v>
      </c>
      <c r="D709" s="3" t="s">
        <v>209</v>
      </c>
      <c r="E709" s="3" t="s">
        <v>228</v>
      </c>
      <c r="F709" s="1">
        <v>45846</v>
      </c>
      <c r="G709" t="str">
        <f t="shared" si="12"/>
        <v>Jul -2025</v>
      </c>
      <c r="H709" s="12"/>
    </row>
    <row r="710" spans="1:8" x14ac:dyDescent="0.3">
      <c r="A710" s="2">
        <v>845538</v>
      </c>
      <c r="B710" s="3" t="s">
        <v>261</v>
      </c>
      <c r="C710" s="3" t="s">
        <v>1010</v>
      </c>
      <c r="D710" s="3" t="s">
        <v>209</v>
      </c>
      <c r="E710" s="3" t="s">
        <v>228</v>
      </c>
      <c r="F710" s="1">
        <v>45846</v>
      </c>
      <c r="G710" t="str">
        <f t="shared" si="12"/>
        <v>Jul -2025</v>
      </c>
      <c r="H710" s="12"/>
    </row>
    <row r="711" spans="1:8" x14ac:dyDescent="0.3">
      <c r="A711" s="2">
        <v>845558</v>
      </c>
      <c r="B711" s="3" t="s">
        <v>262</v>
      </c>
      <c r="C711" s="3" t="s">
        <v>1010</v>
      </c>
      <c r="D711" s="3" t="s">
        <v>209</v>
      </c>
      <c r="E711" s="3" t="s">
        <v>228</v>
      </c>
      <c r="F711" s="1">
        <v>45846</v>
      </c>
      <c r="G711" t="str">
        <f t="shared" si="12"/>
        <v>Jul -2025</v>
      </c>
      <c r="H711" s="12"/>
    </row>
    <row r="712" spans="1:8" x14ac:dyDescent="0.3">
      <c r="A712" s="2">
        <v>841544</v>
      </c>
      <c r="B712" s="3" t="s">
        <v>263</v>
      </c>
      <c r="C712" s="3" t="s">
        <v>1010</v>
      </c>
      <c r="D712" s="3" t="s">
        <v>364</v>
      </c>
      <c r="E712" s="3" t="s">
        <v>15</v>
      </c>
      <c r="F712" s="1">
        <v>45846</v>
      </c>
      <c r="G712" t="str">
        <f t="shared" si="12"/>
        <v>Jul -2025</v>
      </c>
      <c r="H712" s="12"/>
    </row>
    <row r="713" spans="1:8" x14ac:dyDescent="0.3">
      <c r="A713" s="2">
        <v>100002961</v>
      </c>
      <c r="B713" s="3" t="s">
        <v>880</v>
      </c>
      <c r="C713" s="3" t="s">
        <v>1011</v>
      </c>
      <c r="D713" s="3" t="s">
        <v>972</v>
      </c>
      <c r="E713" s="3" t="s">
        <v>979</v>
      </c>
      <c r="F713" s="1">
        <v>45846</v>
      </c>
      <c r="G713" t="str">
        <f t="shared" si="12"/>
        <v>Jul -2025</v>
      </c>
      <c r="H713" s="12"/>
    </row>
    <row r="714" spans="1:8" x14ac:dyDescent="0.3">
      <c r="A714" s="2">
        <v>100002960</v>
      </c>
      <c r="B714" s="3" t="s">
        <v>881</v>
      </c>
      <c r="C714" s="3" t="s">
        <v>1011</v>
      </c>
      <c r="D714" s="3" t="s">
        <v>972</v>
      </c>
      <c r="E714" s="3" t="s">
        <v>976</v>
      </c>
      <c r="F714" s="1">
        <v>45846</v>
      </c>
      <c r="G714" t="str">
        <f t="shared" si="12"/>
        <v>Jul -2025</v>
      </c>
      <c r="H714" s="12"/>
    </row>
    <row r="715" spans="1:8" x14ac:dyDescent="0.3">
      <c r="A715" s="2">
        <v>834012</v>
      </c>
      <c r="B715" s="3" t="s">
        <v>264</v>
      </c>
      <c r="C715" s="3" t="s">
        <v>1010</v>
      </c>
      <c r="D715" s="3" t="s">
        <v>10</v>
      </c>
      <c r="E715" s="3" t="s">
        <v>228</v>
      </c>
      <c r="F715" s="1">
        <v>45847</v>
      </c>
      <c r="G715" t="str">
        <f t="shared" si="12"/>
        <v>Jul -2025</v>
      </c>
      <c r="H715" s="12"/>
    </row>
    <row r="716" spans="1:8" x14ac:dyDescent="0.3">
      <c r="A716" s="2">
        <v>841508</v>
      </c>
      <c r="B716" s="3" t="s">
        <v>265</v>
      </c>
      <c r="C716" s="3" t="s">
        <v>1010</v>
      </c>
      <c r="D716" s="3" t="s">
        <v>364</v>
      </c>
      <c r="E716" s="3" t="s">
        <v>15</v>
      </c>
      <c r="F716" s="1">
        <v>45847</v>
      </c>
      <c r="G716" t="str">
        <f t="shared" si="12"/>
        <v>Jul -2025</v>
      </c>
      <c r="H716" s="12"/>
    </row>
    <row r="717" spans="1:8" x14ac:dyDescent="0.3">
      <c r="A717" s="2">
        <v>841500</v>
      </c>
      <c r="B717" s="3" t="s">
        <v>266</v>
      </c>
      <c r="C717" s="3" t="s">
        <v>1010</v>
      </c>
      <c r="D717" s="3" t="s">
        <v>364</v>
      </c>
      <c r="E717" s="3" t="s">
        <v>15</v>
      </c>
      <c r="F717" s="1">
        <v>45847</v>
      </c>
      <c r="G717" t="str">
        <f t="shared" si="12"/>
        <v>Jul -2025</v>
      </c>
      <c r="H717" s="12"/>
    </row>
    <row r="718" spans="1:8" x14ac:dyDescent="0.3">
      <c r="A718" s="2">
        <v>848585</v>
      </c>
      <c r="B718" s="3" t="s">
        <v>267</v>
      </c>
      <c r="C718" s="3" t="s">
        <v>1010</v>
      </c>
      <c r="D718" s="3" t="s">
        <v>209</v>
      </c>
      <c r="E718" s="3" t="s">
        <v>228</v>
      </c>
      <c r="F718" s="1">
        <v>45847</v>
      </c>
      <c r="G718" t="str">
        <f t="shared" si="12"/>
        <v>Jul -2025</v>
      </c>
      <c r="H718" s="12"/>
    </row>
    <row r="719" spans="1:8" x14ac:dyDescent="0.3">
      <c r="A719" s="2">
        <v>845777</v>
      </c>
      <c r="B719" s="3" t="s">
        <v>53</v>
      </c>
      <c r="C719" s="3" t="s">
        <v>1010</v>
      </c>
      <c r="D719" s="3" t="s">
        <v>10</v>
      </c>
      <c r="E719" s="3" t="s">
        <v>268</v>
      </c>
      <c r="F719" s="1">
        <v>45847</v>
      </c>
      <c r="G719" t="str">
        <f t="shared" si="12"/>
        <v>Jul -2025</v>
      </c>
      <c r="H719" s="12"/>
    </row>
    <row r="720" spans="1:8" x14ac:dyDescent="0.3">
      <c r="A720" s="2">
        <v>844957</v>
      </c>
      <c r="B720" s="3" t="s">
        <v>269</v>
      </c>
      <c r="C720" s="3" t="s">
        <v>1010</v>
      </c>
      <c r="D720" s="3" t="s">
        <v>209</v>
      </c>
      <c r="E720" s="3" t="s">
        <v>210</v>
      </c>
      <c r="F720" s="1">
        <v>45847</v>
      </c>
      <c r="G720" t="str">
        <f t="shared" si="12"/>
        <v>Jul -2025</v>
      </c>
      <c r="H720" s="12"/>
    </row>
    <row r="721" spans="1:8" x14ac:dyDescent="0.3">
      <c r="A721" s="2">
        <v>845062</v>
      </c>
      <c r="B721" s="3" t="s">
        <v>270</v>
      </c>
      <c r="C721" s="3" t="s">
        <v>1010</v>
      </c>
      <c r="D721" s="3" t="s">
        <v>209</v>
      </c>
      <c r="E721" s="3" t="s">
        <v>210</v>
      </c>
      <c r="F721" s="1">
        <v>45847</v>
      </c>
      <c r="G721" t="str">
        <f t="shared" si="12"/>
        <v>Jul -2025</v>
      </c>
      <c r="H721" s="12"/>
    </row>
    <row r="722" spans="1:8" x14ac:dyDescent="0.3">
      <c r="A722" s="2">
        <v>845827</v>
      </c>
      <c r="B722" s="3" t="s">
        <v>271</v>
      </c>
      <c r="C722" s="3" t="s">
        <v>1010</v>
      </c>
      <c r="D722" s="3" t="s">
        <v>364</v>
      </c>
      <c r="E722" s="3" t="s">
        <v>15</v>
      </c>
      <c r="F722" s="1">
        <v>45847</v>
      </c>
      <c r="G722" t="str">
        <f t="shared" si="12"/>
        <v>Jul -2025</v>
      </c>
      <c r="H722" s="12"/>
    </row>
    <row r="723" spans="1:8" x14ac:dyDescent="0.3">
      <c r="A723" s="2">
        <v>848877</v>
      </c>
      <c r="B723" s="3" t="s">
        <v>97</v>
      </c>
      <c r="C723" s="3" t="s">
        <v>1010</v>
      </c>
      <c r="D723" s="3" t="s">
        <v>209</v>
      </c>
      <c r="E723" s="3" t="s">
        <v>225</v>
      </c>
      <c r="F723" s="1">
        <v>45847</v>
      </c>
      <c r="G723" t="str">
        <f t="shared" si="12"/>
        <v>Jul -2025</v>
      </c>
      <c r="H723" s="12"/>
    </row>
    <row r="724" spans="1:8" x14ac:dyDescent="0.3">
      <c r="A724" s="2">
        <v>553128</v>
      </c>
      <c r="B724" s="3" t="s">
        <v>272</v>
      </c>
      <c r="C724" s="3" t="s">
        <v>1010</v>
      </c>
      <c r="D724" s="3" t="s">
        <v>1172</v>
      </c>
      <c r="E724" s="3" t="s">
        <v>246</v>
      </c>
      <c r="F724" s="1">
        <v>45847</v>
      </c>
      <c r="G724" t="str">
        <f t="shared" si="12"/>
        <v>Jul -2025</v>
      </c>
      <c r="H724" s="12"/>
    </row>
    <row r="725" spans="1:8" x14ac:dyDescent="0.3">
      <c r="A725" s="2">
        <v>553129</v>
      </c>
      <c r="B725" s="3" t="s">
        <v>273</v>
      </c>
      <c r="C725" s="3" t="s">
        <v>1010</v>
      </c>
      <c r="D725" s="3" t="s">
        <v>1172</v>
      </c>
      <c r="E725" s="3" t="s">
        <v>246</v>
      </c>
      <c r="F725" s="1">
        <v>45847</v>
      </c>
      <c r="G725" t="str">
        <f t="shared" si="12"/>
        <v>Jul -2025</v>
      </c>
      <c r="H725" s="12"/>
    </row>
    <row r="726" spans="1:8" x14ac:dyDescent="0.3">
      <c r="A726" s="2">
        <v>841504</v>
      </c>
      <c r="B726" s="3" t="s">
        <v>53</v>
      </c>
      <c r="C726" s="3" t="s">
        <v>1010</v>
      </c>
      <c r="D726" s="3" t="s">
        <v>10</v>
      </c>
      <c r="E726" s="3" t="s">
        <v>268</v>
      </c>
      <c r="F726" s="1">
        <v>45847</v>
      </c>
      <c r="G726" t="str">
        <f t="shared" si="12"/>
        <v>Jul -2025</v>
      </c>
      <c r="H726" s="12"/>
    </row>
    <row r="727" spans="1:8" x14ac:dyDescent="0.3">
      <c r="A727" s="2">
        <v>900003806</v>
      </c>
      <c r="B727" s="3" t="s">
        <v>274</v>
      </c>
      <c r="C727" s="3" t="s">
        <v>1010</v>
      </c>
      <c r="D727" s="3" t="s">
        <v>143</v>
      </c>
      <c r="E727" s="3" t="s">
        <v>322</v>
      </c>
      <c r="F727" s="1">
        <v>45847</v>
      </c>
      <c r="G727" t="str">
        <f t="shared" si="12"/>
        <v>Jul -2025</v>
      </c>
      <c r="H727" s="12"/>
    </row>
    <row r="728" spans="1:8" x14ac:dyDescent="0.3">
      <c r="A728" s="2">
        <v>552292</v>
      </c>
      <c r="B728" s="3" t="s">
        <v>275</v>
      </c>
      <c r="C728" s="3" t="s">
        <v>1010</v>
      </c>
      <c r="D728" s="3" t="s">
        <v>1172</v>
      </c>
      <c r="E728" s="3" t="s">
        <v>246</v>
      </c>
      <c r="F728" s="1">
        <v>45847</v>
      </c>
      <c r="G728" t="str">
        <f t="shared" si="12"/>
        <v>Jul -2025</v>
      </c>
      <c r="H728" s="12"/>
    </row>
    <row r="729" spans="1:8" x14ac:dyDescent="0.3">
      <c r="A729" s="2">
        <v>552267</v>
      </c>
      <c r="B729" s="3" t="s">
        <v>276</v>
      </c>
      <c r="C729" s="3" t="s">
        <v>1010</v>
      </c>
      <c r="D729" s="3" t="s">
        <v>1172</v>
      </c>
      <c r="E729" s="3" t="s">
        <v>246</v>
      </c>
      <c r="F729" s="1">
        <v>45847</v>
      </c>
      <c r="G729" t="str">
        <f t="shared" si="12"/>
        <v>Jul -2025</v>
      </c>
      <c r="H729" s="12"/>
    </row>
    <row r="730" spans="1:8" x14ac:dyDescent="0.3">
      <c r="A730" s="2">
        <v>838678</v>
      </c>
      <c r="B730" s="3" t="s">
        <v>777</v>
      </c>
      <c r="C730" s="3" t="s">
        <v>1011</v>
      </c>
      <c r="D730" s="3" t="s">
        <v>972</v>
      </c>
      <c r="E730" s="3" t="s">
        <v>965</v>
      </c>
      <c r="F730" s="1">
        <v>45847</v>
      </c>
      <c r="G730" t="str">
        <f t="shared" si="12"/>
        <v>Jul -2025</v>
      </c>
      <c r="H730" s="12"/>
    </row>
    <row r="731" spans="1:8" x14ac:dyDescent="0.3">
      <c r="A731" s="2">
        <v>850481</v>
      </c>
      <c r="B731" s="3" t="s">
        <v>277</v>
      </c>
      <c r="C731" s="3" t="s">
        <v>1010</v>
      </c>
      <c r="D731" s="3" t="s">
        <v>209</v>
      </c>
      <c r="E731" s="3" t="s">
        <v>210</v>
      </c>
      <c r="F731" s="1">
        <v>45848</v>
      </c>
      <c r="G731" t="str">
        <f t="shared" si="12"/>
        <v>Jul -2025</v>
      </c>
      <c r="H731" s="12"/>
    </row>
    <row r="732" spans="1:8" x14ac:dyDescent="0.3">
      <c r="A732" s="2">
        <v>841646</v>
      </c>
      <c r="B732" s="3" t="s">
        <v>278</v>
      </c>
      <c r="C732" s="3" t="s">
        <v>1010</v>
      </c>
      <c r="D732" s="3" t="s">
        <v>364</v>
      </c>
      <c r="E732" s="3" t="s">
        <v>15</v>
      </c>
      <c r="F732" s="1">
        <v>45848</v>
      </c>
      <c r="G732" t="str">
        <f t="shared" si="12"/>
        <v>Jul -2025</v>
      </c>
      <c r="H732" s="12"/>
    </row>
    <row r="733" spans="1:8" x14ac:dyDescent="0.3">
      <c r="A733" s="2">
        <v>841697</v>
      </c>
      <c r="B733" s="3" t="s">
        <v>279</v>
      </c>
      <c r="C733" s="3" t="s">
        <v>1010</v>
      </c>
      <c r="D733" s="3" t="s">
        <v>364</v>
      </c>
      <c r="E733" s="3" t="s">
        <v>15</v>
      </c>
      <c r="F733" s="1">
        <v>45848</v>
      </c>
      <c r="G733" t="str">
        <f t="shared" si="12"/>
        <v>Jul -2025</v>
      </c>
      <c r="H733" s="12"/>
    </row>
    <row r="734" spans="1:8" x14ac:dyDescent="0.3">
      <c r="A734" s="2">
        <v>841811</v>
      </c>
      <c r="B734" s="3" t="s">
        <v>280</v>
      </c>
      <c r="C734" s="3" t="s">
        <v>1010</v>
      </c>
      <c r="D734" s="3" t="s">
        <v>364</v>
      </c>
      <c r="E734" s="3" t="s">
        <v>15</v>
      </c>
      <c r="F734" s="1">
        <v>45848</v>
      </c>
      <c r="G734" t="str">
        <f t="shared" si="12"/>
        <v>Jul -2025</v>
      </c>
      <c r="H734" s="12"/>
    </row>
    <row r="735" spans="1:8" x14ac:dyDescent="0.3">
      <c r="A735" s="2">
        <v>841758</v>
      </c>
      <c r="B735" s="3" t="s">
        <v>281</v>
      </c>
      <c r="C735" s="3" t="s">
        <v>1010</v>
      </c>
      <c r="D735" s="3" t="s">
        <v>364</v>
      </c>
      <c r="E735" s="3" t="s">
        <v>15</v>
      </c>
      <c r="F735" s="1">
        <v>45848</v>
      </c>
      <c r="G735" t="str">
        <f t="shared" si="12"/>
        <v>Jul -2025</v>
      </c>
      <c r="H735" s="12"/>
    </row>
    <row r="736" spans="1:8" x14ac:dyDescent="0.3">
      <c r="A736" s="2">
        <v>847887</v>
      </c>
      <c r="B736" s="3" t="s">
        <v>282</v>
      </c>
      <c r="C736" s="3" t="s">
        <v>1010</v>
      </c>
      <c r="D736" s="3" t="s">
        <v>1259</v>
      </c>
      <c r="E736" s="3" t="s">
        <v>15</v>
      </c>
      <c r="F736" s="1">
        <v>45848</v>
      </c>
      <c r="G736" t="str">
        <f t="shared" si="12"/>
        <v>Jul -2025</v>
      </c>
      <c r="H736" s="12"/>
    </row>
    <row r="737" spans="1:8" x14ac:dyDescent="0.3">
      <c r="A737" s="2">
        <v>841870</v>
      </c>
      <c r="B737" s="3" t="s">
        <v>283</v>
      </c>
      <c r="C737" s="3" t="s">
        <v>1010</v>
      </c>
      <c r="D737" s="3" t="s">
        <v>364</v>
      </c>
      <c r="E737" s="3" t="s">
        <v>15</v>
      </c>
      <c r="F737" s="1">
        <v>45848</v>
      </c>
      <c r="G737" t="str">
        <f t="shared" si="12"/>
        <v>Jul -2025</v>
      </c>
      <c r="H737" s="12"/>
    </row>
    <row r="738" spans="1:8" x14ac:dyDescent="0.3">
      <c r="A738" s="2">
        <v>850746</v>
      </c>
      <c r="B738" s="3" t="s">
        <v>284</v>
      </c>
      <c r="C738" s="3" t="s">
        <v>1010</v>
      </c>
      <c r="D738" s="3" t="s">
        <v>209</v>
      </c>
      <c r="E738" s="3" t="s">
        <v>210</v>
      </c>
      <c r="F738" s="1">
        <v>45848</v>
      </c>
      <c r="G738" t="str">
        <f t="shared" si="12"/>
        <v>Jul -2025</v>
      </c>
      <c r="H738" s="12"/>
    </row>
    <row r="739" spans="1:8" x14ac:dyDescent="0.3">
      <c r="A739" s="2">
        <v>841884</v>
      </c>
      <c r="B739" s="3" t="s">
        <v>285</v>
      </c>
      <c r="C739" s="3" t="s">
        <v>1010</v>
      </c>
      <c r="D739" s="3" t="s">
        <v>364</v>
      </c>
      <c r="E739" s="3" t="s">
        <v>15</v>
      </c>
      <c r="F739" s="1">
        <v>45848</v>
      </c>
      <c r="G739" t="str">
        <f t="shared" si="12"/>
        <v>Jul -2025</v>
      </c>
      <c r="H739" s="12"/>
    </row>
    <row r="740" spans="1:8" x14ac:dyDescent="0.3">
      <c r="A740" s="2">
        <v>200001953</v>
      </c>
      <c r="B740" s="3" t="s">
        <v>286</v>
      </c>
      <c r="C740" s="3" t="s">
        <v>1010</v>
      </c>
      <c r="D740" s="3" t="s">
        <v>192</v>
      </c>
      <c r="E740" s="3" t="s">
        <v>287</v>
      </c>
      <c r="F740" s="1">
        <v>45848</v>
      </c>
      <c r="G740" t="str">
        <f t="shared" si="12"/>
        <v>Jul -2025</v>
      </c>
      <c r="H740" s="12"/>
    </row>
    <row r="741" spans="1:8" x14ac:dyDescent="0.3">
      <c r="A741" s="2">
        <v>100003024</v>
      </c>
      <c r="B741" s="3" t="s">
        <v>882</v>
      </c>
      <c r="C741" s="3" t="s">
        <v>1011</v>
      </c>
      <c r="D741" s="3" t="s">
        <v>972</v>
      </c>
      <c r="E741" s="3" t="s">
        <v>979</v>
      </c>
      <c r="F741" s="1">
        <v>45848</v>
      </c>
      <c r="G741" t="str">
        <f t="shared" si="12"/>
        <v>Jul -2025</v>
      </c>
      <c r="H741" s="12"/>
    </row>
    <row r="742" spans="1:8" x14ac:dyDescent="0.3">
      <c r="A742" s="2">
        <v>100003032</v>
      </c>
      <c r="B742" s="3" t="s">
        <v>883</v>
      </c>
      <c r="C742" s="3" t="s">
        <v>1011</v>
      </c>
      <c r="D742" s="3" t="s">
        <v>972</v>
      </c>
      <c r="E742" s="3" t="s">
        <v>980</v>
      </c>
      <c r="F742" s="1">
        <v>45848</v>
      </c>
      <c r="G742" t="str">
        <f t="shared" si="12"/>
        <v>Jul -2025</v>
      </c>
      <c r="H742" s="12"/>
    </row>
    <row r="743" spans="1:8" x14ac:dyDescent="0.3">
      <c r="A743" s="2">
        <v>840490</v>
      </c>
      <c r="B743" s="3" t="s">
        <v>288</v>
      </c>
      <c r="C743" s="3" t="s">
        <v>1010</v>
      </c>
      <c r="D743" s="3" t="s">
        <v>364</v>
      </c>
      <c r="E743" s="3" t="s">
        <v>15</v>
      </c>
      <c r="F743" s="1">
        <v>45849</v>
      </c>
      <c r="G743" t="str">
        <f t="shared" si="12"/>
        <v>Jul -2025</v>
      </c>
      <c r="H743" s="12"/>
    </row>
    <row r="744" spans="1:8" x14ac:dyDescent="0.3">
      <c r="A744" s="2">
        <v>841923</v>
      </c>
      <c r="B744" s="3" t="s">
        <v>289</v>
      </c>
      <c r="C744" s="3" t="s">
        <v>1010</v>
      </c>
      <c r="D744" s="3" t="s">
        <v>364</v>
      </c>
      <c r="E744" s="3" t="s">
        <v>15</v>
      </c>
      <c r="F744" s="1">
        <v>45849</v>
      </c>
      <c r="G744" t="str">
        <f t="shared" si="12"/>
        <v>Jul -2025</v>
      </c>
      <c r="H744" s="12"/>
    </row>
    <row r="745" spans="1:8" x14ac:dyDescent="0.3">
      <c r="A745" s="2">
        <v>851781</v>
      </c>
      <c r="B745" s="3" t="s">
        <v>290</v>
      </c>
      <c r="C745" s="3" t="s">
        <v>1010</v>
      </c>
      <c r="D745" s="3" t="s">
        <v>209</v>
      </c>
      <c r="E745" s="3" t="s">
        <v>291</v>
      </c>
      <c r="F745" s="1">
        <v>45849</v>
      </c>
      <c r="G745" t="str">
        <f t="shared" si="12"/>
        <v>Jul -2025</v>
      </c>
      <c r="H745" s="12"/>
    </row>
    <row r="746" spans="1:8" x14ac:dyDescent="0.3">
      <c r="A746" s="2">
        <v>200002021</v>
      </c>
      <c r="B746" s="3" t="s">
        <v>292</v>
      </c>
      <c r="C746" s="3" t="s">
        <v>1010</v>
      </c>
      <c r="D746" s="3" t="s">
        <v>192</v>
      </c>
      <c r="E746" s="3" t="s">
        <v>216</v>
      </c>
      <c r="F746" s="1">
        <v>45849</v>
      </c>
      <c r="G746" t="str">
        <f t="shared" si="12"/>
        <v>Jul -2025</v>
      </c>
      <c r="H746" s="12"/>
    </row>
    <row r="747" spans="1:8" x14ac:dyDescent="0.3">
      <c r="A747" s="2">
        <v>200002032</v>
      </c>
      <c r="B747" s="3" t="s">
        <v>293</v>
      </c>
      <c r="C747" s="3" t="s">
        <v>1010</v>
      </c>
      <c r="D747" s="3" t="s">
        <v>192</v>
      </c>
      <c r="E747" s="3" t="s">
        <v>193</v>
      </c>
      <c r="F747" s="1">
        <v>45849</v>
      </c>
      <c r="G747" t="str">
        <f t="shared" si="12"/>
        <v>Jul -2025</v>
      </c>
      <c r="H747" s="12"/>
    </row>
    <row r="748" spans="1:8" x14ac:dyDescent="0.3">
      <c r="A748" s="2">
        <v>200002037</v>
      </c>
      <c r="B748" s="3" t="s">
        <v>294</v>
      </c>
      <c r="C748" s="3" t="s">
        <v>1010</v>
      </c>
      <c r="D748" s="3" t="s">
        <v>192</v>
      </c>
      <c r="E748" s="3" t="s">
        <v>193</v>
      </c>
      <c r="F748" s="1">
        <v>45849</v>
      </c>
      <c r="G748" t="str">
        <f t="shared" si="12"/>
        <v>Jul -2025</v>
      </c>
      <c r="H748" s="12"/>
    </row>
    <row r="749" spans="1:8" x14ac:dyDescent="0.3">
      <c r="A749" s="2">
        <v>900003832</v>
      </c>
      <c r="B749" s="3" t="s">
        <v>295</v>
      </c>
      <c r="C749" s="3" t="s">
        <v>1010</v>
      </c>
      <c r="D749" s="3" t="s">
        <v>143</v>
      </c>
      <c r="E749" s="3" t="s">
        <v>322</v>
      </c>
      <c r="F749" s="1">
        <v>45849</v>
      </c>
      <c r="G749" t="str">
        <f t="shared" si="12"/>
        <v>Jul -2025</v>
      </c>
      <c r="H749" s="12"/>
    </row>
    <row r="750" spans="1:8" x14ac:dyDescent="0.3">
      <c r="A750" s="2">
        <v>845491</v>
      </c>
      <c r="B750" s="3" t="s">
        <v>296</v>
      </c>
      <c r="C750" s="3" t="s">
        <v>1010</v>
      </c>
      <c r="D750" s="3" t="s">
        <v>364</v>
      </c>
      <c r="E750" s="3" t="s">
        <v>15</v>
      </c>
      <c r="F750" s="1">
        <v>45849</v>
      </c>
      <c r="G750" t="str">
        <f t="shared" si="12"/>
        <v>Jul -2025</v>
      </c>
      <c r="H750" s="12"/>
    </row>
    <row r="751" spans="1:8" x14ac:dyDescent="0.3">
      <c r="A751" s="2">
        <v>550668</v>
      </c>
      <c r="B751" s="3" t="s">
        <v>297</v>
      </c>
      <c r="C751" s="3" t="s">
        <v>1010</v>
      </c>
      <c r="D751" s="3" t="s">
        <v>1172</v>
      </c>
      <c r="E751" s="3" t="s">
        <v>246</v>
      </c>
      <c r="F751" s="1">
        <v>45849</v>
      </c>
      <c r="G751" t="str">
        <f t="shared" si="12"/>
        <v>Jul -2025</v>
      </c>
      <c r="H751" s="12"/>
    </row>
    <row r="752" spans="1:8" x14ac:dyDescent="0.3">
      <c r="A752" s="2">
        <v>847215</v>
      </c>
      <c r="B752" s="3" t="s">
        <v>298</v>
      </c>
      <c r="C752" s="3" t="s">
        <v>1010</v>
      </c>
      <c r="D752" s="3" t="s">
        <v>364</v>
      </c>
      <c r="E752" s="3" t="s">
        <v>15</v>
      </c>
      <c r="F752" s="1">
        <v>45849</v>
      </c>
      <c r="G752" t="str">
        <f t="shared" si="12"/>
        <v>Jul -2025</v>
      </c>
      <c r="H752" s="12"/>
    </row>
    <row r="753" spans="1:8" x14ac:dyDescent="0.3">
      <c r="A753" s="2">
        <v>847243</v>
      </c>
      <c r="B753" s="3" t="s">
        <v>299</v>
      </c>
      <c r="C753" s="3" t="s">
        <v>1010</v>
      </c>
      <c r="D753" s="3" t="s">
        <v>364</v>
      </c>
      <c r="E753" s="3" t="s">
        <v>15</v>
      </c>
      <c r="F753" s="1">
        <v>45849</v>
      </c>
      <c r="G753" t="str">
        <f t="shared" si="12"/>
        <v>Jul -2025</v>
      </c>
      <c r="H753" s="12"/>
    </row>
    <row r="754" spans="1:8" x14ac:dyDescent="0.3">
      <c r="A754" s="2">
        <v>100003080</v>
      </c>
      <c r="B754" s="3" t="s">
        <v>884</v>
      </c>
      <c r="C754" s="3" t="s">
        <v>1011</v>
      </c>
      <c r="D754" s="3" t="s">
        <v>972</v>
      </c>
      <c r="E754" s="3" t="s">
        <v>968</v>
      </c>
      <c r="F754" s="1">
        <v>45849</v>
      </c>
      <c r="G754" t="str">
        <f t="shared" si="12"/>
        <v>Jul -2025</v>
      </c>
      <c r="H754" s="12"/>
    </row>
    <row r="755" spans="1:8" x14ac:dyDescent="0.3">
      <c r="A755" s="2">
        <v>100003029</v>
      </c>
      <c r="B755" s="3" t="s">
        <v>885</v>
      </c>
      <c r="C755" s="3" t="s">
        <v>1011</v>
      </c>
      <c r="D755" s="3" t="s">
        <v>975</v>
      </c>
      <c r="E755" s="3" t="s">
        <v>981</v>
      </c>
      <c r="F755" s="1">
        <v>45849</v>
      </c>
      <c r="G755" t="str">
        <f t="shared" si="12"/>
        <v>Jul -2025</v>
      </c>
      <c r="H755" s="12"/>
    </row>
    <row r="756" spans="1:8" x14ac:dyDescent="0.3">
      <c r="A756" s="2">
        <v>860576</v>
      </c>
      <c r="B756" s="3" t="s">
        <v>300</v>
      </c>
      <c r="C756" s="3" t="s">
        <v>1010</v>
      </c>
      <c r="D756" s="3" t="s">
        <v>227</v>
      </c>
      <c r="E756" s="3" t="s">
        <v>15</v>
      </c>
      <c r="F756" s="1">
        <v>45859</v>
      </c>
      <c r="G756" t="str">
        <f t="shared" si="12"/>
        <v>Jul -2025</v>
      </c>
      <c r="H756" s="12"/>
    </row>
    <row r="757" spans="1:8" x14ac:dyDescent="0.3">
      <c r="A757" s="2">
        <v>861829</v>
      </c>
      <c r="B757" s="3" t="s">
        <v>301</v>
      </c>
      <c r="C757" s="3" t="s">
        <v>1010</v>
      </c>
      <c r="D757" s="3" t="s">
        <v>10</v>
      </c>
      <c r="E757" s="3" t="s">
        <v>268</v>
      </c>
      <c r="F757" s="1">
        <v>45859</v>
      </c>
      <c r="G757" t="str">
        <f t="shared" si="12"/>
        <v>Jul -2025</v>
      </c>
      <c r="H757" s="12"/>
    </row>
    <row r="758" spans="1:8" x14ac:dyDescent="0.3">
      <c r="A758" s="2">
        <v>862060</v>
      </c>
      <c r="B758" s="3" t="s">
        <v>47</v>
      </c>
      <c r="C758" s="3" t="s">
        <v>1010</v>
      </c>
      <c r="D758" s="3" t="s">
        <v>10</v>
      </c>
      <c r="E758" s="3" t="s">
        <v>211</v>
      </c>
      <c r="F758" s="1">
        <v>45859</v>
      </c>
      <c r="G758" t="str">
        <f t="shared" si="12"/>
        <v>Jul -2025</v>
      </c>
      <c r="H758" s="12"/>
    </row>
    <row r="759" spans="1:8" x14ac:dyDescent="0.3">
      <c r="A759" s="2">
        <v>862094</v>
      </c>
      <c r="B759" s="3" t="s">
        <v>47</v>
      </c>
      <c r="C759" s="3" t="s">
        <v>1010</v>
      </c>
      <c r="D759" s="3" t="s">
        <v>10</v>
      </c>
      <c r="E759" s="3" t="s">
        <v>211</v>
      </c>
      <c r="F759" s="1">
        <v>45859</v>
      </c>
      <c r="G759" t="str">
        <f t="shared" si="12"/>
        <v>Jul -2025</v>
      </c>
      <c r="H759" s="12"/>
    </row>
    <row r="760" spans="1:8" x14ac:dyDescent="0.3">
      <c r="A760" s="2">
        <v>861666</v>
      </c>
      <c r="B760" s="3" t="s">
        <v>302</v>
      </c>
      <c r="C760" s="3" t="s">
        <v>1010</v>
      </c>
      <c r="D760" s="3" t="s">
        <v>209</v>
      </c>
      <c r="E760" s="3" t="s">
        <v>210</v>
      </c>
      <c r="F760" s="1">
        <v>45859</v>
      </c>
      <c r="G760" t="str">
        <f t="shared" si="12"/>
        <v>Jul -2025</v>
      </c>
      <c r="H760" s="12"/>
    </row>
    <row r="761" spans="1:8" x14ac:dyDescent="0.3">
      <c r="A761" s="2">
        <v>861942</v>
      </c>
      <c r="B761" s="3" t="s">
        <v>303</v>
      </c>
      <c r="C761" s="3" t="s">
        <v>1010</v>
      </c>
      <c r="D761" s="3" t="s">
        <v>364</v>
      </c>
      <c r="E761" s="3" t="s">
        <v>15</v>
      </c>
      <c r="F761" s="1">
        <v>45859</v>
      </c>
      <c r="G761" t="str">
        <f t="shared" si="12"/>
        <v>Jul -2025</v>
      </c>
      <c r="H761" s="12"/>
    </row>
    <row r="762" spans="1:8" x14ac:dyDescent="0.3">
      <c r="A762" s="2">
        <v>100003144</v>
      </c>
      <c r="B762" s="3" t="s">
        <v>886</v>
      </c>
      <c r="C762" s="3" t="s">
        <v>1011</v>
      </c>
      <c r="D762" s="3" t="s">
        <v>972</v>
      </c>
      <c r="E762" s="3" t="s">
        <v>977</v>
      </c>
      <c r="F762" s="1">
        <v>45859</v>
      </c>
      <c r="G762" t="str">
        <f t="shared" si="12"/>
        <v>Jul -2025</v>
      </c>
      <c r="H762" s="12"/>
    </row>
    <row r="763" spans="1:8" x14ac:dyDescent="0.3">
      <c r="A763" s="2">
        <v>100003126</v>
      </c>
      <c r="B763" s="3" t="s">
        <v>886</v>
      </c>
      <c r="C763" s="3" t="s">
        <v>1011</v>
      </c>
      <c r="D763" s="3" t="s">
        <v>972</v>
      </c>
      <c r="E763" s="3" t="s">
        <v>977</v>
      </c>
      <c r="F763" s="1">
        <v>45859</v>
      </c>
      <c r="G763" t="str">
        <f t="shared" si="12"/>
        <v>Jul -2025</v>
      </c>
      <c r="H763" s="12"/>
    </row>
    <row r="764" spans="1:8" x14ac:dyDescent="0.3">
      <c r="A764" s="2">
        <v>100003127</v>
      </c>
      <c r="B764" s="3" t="s">
        <v>886</v>
      </c>
      <c r="C764" s="3" t="s">
        <v>1011</v>
      </c>
      <c r="D764" s="3" t="s">
        <v>972</v>
      </c>
      <c r="E764" s="3" t="s">
        <v>977</v>
      </c>
      <c r="F764" s="1">
        <v>45859</v>
      </c>
      <c r="G764" t="str">
        <f t="shared" si="12"/>
        <v>Jul -2025</v>
      </c>
      <c r="H764" s="12"/>
    </row>
    <row r="765" spans="1:8" x14ac:dyDescent="0.3">
      <c r="A765" s="2">
        <v>860437</v>
      </c>
      <c r="B765" s="3" t="s">
        <v>777</v>
      </c>
      <c r="C765" s="3" t="s">
        <v>1011</v>
      </c>
      <c r="D765" s="3" t="s">
        <v>972</v>
      </c>
      <c r="E765" s="3" t="s">
        <v>965</v>
      </c>
      <c r="F765" s="1">
        <v>45859</v>
      </c>
      <c r="G765" t="str">
        <f t="shared" si="12"/>
        <v>Jul -2025</v>
      </c>
      <c r="H765" s="12"/>
    </row>
    <row r="766" spans="1:8" x14ac:dyDescent="0.3">
      <c r="A766" s="2">
        <v>100003220</v>
      </c>
      <c r="B766" s="3" t="s">
        <v>887</v>
      </c>
      <c r="C766" s="3" t="s">
        <v>1011</v>
      </c>
      <c r="D766" s="3" t="s">
        <v>972</v>
      </c>
      <c r="E766" s="3" t="s">
        <v>982</v>
      </c>
      <c r="F766" s="1">
        <v>45859</v>
      </c>
      <c r="G766" t="str">
        <f t="shared" si="12"/>
        <v>Jul -2025</v>
      </c>
      <c r="H766" s="12"/>
    </row>
    <row r="767" spans="1:8" x14ac:dyDescent="0.3">
      <c r="A767" s="2">
        <v>860546</v>
      </c>
      <c r="B767" s="3" t="s">
        <v>300</v>
      </c>
      <c r="C767" s="3" t="s">
        <v>1010</v>
      </c>
      <c r="D767" s="3" t="s">
        <v>1259</v>
      </c>
      <c r="E767" s="3" t="s">
        <v>15</v>
      </c>
      <c r="F767" s="1">
        <v>45860</v>
      </c>
      <c r="G767" t="str">
        <f t="shared" si="12"/>
        <v>Jul -2025</v>
      </c>
      <c r="H767" s="12"/>
    </row>
    <row r="768" spans="1:8" x14ac:dyDescent="0.3">
      <c r="A768" s="2">
        <v>859053</v>
      </c>
      <c r="B768" s="3" t="s">
        <v>304</v>
      </c>
      <c r="C768" s="3" t="s">
        <v>1010</v>
      </c>
      <c r="D768" s="3" t="s">
        <v>364</v>
      </c>
      <c r="E768" s="3" t="s">
        <v>15</v>
      </c>
      <c r="F768" s="1">
        <v>45860</v>
      </c>
      <c r="G768" t="str">
        <f t="shared" si="12"/>
        <v>Jul -2025</v>
      </c>
      <c r="H768" s="12"/>
    </row>
    <row r="769" spans="1:8" x14ac:dyDescent="0.3">
      <c r="A769" s="2">
        <v>859055</v>
      </c>
      <c r="B769" s="3" t="s">
        <v>305</v>
      </c>
      <c r="C769" s="3" t="s">
        <v>1010</v>
      </c>
      <c r="D769" s="3" t="s">
        <v>364</v>
      </c>
      <c r="E769" s="3" t="s">
        <v>15</v>
      </c>
      <c r="F769" s="1">
        <v>45860</v>
      </c>
      <c r="G769" t="str">
        <f t="shared" si="12"/>
        <v>Jul -2025</v>
      </c>
      <c r="H769" s="12"/>
    </row>
    <row r="770" spans="1:8" x14ac:dyDescent="0.3">
      <c r="A770" s="2">
        <v>900003926</v>
      </c>
      <c r="B770" s="3" t="s">
        <v>306</v>
      </c>
      <c r="C770" s="3" t="s">
        <v>1010</v>
      </c>
      <c r="D770" s="3" t="s">
        <v>143</v>
      </c>
      <c r="E770" s="3" t="s">
        <v>322</v>
      </c>
      <c r="F770" s="1">
        <v>45860</v>
      </c>
      <c r="G770" t="str">
        <f t="shared" ref="G770:G833" si="13">TEXT(F770,"mmm -YYYY")</f>
        <v>Jul -2025</v>
      </c>
      <c r="H770" s="12"/>
    </row>
    <row r="771" spans="1:8" x14ac:dyDescent="0.3">
      <c r="A771" s="2">
        <v>862743</v>
      </c>
      <c r="B771" s="3" t="s">
        <v>307</v>
      </c>
      <c r="C771" s="3" t="s">
        <v>1010</v>
      </c>
      <c r="D771" s="3" t="s">
        <v>209</v>
      </c>
      <c r="E771" s="3" t="s">
        <v>308</v>
      </c>
      <c r="F771" s="1">
        <v>45860</v>
      </c>
      <c r="G771" t="str">
        <f t="shared" si="13"/>
        <v>Jul -2025</v>
      </c>
      <c r="H771" s="12"/>
    </row>
    <row r="772" spans="1:8" x14ac:dyDescent="0.3">
      <c r="A772" s="2">
        <v>100003187</v>
      </c>
      <c r="B772" s="3" t="s">
        <v>888</v>
      </c>
      <c r="C772" s="3" t="s">
        <v>1011</v>
      </c>
      <c r="D772" s="3" t="s">
        <v>972</v>
      </c>
      <c r="E772" s="3" t="s">
        <v>976</v>
      </c>
      <c r="F772" s="1">
        <v>45860</v>
      </c>
      <c r="G772" t="str">
        <f t="shared" si="13"/>
        <v>Jul -2025</v>
      </c>
      <c r="H772" s="12"/>
    </row>
    <row r="773" spans="1:8" x14ac:dyDescent="0.3">
      <c r="A773" s="2">
        <v>100003210</v>
      </c>
      <c r="B773" s="3" t="s">
        <v>889</v>
      </c>
      <c r="C773" s="3" t="s">
        <v>1011</v>
      </c>
      <c r="D773" s="3" t="s">
        <v>972</v>
      </c>
      <c r="E773" s="3" t="s">
        <v>970</v>
      </c>
      <c r="F773" s="1">
        <v>45860</v>
      </c>
      <c r="G773" t="str">
        <f t="shared" si="13"/>
        <v>Jul -2025</v>
      </c>
      <c r="H773" s="12"/>
    </row>
    <row r="774" spans="1:8" x14ac:dyDescent="0.3">
      <c r="A774" s="2">
        <v>100003221</v>
      </c>
      <c r="B774" s="3" t="s">
        <v>890</v>
      </c>
      <c r="C774" s="3" t="s">
        <v>1011</v>
      </c>
      <c r="D774" s="3" t="s">
        <v>972</v>
      </c>
      <c r="E774" s="3" t="s">
        <v>967</v>
      </c>
      <c r="F774" s="1">
        <v>45860</v>
      </c>
      <c r="G774" t="str">
        <f t="shared" si="13"/>
        <v>Jul -2025</v>
      </c>
      <c r="H774" s="12"/>
    </row>
    <row r="775" spans="1:8" x14ac:dyDescent="0.3">
      <c r="A775" s="2">
        <v>859087</v>
      </c>
      <c r="B775" s="3" t="s">
        <v>309</v>
      </c>
      <c r="C775" s="3" t="s">
        <v>1010</v>
      </c>
      <c r="D775" s="3" t="s">
        <v>364</v>
      </c>
      <c r="E775" s="3" t="s">
        <v>15</v>
      </c>
      <c r="F775" s="1">
        <v>45861</v>
      </c>
      <c r="G775" t="str">
        <f t="shared" si="13"/>
        <v>Jul -2025</v>
      </c>
      <c r="H775" s="12"/>
    </row>
    <row r="776" spans="1:8" x14ac:dyDescent="0.3">
      <c r="A776" s="2">
        <v>864024</v>
      </c>
      <c r="B776" s="3" t="s">
        <v>310</v>
      </c>
      <c r="C776" s="3" t="s">
        <v>1010</v>
      </c>
      <c r="D776" s="3" t="s">
        <v>209</v>
      </c>
      <c r="E776" s="3" t="s">
        <v>225</v>
      </c>
      <c r="F776" s="1">
        <v>45861</v>
      </c>
      <c r="G776" t="str">
        <f t="shared" si="13"/>
        <v>Jul -2025</v>
      </c>
      <c r="H776" s="12"/>
    </row>
    <row r="777" spans="1:8" x14ac:dyDescent="0.3">
      <c r="A777" s="2">
        <v>866789</v>
      </c>
      <c r="B777" s="3" t="s">
        <v>41</v>
      </c>
      <c r="C777" s="3" t="s">
        <v>1010</v>
      </c>
      <c r="D777" s="3" t="s">
        <v>10</v>
      </c>
      <c r="E777" s="3" t="s">
        <v>211</v>
      </c>
      <c r="F777" s="1">
        <v>45861</v>
      </c>
      <c r="G777" t="str">
        <f t="shared" si="13"/>
        <v>Jul -2025</v>
      </c>
      <c r="H777" s="12"/>
    </row>
    <row r="778" spans="1:8" x14ac:dyDescent="0.3">
      <c r="A778" s="2">
        <v>866982</v>
      </c>
      <c r="B778" s="3" t="s">
        <v>311</v>
      </c>
      <c r="C778" s="3" t="s">
        <v>1010</v>
      </c>
      <c r="D778" s="3" t="s">
        <v>1259</v>
      </c>
      <c r="E778" s="3" t="s">
        <v>15</v>
      </c>
      <c r="F778" s="1">
        <v>45861</v>
      </c>
      <c r="G778" t="str">
        <f t="shared" si="13"/>
        <v>Jul -2025</v>
      </c>
      <c r="H778" s="12"/>
    </row>
    <row r="779" spans="1:8" x14ac:dyDescent="0.3">
      <c r="A779" s="2">
        <v>862077</v>
      </c>
      <c r="B779" s="3" t="s">
        <v>312</v>
      </c>
      <c r="C779" s="3" t="s">
        <v>1010</v>
      </c>
      <c r="D779" s="3" t="s">
        <v>364</v>
      </c>
      <c r="E779" s="3" t="s">
        <v>15</v>
      </c>
      <c r="F779" s="1">
        <v>45861</v>
      </c>
      <c r="G779" t="str">
        <f t="shared" si="13"/>
        <v>Jul -2025</v>
      </c>
      <c r="H779" s="12"/>
    </row>
    <row r="780" spans="1:8" x14ac:dyDescent="0.3">
      <c r="A780" s="2">
        <v>862085</v>
      </c>
      <c r="B780" s="3" t="s">
        <v>313</v>
      </c>
      <c r="C780" s="3" t="s">
        <v>1010</v>
      </c>
      <c r="D780" s="3" t="s">
        <v>364</v>
      </c>
      <c r="E780" s="3" t="s">
        <v>15</v>
      </c>
      <c r="F780" s="1">
        <v>45861</v>
      </c>
      <c r="G780" t="str">
        <f t="shared" si="13"/>
        <v>Jul -2025</v>
      </c>
      <c r="H780" s="12"/>
    </row>
    <row r="781" spans="1:8" x14ac:dyDescent="0.3">
      <c r="A781" s="2">
        <v>867151</v>
      </c>
      <c r="B781" s="3" t="s">
        <v>314</v>
      </c>
      <c r="C781" s="3" t="s">
        <v>1010</v>
      </c>
      <c r="D781" s="3" t="s">
        <v>1259</v>
      </c>
      <c r="E781" s="3" t="s">
        <v>15</v>
      </c>
      <c r="F781" s="1">
        <v>45861</v>
      </c>
      <c r="G781" t="str">
        <f t="shared" si="13"/>
        <v>Jul -2025</v>
      </c>
      <c r="H781" s="12"/>
    </row>
    <row r="782" spans="1:8" x14ac:dyDescent="0.3">
      <c r="A782" s="2">
        <v>862060</v>
      </c>
      <c r="B782" s="3" t="s">
        <v>47</v>
      </c>
      <c r="C782" s="3" t="s">
        <v>1010</v>
      </c>
      <c r="D782" s="3" t="s">
        <v>10</v>
      </c>
      <c r="E782" s="3" t="s">
        <v>211</v>
      </c>
      <c r="F782" s="1">
        <v>45861</v>
      </c>
      <c r="G782" t="str">
        <f t="shared" si="13"/>
        <v>Jul -2025</v>
      </c>
      <c r="H782" s="12"/>
    </row>
    <row r="783" spans="1:8" x14ac:dyDescent="0.3">
      <c r="A783" s="2">
        <v>861829</v>
      </c>
      <c r="B783" s="3" t="s">
        <v>301</v>
      </c>
      <c r="C783" s="3" t="s">
        <v>1010</v>
      </c>
      <c r="D783" s="3" t="s">
        <v>10</v>
      </c>
      <c r="E783" s="3" t="s">
        <v>268</v>
      </c>
      <c r="F783" s="1">
        <v>45861</v>
      </c>
      <c r="G783" t="str">
        <f t="shared" si="13"/>
        <v>Jul -2025</v>
      </c>
      <c r="H783" s="12"/>
    </row>
    <row r="784" spans="1:8" x14ac:dyDescent="0.3">
      <c r="A784" s="2">
        <v>867830</v>
      </c>
      <c r="B784" s="3" t="s">
        <v>315</v>
      </c>
      <c r="C784" s="3" t="s">
        <v>1010</v>
      </c>
      <c r="D784" s="3" t="s">
        <v>364</v>
      </c>
      <c r="E784" s="3" t="s">
        <v>210</v>
      </c>
      <c r="F784" s="1">
        <v>45861</v>
      </c>
      <c r="G784" t="str">
        <f t="shared" si="13"/>
        <v>Jul -2025</v>
      </c>
      <c r="H784" s="12"/>
    </row>
    <row r="785" spans="1:8" x14ac:dyDescent="0.3">
      <c r="A785" s="2">
        <v>100003227</v>
      </c>
      <c r="B785" s="3" t="s">
        <v>886</v>
      </c>
      <c r="C785" s="3" t="s">
        <v>1011</v>
      </c>
      <c r="D785" s="3" t="s">
        <v>972</v>
      </c>
      <c r="E785" s="3" t="s">
        <v>967</v>
      </c>
      <c r="F785" s="1">
        <v>45861</v>
      </c>
      <c r="G785" t="str">
        <f t="shared" si="13"/>
        <v>Jul -2025</v>
      </c>
      <c r="H785" s="12"/>
    </row>
    <row r="786" spans="1:8" x14ac:dyDescent="0.3">
      <c r="A786" s="2">
        <v>860568</v>
      </c>
      <c r="B786" s="3" t="s">
        <v>777</v>
      </c>
      <c r="C786" s="3" t="s">
        <v>1011</v>
      </c>
      <c r="D786" s="3" t="s">
        <v>972</v>
      </c>
      <c r="E786" s="3" t="s">
        <v>965</v>
      </c>
      <c r="F786" s="1">
        <v>45861</v>
      </c>
      <c r="G786" t="str">
        <f t="shared" si="13"/>
        <v>Jul -2025</v>
      </c>
      <c r="H786" s="12"/>
    </row>
    <row r="787" spans="1:8" x14ac:dyDescent="0.3">
      <c r="A787" s="2">
        <v>100003218</v>
      </c>
      <c r="B787" s="3" t="s">
        <v>818</v>
      </c>
      <c r="C787" s="3" t="s">
        <v>1011</v>
      </c>
      <c r="D787" s="3" t="s">
        <v>972</v>
      </c>
      <c r="E787" s="3" t="s">
        <v>970</v>
      </c>
      <c r="F787" s="1">
        <v>45861</v>
      </c>
      <c r="G787" t="str">
        <f t="shared" si="13"/>
        <v>Jul -2025</v>
      </c>
      <c r="H787" s="12"/>
    </row>
    <row r="788" spans="1:8" x14ac:dyDescent="0.3">
      <c r="A788" s="2">
        <v>861668</v>
      </c>
      <c r="B788" s="3" t="s">
        <v>777</v>
      </c>
      <c r="C788" s="3" t="s">
        <v>1011</v>
      </c>
      <c r="D788" s="3" t="s">
        <v>972</v>
      </c>
      <c r="E788" s="3" t="s">
        <v>965</v>
      </c>
      <c r="F788" s="1">
        <v>45861</v>
      </c>
      <c r="G788" t="str">
        <f t="shared" si="13"/>
        <v>Jul -2025</v>
      </c>
      <c r="H788" s="12"/>
    </row>
    <row r="789" spans="1:8" x14ac:dyDescent="0.3">
      <c r="A789" s="2">
        <v>100003253</v>
      </c>
      <c r="B789" s="3" t="s">
        <v>891</v>
      </c>
      <c r="C789" s="3" t="s">
        <v>1011</v>
      </c>
      <c r="D789" s="3" t="s">
        <v>972</v>
      </c>
      <c r="E789" s="3" t="s">
        <v>967</v>
      </c>
      <c r="F789" s="1">
        <v>45861</v>
      </c>
      <c r="G789" t="str">
        <f t="shared" si="13"/>
        <v>Jul -2025</v>
      </c>
      <c r="H789" s="12"/>
    </row>
    <row r="790" spans="1:8" x14ac:dyDescent="0.3">
      <c r="A790" s="2">
        <v>857836</v>
      </c>
      <c r="B790" s="3" t="s">
        <v>777</v>
      </c>
      <c r="C790" s="3" t="s">
        <v>1011</v>
      </c>
      <c r="D790" s="3" t="s">
        <v>972</v>
      </c>
      <c r="E790" s="3" t="s">
        <v>965</v>
      </c>
      <c r="F790" s="1">
        <v>45861</v>
      </c>
      <c r="G790" t="str">
        <f t="shared" si="13"/>
        <v>Jul -2025</v>
      </c>
      <c r="H790" s="12"/>
    </row>
    <row r="791" spans="1:8" x14ac:dyDescent="0.3">
      <c r="A791" s="2">
        <v>867245</v>
      </c>
      <c r="B791" s="3" t="s">
        <v>316</v>
      </c>
      <c r="C791" s="3" t="s">
        <v>1010</v>
      </c>
      <c r="D791" s="3" t="s">
        <v>1259</v>
      </c>
      <c r="E791" s="3" t="s">
        <v>15</v>
      </c>
      <c r="F791" s="1">
        <v>45862</v>
      </c>
      <c r="G791" t="str">
        <f t="shared" si="13"/>
        <v>Jul -2025</v>
      </c>
      <c r="H791" s="12"/>
    </row>
    <row r="792" spans="1:8" x14ac:dyDescent="0.3">
      <c r="A792" s="2">
        <v>869568</v>
      </c>
      <c r="B792" s="3" t="s">
        <v>317</v>
      </c>
      <c r="C792" s="3" t="s">
        <v>1010</v>
      </c>
      <c r="D792" s="3" t="s">
        <v>209</v>
      </c>
      <c r="E792" s="3" t="s">
        <v>210</v>
      </c>
      <c r="F792" s="1">
        <v>45862</v>
      </c>
      <c r="G792" t="str">
        <f t="shared" si="13"/>
        <v>Jul -2025</v>
      </c>
      <c r="H792" s="12"/>
    </row>
    <row r="793" spans="1:8" x14ac:dyDescent="0.3">
      <c r="A793" s="2">
        <v>867802</v>
      </c>
      <c r="B793" s="3" t="s">
        <v>318</v>
      </c>
      <c r="C793" s="3" t="s">
        <v>1010</v>
      </c>
      <c r="D793" s="3" t="s">
        <v>1259</v>
      </c>
      <c r="E793" s="3" t="s">
        <v>15</v>
      </c>
      <c r="F793" s="1">
        <v>45862</v>
      </c>
      <c r="G793" t="str">
        <f t="shared" si="13"/>
        <v>Jul -2025</v>
      </c>
      <c r="H793" s="12"/>
    </row>
    <row r="794" spans="1:8" x14ac:dyDescent="0.3">
      <c r="A794" s="2">
        <v>869504</v>
      </c>
      <c r="B794" s="3" t="s">
        <v>319</v>
      </c>
      <c r="C794" s="3" t="s">
        <v>1010</v>
      </c>
      <c r="D794" s="3" t="s">
        <v>209</v>
      </c>
      <c r="E794" s="3" t="s">
        <v>228</v>
      </c>
      <c r="F794" s="1">
        <v>45862</v>
      </c>
      <c r="G794" t="str">
        <f t="shared" si="13"/>
        <v>Jul -2025</v>
      </c>
      <c r="H794" s="12"/>
    </row>
    <row r="795" spans="1:8" x14ac:dyDescent="0.3">
      <c r="A795" s="2">
        <v>863657</v>
      </c>
      <c r="B795" s="3" t="s">
        <v>320</v>
      </c>
      <c r="C795" s="3" t="s">
        <v>1010</v>
      </c>
      <c r="D795" s="3" t="s">
        <v>364</v>
      </c>
      <c r="E795" s="3" t="s">
        <v>15</v>
      </c>
      <c r="F795" s="1">
        <v>45862</v>
      </c>
      <c r="G795" t="str">
        <f t="shared" si="13"/>
        <v>Jul -2025</v>
      </c>
      <c r="H795" s="12"/>
    </row>
    <row r="796" spans="1:8" x14ac:dyDescent="0.3">
      <c r="A796" s="2">
        <v>100003255</v>
      </c>
      <c r="B796" s="3" t="s">
        <v>892</v>
      </c>
      <c r="C796" s="3" t="s">
        <v>1011</v>
      </c>
      <c r="D796" s="3" t="s">
        <v>972</v>
      </c>
      <c r="E796" s="3" t="s">
        <v>977</v>
      </c>
      <c r="F796" s="1">
        <v>45862</v>
      </c>
      <c r="G796" t="str">
        <f t="shared" si="13"/>
        <v>Jul -2025</v>
      </c>
      <c r="H796" s="12"/>
    </row>
    <row r="797" spans="1:8" x14ac:dyDescent="0.3">
      <c r="A797" s="2">
        <v>100003260</v>
      </c>
      <c r="B797" s="3" t="s">
        <v>893</v>
      </c>
      <c r="C797" s="3" t="s">
        <v>1011</v>
      </c>
      <c r="D797" s="3" t="s">
        <v>972</v>
      </c>
      <c r="E797" s="3" t="s">
        <v>968</v>
      </c>
      <c r="F797" s="1">
        <v>45862</v>
      </c>
      <c r="G797" t="str">
        <f t="shared" si="13"/>
        <v>Jul -2025</v>
      </c>
      <c r="H797" s="12"/>
    </row>
    <row r="798" spans="1:8" x14ac:dyDescent="0.3">
      <c r="A798" s="2">
        <v>100003252</v>
      </c>
      <c r="B798" s="3" t="s">
        <v>894</v>
      </c>
      <c r="C798" s="3" t="s">
        <v>1011</v>
      </c>
      <c r="D798" s="3" t="s">
        <v>972</v>
      </c>
      <c r="E798" s="3" t="s">
        <v>977</v>
      </c>
      <c r="F798" s="1">
        <v>45862</v>
      </c>
      <c r="G798" t="str">
        <f t="shared" si="13"/>
        <v>Jul -2025</v>
      </c>
      <c r="H798" s="12"/>
    </row>
    <row r="799" spans="1:8" x14ac:dyDescent="0.3">
      <c r="A799" s="2">
        <v>100003198</v>
      </c>
      <c r="B799" s="3" t="s">
        <v>895</v>
      </c>
      <c r="C799" s="3" t="s">
        <v>1011</v>
      </c>
      <c r="D799" s="3" t="s">
        <v>973</v>
      </c>
      <c r="E799" s="3" t="s">
        <v>966</v>
      </c>
      <c r="F799" s="1">
        <v>45862</v>
      </c>
      <c r="G799" t="str">
        <f t="shared" si="13"/>
        <v>Jul -2025</v>
      </c>
      <c r="H799" s="12"/>
    </row>
    <row r="800" spans="1:8" x14ac:dyDescent="0.3">
      <c r="A800" s="2">
        <v>100003236</v>
      </c>
      <c r="B800" s="3" t="s">
        <v>896</v>
      </c>
      <c r="C800" s="3" t="s">
        <v>1011</v>
      </c>
      <c r="D800" s="3" t="s">
        <v>973</v>
      </c>
      <c r="E800" s="3" t="s">
        <v>966</v>
      </c>
      <c r="F800" s="1">
        <v>45862</v>
      </c>
      <c r="G800" t="str">
        <f t="shared" si="13"/>
        <v>Jul -2025</v>
      </c>
      <c r="H800" s="12"/>
    </row>
    <row r="801" spans="1:8" x14ac:dyDescent="0.3">
      <c r="A801" s="2">
        <v>862725</v>
      </c>
      <c r="B801" s="3" t="s">
        <v>777</v>
      </c>
      <c r="C801" s="3" t="s">
        <v>1011</v>
      </c>
      <c r="D801" s="3" t="s">
        <v>972</v>
      </c>
      <c r="E801" s="3" t="s">
        <v>965</v>
      </c>
      <c r="F801" s="1">
        <v>45862</v>
      </c>
      <c r="G801" t="str">
        <f t="shared" si="13"/>
        <v>Jul -2025</v>
      </c>
      <c r="H801" s="12"/>
    </row>
    <row r="802" spans="1:8" x14ac:dyDescent="0.3">
      <c r="A802" s="2">
        <v>863645</v>
      </c>
      <c r="B802" s="3" t="s">
        <v>47</v>
      </c>
      <c r="C802" s="3" t="s">
        <v>1010</v>
      </c>
      <c r="D802" s="3" t="s">
        <v>10</v>
      </c>
      <c r="E802" s="3" t="s">
        <v>211</v>
      </c>
      <c r="F802" s="1">
        <v>45863</v>
      </c>
      <c r="G802" t="str">
        <f t="shared" si="13"/>
        <v>Jul -2025</v>
      </c>
      <c r="H802" s="12"/>
    </row>
    <row r="803" spans="1:8" x14ac:dyDescent="0.3">
      <c r="A803" s="2">
        <v>900003925</v>
      </c>
      <c r="B803" s="3" t="s">
        <v>321</v>
      </c>
      <c r="C803" s="3" t="s">
        <v>1010</v>
      </c>
      <c r="D803" s="3" t="s">
        <v>143</v>
      </c>
      <c r="E803" s="3" t="s">
        <v>322</v>
      </c>
      <c r="F803" s="1">
        <v>45863</v>
      </c>
      <c r="G803" t="str">
        <f t="shared" si="13"/>
        <v>Jul -2025</v>
      </c>
      <c r="H803" s="12"/>
    </row>
    <row r="804" spans="1:8" x14ac:dyDescent="0.3">
      <c r="A804" s="2">
        <v>870078</v>
      </c>
      <c r="B804" s="3" t="s">
        <v>323</v>
      </c>
      <c r="C804" s="3" t="s">
        <v>1010</v>
      </c>
      <c r="D804" s="3" t="s">
        <v>1259</v>
      </c>
      <c r="E804" s="3" t="s">
        <v>15</v>
      </c>
      <c r="F804" s="1">
        <v>45863</v>
      </c>
      <c r="G804" t="str">
        <f t="shared" si="13"/>
        <v>Jul -2025</v>
      </c>
      <c r="H804" s="12"/>
    </row>
    <row r="805" spans="1:8" x14ac:dyDescent="0.3">
      <c r="A805" s="2">
        <v>873372</v>
      </c>
      <c r="B805" s="3" t="s">
        <v>324</v>
      </c>
      <c r="C805" s="3" t="s">
        <v>1010</v>
      </c>
      <c r="D805" s="3" t="s">
        <v>10</v>
      </c>
      <c r="E805" s="3" t="s">
        <v>268</v>
      </c>
      <c r="F805" s="1">
        <v>45863</v>
      </c>
      <c r="G805" t="str">
        <f t="shared" si="13"/>
        <v>Jul -2025</v>
      </c>
      <c r="H805" s="12"/>
    </row>
    <row r="806" spans="1:8" x14ac:dyDescent="0.3">
      <c r="A806" s="2">
        <v>870118</v>
      </c>
      <c r="B806" s="3" t="s">
        <v>325</v>
      </c>
      <c r="C806" s="3" t="s">
        <v>1010</v>
      </c>
      <c r="D806" s="3" t="s">
        <v>1259</v>
      </c>
      <c r="E806" s="3" t="s">
        <v>15</v>
      </c>
      <c r="F806" s="1">
        <v>45863</v>
      </c>
      <c r="G806" t="str">
        <f t="shared" si="13"/>
        <v>Jul -2025</v>
      </c>
      <c r="H806" s="12"/>
    </row>
    <row r="807" spans="1:8" x14ac:dyDescent="0.3">
      <c r="A807" s="2">
        <v>864075</v>
      </c>
      <c r="B807" s="3" t="s">
        <v>326</v>
      </c>
      <c r="C807" s="3" t="s">
        <v>1010</v>
      </c>
      <c r="D807" s="3" t="s">
        <v>1259</v>
      </c>
      <c r="E807" s="3" t="s">
        <v>15</v>
      </c>
      <c r="F807" s="1">
        <v>45863</v>
      </c>
      <c r="G807" t="str">
        <f t="shared" si="13"/>
        <v>Jul -2025</v>
      </c>
      <c r="H807" s="12"/>
    </row>
    <row r="808" spans="1:8" x14ac:dyDescent="0.3">
      <c r="A808" s="2">
        <v>900003943</v>
      </c>
      <c r="B808" s="3" t="s">
        <v>327</v>
      </c>
      <c r="C808" s="3" t="s">
        <v>1010</v>
      </c>
      <c r="D808" s="3" t="s">
        <v>143</v>
      </c>
      <c r="E808" s="3" t="s">
        <v>322</v>
      </c>
      <c r="F808" s="1">
        <v>45863</v>
      </c>
      <c r="G808" t="str">
        <f t="shared" si="13"/>
        <v>Jul -2025</v>
      </c>
      <c r="H808" s="12"/>
    </row>
    <row r="809" spans="1:8" x14ac:dyDescent="0.3">
      <c r="A809" s="2">
        <v>867158</v>
      </c>
      <c r="B809" s="3" t="s">
        <v>328</v>
      </c>
      <c r="C809" s="3" t="s">
        <v>1010</v>
      </c>
      <c r="D809" s="3" t="s">
        <v>364</v>
      </c>
      <c r="E809" s="3" t="s">
        <v>15</v>
      </c>
      <c r="F809" s="1">
        <v>45863</v>
      </c>
      <c r="G809" t="str">
        <f t="shared" si="13"/>
        <v>Jul -2025</v>
      </c>
      <c r="H809" s="12"/>
    </row>
    <row r="810" spans="1:8" x14ac:dyDescent="0.3">
      <c r="A810" s="2">
        <v>873451</v>
      </c>
      <c r="B810" s="3" t="s">
        <v>329</v>
      </c>
      <c r="C810" s="3" t="s">
        <v>1010</v>
      </c>
      <c r="D810" s="3" t="s">
        <v>1259</v>
      </c>
      <c r="E810" s="3" t="s">
        <v>15</v>
      </c>
      <c r="F810" s="1">
        <v>45863</v>
      </c>
      <c r="G810" t="str">
        <f t="shared" si="13"/>
        <v>Jul -2025</v>
      </c>
      <c r="H810" s="12"/>
    </row>
    <row r="811" spans="1:8" x14ac:dyDescent="0.3">
      <c r="A811" s="2">
        <v>100003271</v>
      </c>
      <c r="B811" s="3" t="s">
        <v>897</v>
      </c>
      <c r="C811" s="3" t="s">
        <v>1011</v>
      </c>
      <c r="D811" s="3" t="s">
        <v>972</v>
      </c>
      <c r="E811" s="3" t="s">
        <v>966</v>
      </c>
      <c r="F811" s="1">
        <v>45863</v>
      </c>
      <c r="G811" t="str">
        <f t="shared" si="13"/>
        <v>Jul -2025</v>
      </c>
      <c r="H811" s="12"/>
    </row>
    <row r="812" spans="1:8" x14ac:dyDescent="0.3">
      <c r="A812" s="2">
        <v>100003290</v>
      </c>
      <c r="B812" s="3" t="s">
        <v>898</v>
      </c>
      <c r="C812" s="3" t="s">
        <v>1011</v>
      </c>
      <c r="D812" s="3" t="s">
        <v>972</v>
      </c>
      <c r="E812" s="3" t="s">
        <v>966</v>
      </c>
      <c r="F812" s="1">
        <v>45863</v>
      </c>
      <c r="G812" t="str">
        <f t="shared" si="13"/>
        <v>Jul -2025</v>
      </c>
      <c r="H812" s="12"/>
    </row>
    <row r="813" spans="1:8" x14ac:dyDescent="0.3">
      <c r="A813" s="2">
        <v>100003258</v>
      </c>
      <c r="B813" s="3" t="s">
        <v>899</v>
      </c>
      <c r="C813" s="3" t="s">
        <v>1011</v>
      </c>
      <c r="D813" s="3" t="s">
        <v>972</v>
      </c>
      <c r="E813" s="3" t="s">
        <v>967</v>
      </c>
      <c r="F813" s="1">
        <v>45863</v>
      </c>
      <c r="G813" t="str">
        <f t="shared" si="13"/>
        <v>Jul -2025</v>
      </c>
      <c r="H813" s="12"/>
    </row>
    <row r="814" spans="1:8" x14ac:dyDescent="0.3">
      <c r="A814" s="2">
        <v>100003209</v>
      </c>
      <c r="B814" s="3" t="s">
        <v>900</v>
      </c>
      <c r="C814" s="3" t="s">
        <v>1011</v>
      </c>
      <c r="D814" s="3" t="s">
        <v>972</v>
      </c>
      <c r="E814" s="3" t="s">
        <v>977</v>
      </c>
      <c r="F814" s="1">
        <v>45863</v>
      </c>
      <c r="G814" t="str">
        <f t="shared" si="13"/>
        <v>Jul -2025</v>
      </c>
      <c r="H814" s="12"/>
    </row>
    <row r="815" spans="1:8" x14ac:dyDescent="0.3">
      <c r="A815" s="2">
        <v>867158</v>
      </c>
      <c r="B815" s="3" t="s">
        <v>777</v>
      </c>
      <c r="C815" s="3" t="s">
        <v>1011</v>
      </c>
      <c r="D815" s="3" t="s">
        <v>972</v>
      </c>
      <c r="E815" s="3" t="s">
        <v>965</v>
      </c>
      <c r="F815" s="1">
        <v>45863</v>
      </c>
      <c r="G815" t="str">
        <f t="shared" si="13"/>
        <v>Jul -2025</v>
      </c>
      <c r="H815" s="12"/>
    </row>
    <row r="816" spans="1:8" x14ac:dyDescent="0.3">
      <c r="A816" s="2">
        <v>873887</v>
      </c>
      <c r="B816" s="3" t="s">
        <v>330</v>
      </c>
      <c r="C816" s="3" t="s">
        <v>1010</v>
      </c>
      <c r="D816" s="3" t="s">
        <v>1259</v>
      </c>
      <c r="E816" s="3" t="s">
        <v>331</v>
      </c>
      <c r="F816" s="1">
        <v>45866</v>
      </c>
      <c r="G816" t="str">
        <f t="shared" si="13"/>
        <v>Jul -2025</v>
      </c>
      <c r="H816" s="12"/>
    </row>
    <row r="817" spans="1:8" x14ac:dyDescent="0.3">
      <c r="A817" s="2">
        <v>868003</v>
      </c>
      <c r="B817" s="3" t="s">
        <v>332</v>
      </c>
      <c r="C817" s="3" t="s">
        <v>1010</v>
      </c>
      <c r="D817" s="3" t="s">
        <v>1259</v>
      </c>
      <c r="E817" s="3" t="s">
        <v>331</v>
      </c>
      <c r="F817" s="1">
        <v>45866</v>
      </c>
      <c r="G817" t="str">
        <f t="shared" si="13"/>
        <v>Jul -2025</v>
      </c>
      <c r="H817" s="12"/>
    </row>
    <row r="818" spans="1:8" x14ac:dyDescent="0.3">
      <c r="A818" s="2">
        <v>873756</v>
      </c>
      <c r="B818" s="3" t="s">
        <v>333</v>
      </c>
      <c r="C818" s="3" t="s">
        <v>1010</v>
      </c>
      <c r="D818" s="3" t="s">
        <v>1259</v>
      </c>
      <c r="E818" s="3" t="s">
        <v>331</v>
      </c>
      <c r="F818" s="1">
        <v>45866</v>
      </c>
      <c r="G818" t="str">
        <f t="shared" si="13"/>
        <v>Jul -2025</v>
      </c>
      <c r="H818" s="12"/>
    </row>
    <row r="819" spans="1:8" x14ac:dyDescent="0.3">
      <c r="A819" s="2">
        <v>878699</v>
      </c>
      <c r="B819" s="3" t="s">
        <v>334</v>
      </c>
      <c r="C819" s="3" t="s">
        <v>1010</v>
      </c>
      <c r="D819" s="3" t="s">
        <v>1259</v>
      </c>
      <c r="E819" s="3" t="s">
        <v>331</v>
      </c>
      <c r="F819" s="1">
        <v>45866</v>
      </c>
      <c r="G819" t="str">
        <f t="shared" si="13"/>
        <v>Jul -2025</v>
      </c>
      <c r="H819" s="12"/>
    </row>
    <row r="820" spans="1:8" x14ac:dyDescent="0.3">
      <c r="A820" s="2">
        <v>878670</v>
      </c>
      <c r="B820" s="3" t="s">
        <v>335</v>
      </c>
      <c r="C820" s="3" t="s">
        <v>1010</v>
      </c>
      <c r="D820" s="3" t="s">
        <v>1259</v>
      </c>
      <c r="E820" s="3" t="s">
        <v>331</v>
      </c>
      <c r="F820" s="1">
        <v>45866</v>
      </c>
      <c r="G820" t="str">
        <f t="shared" si="13"/>
        <v>Jul -2025</v>
      </c>
      <c r="H820" s="12"/>
    </row>
    <row r="821" spans="1:8" x14ac:dyDescent="0.3">
      <c r="A821" s="2">
        <v>878798</v>
      </c>
      <c r="B821" s="3" t="s">
        <v>336</v>
      </c>
      <c r="C821" s="3" t="s">
        <v>1010</v>
      </c>
      <c r="D821" s="3" t="s">
        <v>1259</v>
      </c>
      <c r="E821" s="3" t="s">
        <v>331</v>
      </c>
      <c r="F821" s="1">
        <v>45866</v>
      </c>
      <c r="G821" t="str">
        <f t="shared" si="13"/>
        <v>Jul -2025</v>
      </c>
      <c r="H821" s="12"/>
    </row>
    <row r="822" spans="1:8" x14ac:dyDescent="0.3">
      <c r="A822" s="2">
        <v>862613</v>
      </c>
      <c r="B822" s="3" t="s">
        <v>337</v>
      </c>
      <c r="C822" s="3" t="s">
        <v>1010</v>
      </c>
      <c r="D822" s="3" t="s">
        <v>10</v>
      </c>
      <c r="E822" s="3" t="s">
        <v>338</v>
      </c>
      <c r="F822" s="1">
        <v>45866</v>
      </c>
      <c r="G822" t="str">
        <f t="shared" si="13"/>
        <v>Jul -2025</v>
      </c>
      <c r="H822" s="12"/>
    </row>
    <row r="823" spans="1:8" x14ac:dyDescent="0.3">
      <c r="A823" s="2">
        <v>862637</v>
      </c>
      <c r="B823" s="3" t="s">
        <v>337</v>
      </c>
      <c r="C823" s="3" t="s">
        <v>1010</v>
      </c>
      <c r="D823" s="3" t="s">
        <v>10</v>
      </c>
      <c r="E823" s="3" t="s">
        <v>338</v>
      </c>
      <c r="F823" s="1">
        <v>45866</v>
      </c>
      <c r="G823" t="str">
        <f t="shared" si="13"/>
        <v>Jul -2025</v>
      </c>
      <c r="H823" s="12"/>
    </row>
    <row r="824" spans="1:8" x14ac:dyDescent="0.3">
      <c r="A824" s="2">
        <v>878967</v>
      </c>
      <c r="B824" s="3" t="s">
        <v>339</v>
      </c>
      <c r="C824" s="3" t="s">
        <v>1010</v>
      </c>
      <c r="D824" s="3" t="s">
        <v>1259</v>
      </c>
      <c r="E824" s="3" t="s">
        <v>331</v>
      </c>
      <c r="F824" s="1">
        <v>45866</v>
      </c>
      <c r="G824" t="str">
        <f t="shared" si="13"/>
        <v>Jul -2025</v>
      </c>
      <c r="H824" s="12"/>
    </row>
    <row r="825" spans="1:8" x14ac:dyDescent="0.3">
      <c r="A825" s="2">
        <v>870093</v>
      </c>
      <c r="B825" s="3" t="s">
        <v>340</v>
      </c>
      <c r="C825" s="3" t="s">
        <v>1010</v>
      </c>
      <c r="D825" s="3" t="s">
        <v>364</v>
      </c>
      <c r="E825" s="3" t="s">
        <v>331</v>
      </c>
      <c r="F825" s="1">
        <v>45866</v>
      </c>
      <c r="G825" t="str">
        <f t="shared" si="13"/>
        <v>Jul -2025</v>
      </c>
      <c r="H825" s="12"/>
    </row>
    <row r="826" spans="1:8" x14ac:dyDescent="0.3">
      <c r="A826" s="2">
        <v>100003311</v>
      </c>
      <c r="B826" s="3" t="s">
        <v>901</v>
      </c>
      <c r="C826" s="3" t="s">
        <v>1011</v>
      </c>
      <c r="D826" s="3" t="s">
        <v>972</v>
      </c>
      <c r="E826" s="3" t="s">
        <v>966</v>
      </c>
      <c r="F826" s="1">
        <v>45866</v>
      </c>
      <c r="G826" t="str">
        <f t="shared" si="13"/>
        <v>Jul -2025</v>
      </c>
      <c r="H826" s="12"/>
    </row>
    <row r="827" spans="1:8" x14ac:dyDescent="0.3">
      <c r="A827" s="2">
        <v>100003248</v>
      </c>
      <c r="B827" s="3" t="s">
        <v>902</v>
      </c>
      <c r="C827" s="3" t="s">
        <v>1011</v>
      </c>
      <c r="D827" s="3" t="s">
        <v>972</v>
      </c>
      <c r="E827" s="3" t="s">
        <v>966</v>
      </c>
      <c r="F827" s="1">
        <v>45866</v>
      </c>
      <c r="G827" t="str">
        <f t="shared" si="13"/>
        <v>Jul -2025</v>
      </c>
      <c r="H827" s="12"/>
    </row>
    <row r="828" spans="1:8" x14ac:dyDescent="0.3">
      <c r="A828" s="2">
        <v>100003316</v>
      </c>
      <c r="B828" s="3" t="s">
        <v>903</v>
      </c>
      <c r="C828" s="3" t="s">
        <v>1011</v>
      </c>
      <c r="D828" s="3" t="s">
        <v>972</v>
      </c>
      <c r="E828" s="3" t="s">
        <v>967</v>
      </c>
      <c r="F828" s="1">
        <v>45866</v>
      </c>
      <c r="G828" t="str">
        <f t="shared" si="13"/>
        <v>Jul -2025</v>
      </c>
      <c r="H828" s="12"/>
    </row>
    <row r="829" spans="1:8" x14ac:dyDescent="0.3">
      <c r="A829" s="2">
        <v>100003287</v>
      </c>
      <c r="B829" s="3" t="s">
        <v>904</v>
      </c>
      <c r="C829" s="3" t="s">
        <v>1011</v>
      </c>
      <c r="D829" s="3" t="s">
        <v>972</v>
      </c>
      <c r="E829" s="3" t="s">
        <v>966</v>
      </c>
      <c r="F829" s="1">
        <v>45866</v>
      </c>
      <c r="G829" t="str">
        <f t="shared" si="13"/>
        <v>Jul -2025</v>
      </c>
      <c r="H829" s="12"/>
    </row>
    <row r="830" spans="1:8" x14ac:dyDescent="0.3">
      <c r="A830" s="2">
        <v>100003318</v>
      </c>
      <c r="B830" s="3" t="s">
        <v>905</v>
      </c>
      <c r="C830" s="3" t="s">
        <v>1011</v>
      </c>
      <c r="D830" s="3" t="s">
        <v>972</v>
      </c>
      <c r="E830" s="3" t="s">
        <v>967</v>
      </c>
      <c r="F830" s="1">
        <v>45866</v>
      </c>
      <c r="G830" t="str">
        <f t="shared" si="13"/>
        <v>Jul -2025</v>
      </c>
      <c r="H830" s="12"/>
    </row>
    <row r="831" spans="1:8" x14ac:dyDescent="0.3">
      <c r="A831" s="2">
        <v>867445</v>
      </c>
      <c r="B831" s="3" t="s">
        <v>906</v>
      </c>
      <c r="C831" s="3" t="s">
        <v>1011</v>
      </c>
      <c r="D831" s="3" t="s">
        <v>972</v>
      </c>
      <c r="E831" s="3" t="s">
        <v>965</v>
      </c>
      <c r="F831" s="1">
        <v>45866</v>
      </c>
      <c r="G831" t="str">
        <f t="shared" si="13"/>
        <v>Jul -2025</v>
      </c>
      <c r="H831" s="12"/>
    </row>
    <row r="832" spans="1:8" x14ac:dyDescent="0.3">
      <c r="A832" s="2">
        <v>200002156</v>
      </c>
      <c r="B832" s="3" t="s">
        <v>341</v>
      </c>
      <c r="C832" s="3" t="s">
        <v>1010</v>
      </c>
      <c r="D832" s="3" t="s">
        <v>192</v>
      </c>
      <c r="E832" s="3" t="s">
        <v>342</v>
      </c>
      <c r="F832" s="1">
        <v>45867</v>
      </c>
      <c r="G832" t="str">
        <f t="shared" si="13"/>
        <v>Jul -2025</v>
      </c>
      <c r="H832" s="12"/>
    </row>
    <row r="833" spans="1:8" x14ac:dyDescent="0.3">
      <c r="A833" s="2">
        <v>870094</v>
      </c>
      <c r="B833" s="3" t="s">
        <v>343</v>
      </c>
      <c r="C833" s="3" t="s">
        <v>1010</v>
      </c>
      <c r="D833" s="3" t="s">
        <v>364</v>
      </c>
      <c r="E833" s="3" t="s">
        <v>331</v>
      </c>
      <c r="F833" s="1">
        <v>45867</v>
      </c>
      <c r="G833" t="str">
        <f t="shared" si="13"/>
        <v>Jul -2025</v>
      </c>
      <c r="H833" s="12"/>
    </row>
    <row r="834" spans="1:8" x14ac:dyDescent="0.3">
      <c r="A834" s="2">
        <v>870113</v>
      </c>
      <c r="B834" s="3" t="s">
        <v>344</v>
      </c>
      <c r="C834" s="3" t="s">
        <v>1010</v>
      </c>
      <c r="D834" s="3" t="s">
        <v>364</v>
      </c>
      <c r="E834" s="3" t="s">
        <v>331</v>
      </c>
      <c r="F834" s="1">
        <v>45867</v>
      </c>
      <c r="G834" t="str">
        <f t="shared" ref="G834:G897" si="14">TEXT(F834,"mmm -YYYY")</f>
        <v>Jul -2025</v>
      </c>
      <c r="H834" s="12"/>
    </row>
    <row r="835" spans="1:8" x14ac:dyDescent="0.3">
      <c r="A835" s="2">
        <v>880500</v>
      </c>
      <c r="B835" s="3" t="s">
        <v>345</v>
      </c>
      <c r="C835" s="3" t="s">
        <v>1010</v>
      </c>
      <c r="D835" s="3" t="s">
        <v>209</v>
      </c>
      <c r="E835" s="3" t="s">
        <v>210</v>
      </c>
      <c r="F835" s="1">
        <v>45867</v>
      </c>
      <c r="G835" t="str">
        <f t="shared" si="14"/>
        <v>Jul -2025</v>
      </c>
      <c r="H835" s="12"/>
    </row>
    <row r="836" spans="1:8" x14ac:dyDescent="0.3">
      <c r="A836" s="2">
        <v>873206</v>
      </c>
      <c r="B836" s="3" t="s">
        <v>346</v>
      </c>
      <c r="C836" s="3" t="s">
        <v>1010</v>
      </c>
      <c r="D836" s="3" t="s">
        <v>364</v>
      </c>
      <c r="E836" s="3" t="s">
        <v>331</v>
      </c>
      <c r="F836" s="1">
        <v>45867</v>
      </c>
      <c r="G836" t="str">
        <f t="shared" si="14"/>
        <v>Jul -2025</v>
      </c>
      <c r="H836" s="12"/>
    </row>
    <row r="837" spans="1:8" x14ac:dyDescent="0.3">
      <c r="A837" s="2">
        <v>873366</v>
      </c>
      <c r="B837" s="3" t="s">
        <v>347</v>
      </c>
      <c r="C837" s="3" t="s">
        <v>1010</v>
      </c>
      <c r="D837" s="3" t="s">
        <v>364</v>
      </c>
      <c r="E837" s="3" t="s">
        <v>331</v>
      </c>
      <c r="F837" s="1">
        <v>45867</v>
      </c>
      <c r="G837" t="str">
        <f t="shared" si="14"/>
        <v>Jul -2025</v>
      </c>
      <c r="H837" s="12"/>
    </row>
    <row r="838" spans="1:8" x14ac:dyDescent="0.3">
      <c r="A838" s="2">
        <v>880049</v>
      </c>
      <c r="B838" s="3" t="s">
        <v>348</v>
      </c>
      <c r="C838" s="3" t="s">
        <v>1010</v>
      </c>
      <c r="D838" s="3" t="s">
        <v>209</v>
      </c>
      <c r="E838" s="3" t="s">
        <v>210</v>
      </c>
      <c r="F838" s="1">
        <v>45867</v>
      </c>
      <c r="G838" t="str">
        <f t="shared" si="14"/>
        <v>Jul -2025</v>
      </c>
      <c r="H838" s="12"/>
    </row>
    <row r="839" spans="1:8" x14ac:dyDescent="0.3">
      <c r="A839" s="2">
        <v>880050</v>
      </c>
      <c r="B839" s="3" t="s">
        <v>349</v>
      </c>
      <c r="C839" s="3" t="s">
        <v>1010</v>
      </c>
      <c r="D839" s="3" t="s">
        <v>209</v>
      </c>
      <c r="E839" s="3" t="s">
        <v>210</v>
      </c>
      <c r="F839" s="1">
        <v>45867</v>
      </c>
      <c r="G839" t="str">
        <f t="shared" si="14"/>
        <v>Jul -2025</v>
      </c>
      <c r="H839" s="12"/>
    </row>
    <row r="840" spans="1:8" x14ac:dyDescent="0.3">
      <c r="A840" s="2">
        <v>880123</v>
      </c>
      <c r="B840" s="3" t="s">
        <v>350</v>
      </c>
      <c r="C840" s="3" t="s">
        <v>1010</v>
      </c>
      <c r="D840" s="3" t="s">
        <v>209</v>
      </c>
      <c r="E840" s="3" t="s">
        <v>210</v>
      </c>
      <c r="F840" s="1">
        <v>45867</v>
      </c>
      <c r="G840" t="str">
        <f t="shared" si="14"/>
        <v>Jul -2025</v>
      </c>
      <c r="H840" s="12"/>
    </row>
    <row r="841" spans="1:8" x14ac:dyDescent="0.3">
      <c r="A841" s="2">
        <v>880133</v>
      </c>
      <c r="B841" s="3" t="s">
        <v>351</v>
      </c>
      <c r="C841" s="3" t="s">
        <v>1010</v>
      </c>
      <c r="D841" s="3" t="s">
        <v>209</v>
      </c>
      <c r="E841" s="3" t="s">
        <v>210</v>
      </c>
      <c r="F841" s="1">
        <v>45867</v>
      </c>
      <c r="G841" t="str">
        <f t="shared" si="14"/>
        <v>Jul -2025</v>
      </c>
      <c r="H841" s="12"/>
    </row>
    <row r="842" spans="1:8" x14ac:dyDescent="0.3">
      <c r="A842" s="2">
        <v>880142</v>
      </c>
      <c r="B842" s="3" t="s">
        <v>352</v>
      </c>
      <c r="C842" s="3" t="s">
        <v>1010</v>
      </c>
      <c r="D842" s="3" t="s">
        <v>209</v>
      </c>
      <c r="E842" s="3" t="s">
        <v>210</v>
      </c>
      <c r="F842" s="1">
        <v>45867</v>
      </c>
      <c r="G842" t="str">
        <f t="shared" si="14"/>
        <v>Jul -2025</v>
      </c>
      <c r="H842" s="12"/>
    </row>
    <row r="843" spans="1:8" x14ac:dyDescent="0.3">
      <c r="A843" s="2">
        <v>868007</v>
      </c>
      <c r="B843" s="3" t="s">
        <v>906</v>
      </c>
      <c r="C843" s="3" t="s">
        <v>1011</v>
      </c>
      <c r="D843" s="3" t="s">
        <v>972</v>
      </c>
      <c r="E843" s="3" t="s">
        <v>965</v>
      </c>
      <c r="F843" s="1">
        <v>45867</v>
      </c>
      <c r="G843" t="str">
        <f t="shared" si="14"/>
        <v>Jul -2025</v>
      </c>
      <c r="H843" s="12"/>
    </row>
    <row r="844" spans="1:8" x14ac:dyDescent="0.3">
      <c r="A844" s="2">
        <v>868067</v>
      </c>
      <c r="B844" s="3" t="s">
        <v>906</v>
      </c>
      <c r="C844" s="3" t="s">
        <v>1011</v>
      </c>
      <c r="D844" s="3" t="s">
        <v>972</v>
      </c>
      <c r="E844" s="3" t="s">
        <v>965</v>
      </c>
      <c r="F844" s="1">
        <v>45867</v>
      </c>
      <c r="G844" t="str">
        <f t="shared" si="14"/>
        <v>Jul -2025</v>
      </c>
      <c r="H844" s="12"/>
    </row>
    <row r="845" spans="1:8" x14ac:dyDescent="0.3">
      <c r="A845" s="2">
        <v>868083</v>
      </c>
      <c r="B845" s="3" t="s">
        <v>906</v>
      </c>
      <c r="C845" s="3" t="s">
        <v>1011</v>
      </c>
      <c r="D845" s="3" t="s">
        <v>972</v>
      </c>
      <c r="E845" s="3" t="s">
        <v>965</v>
      </c>
      <c r="F845" s="1">
        <v>45867</v>
      </c>
      <c r="G845" t="str">
        <f t="shared" si="14"/>
        <v>Jul -2025</v>
      </c>
      <c r="H845" s="12"/>
    </row>
    <row r="846" spans="1:8" x14ac:dyDescent="0.3">
      <c r="A846" s="2">
        <v>100003350</v>
      </c>
      <c r="B846" s="3" t="s">
        <v>907</v>
      </c>
      <c r="C846" s="3" t="s">
        <v>1011</v>
      </c>
      <c r="D846" s="3" t="s">
        <v>972</v>
      </c>
      <c r="E846" s="3" t="s">
        <v>967</v>
      </c>
      <c r="F846" s="1">
        <v>45867</v>
      </c>
      <c r="G846" t="str">
        <f t="shared" si="14"/>
        <v>Jul -2025</v>
      </c>
      <c r="H846" s="12"/>
    </row>
    <row r="847" spans="1:8" x14ac:dyDescent="0.3">
      <c r="A847" s="2">
        <v>870334</v>
      </c>
      <c r="B847" s="3" t="s">
        <v>906</v>
      </c>
      <c r="C847" s="3" t="s">
        <v>1011</v>
      </c>
      <c r="D847" s="3" t="s">
        <v>972</v>
      </c>
      <c r="E847" s="3" t="s">
        <v>965</v>
      </c>
      <c r="F847" s="1">
        <v>45867</v>
      </c>
      <c r="G847" t="str">
        <f t="shared" si="14"/>
        <v>Jul -2025</v>
      </c>
      <c r="H847" s="12"/>
    </row>
    <row r="848" spans="1:8" x14ac:dyDescent="0.3">
      <c r="A848" s="2">
        <v>100003361</v>
      </c>
      <c r="B848" s="3" t="s">
        <v>908</v>
      </c>
      <c r="C848" s="3" t="s">
        <v>1011</v>
      </c>
      <c r="D848" s="3" t="s">
        <v>972</v>
      </c>
      <c r="E848" s="3" t="s">
        <v>967</v>
      </c>
      <c r="F848" s="1">
        <v>45867</v>
      </c>
      <c r="G848" t="str">
        <f t="shared" si="14"/>
        <v>Jul -2025</v>
      </c>
      <c r="H848" s="12"/>
    </row>
    <row r="849" spans="1:8" x14ac:dyDescent="0.3">
      <c r="A849" s="2">
        <v>870998</v>
      </c>
      <c r="B849" s="3" t="s">
        <v>906</v>
      </c>
      <c r="C849" s="3" t="s">
        <v>1011</v>
      </c>
      <c r="D849" s="3" t="s">
        <v>972</v>
      </c>
      <c r="E849" s="3" t="s">
        <v>965</v>
      </c>
      <c r="F849" s="1">
        <v>45867</v>
      </c>
      <c r="G849" t="str">
        <f t="shared" si="14"/>
        <v>Jul -2025</v>
      </c>
      <c r="H849" s="12"/>
    </row>
    <row r="850" spans="1:8" x14ac:dyDescent="0.3">
      <c r="A850" s="2">
        <v>882909</v>
      </c>
      <c r="B850" s="3" t="s">
        <v>353</v>
      </c>
      <c r="C850" s="3" t="s">
        <v>1010</v>
      </c>
      <c r="D850" s="3" t="s">
        <v>209</v>
      </c>
      <c r="E850" s="3" t="s">
        <v>228</v>
      </c>
      <c r="F850" s="1">
        <v>45868</v>
      </c>
      <c r="G850" t="str">
        <f t="shared" si="14"/>
        <v>Jul -2025</v>
      </c>
      <c r="H850" s="12"/>
    </row>
    <row r="851" spans="1:8" x14ac:dyDescent="0.3">
      <c r="A851" s="2">
        <v>878983</v>
      </c>
      <c r="B851" s="3" t="s">
        <v>354</v>
      </c>
      <c r="C851" s="3" t="s">
        <v>1010</v>
      </c>
      <c r="D851" s="3" t="s">
        <v>227</v>
      </c>
      <c r="E851" s="3" t="s">
        <v>228</v>
      </c>
      <c r="F851" s="1">
        <v>45868</v>
      </c>
      <c r="G851" t="str">
        <f t="shared" si="14"/>
        <v>Jul -2025</v>
      </c>
      <c r="H851" s="12"/>
    </row>
    <row r="852" spans="1:8" x14ac:dyDescent="0.3">
      <c r="A852" s="2">
        <v>881148</v>
      </c>
      <c r="B852" s="3" t="s">
        <v>355</v>
      </c>
      <c r="C852" s="3" t="s">
        <v>1010</v>
      </c>
      <c r="D852" s="3" t="s">
        <v>1259</v>
      </c>
      <c r="E852" s="3" t="s">
        <v>15</v>
      </c>
      <c r="F852" s="1">
        <v>45868</v>
      </c>
      <c r="G852" t="str">
        <f t="shared" si="14"/>
        <v>Jul -2025</v>
      </c>
      <c r="H852" s="12"/>
    </row>
    <row r="853" spans="1:8" x14ac:dyDescent="0.3">
      <c r="A853" s="2">
        <v>880572</v>
      </c>
      <c r="B853" s="3" t="s">
        <v>97</v>
      </c>
      <c r="C853" s="3" t="s">
        <v>1010</v>
      </c>
      <c r="D853" s="3" t="s">
        <v>209</v>
      </c>
      <c r="E853" s="3" t="s">
        <v>225</v>
      </c>
      <c r="F853" s="1">
        <v>45868</v>
      </c>
      <c r="G853" t="str">
        <f t="shared" si="14"/>
        <v>Jul -2025</v>
      </c>
      <c r="H853" s="12"/>
    </row>
    <row r="854" spans="1:8" x14ac:dyDescent="0.3">
      <c r="A854" s="2">
        <v>880941</v>
      </c>
      <c r="B854" s="3" t="s">
        <v>356</v>
      </c>
      <c r="C854" s="3" t="s">
        <v>1010</v>
      </c>
      <c r="D854" s="3" t="s">
        <v>209</v>
      </c>
      <c r="E854" s="3" t="s">
        <v>357</v>
      </c>
      <c r="F854" s="1">
        <v>45868</v>
      </c>
      <c r="G854" t="str">
        <f t="shared" si="14"/>
        <v>Jul -2025</v>
      </c>
      <c r="H854" s="12"/>
    </row>
    <row r="855" spans="1:8" x14ac:dyDescent="0.3">
      <c r="A855" s="2">
        <v>881294</v>
      </c>
      <c r="B855" s="3" t="s">
        <v>358</v>
      </c>
      <c r="C855" s="3" t="s">
        <v>1010</v>
      </c>
      <c r="D855" s="3" t="s">
        <v>1259</v>
      </c>
      <c r="E855" s="3" t="s">
        <v>15</v>
      </c>
      <c r="F855" s="1">
        <v>45868</v>
      </c>
      <c r="G855" t="str">
        <f t="shared" si="14"/>
        <v>Jul -2025</v>
      </c>
      <c r="H855" s="12"/>
    </row>
    <row r="856" spans="1:8" x14ac:dyDescent="0.3">
      <c r="A856" s="2">
        <v>883137</v>
      </c>
      <c r="B856" s="3" t="s">
        <v>359</v>
      </c>
      <c r="C856" s="3" t="s">
        <v>1010</v>
      </c>
      <c r="D856" s="3" t="s">
        <v>1259</v>
      </c>
      <c r="E856" s="3" t="s">
        <v>15</v>
      </c>
      <c r="F856" s="1">
        <v>45868</v>
      </c>
      <c r="G856" t="str">
        <f t="shared" si="14"/>
        <v>Jul -2025</v>
      </c>
      <c r="H856" s="12"/>
    </row>
    <row r="857" spans="1:8" x14ac:dyDescent="0.3">
      <c r="A857" s="2">
        <v>883293</v>
      </c>
      <c r="B857" s="3" t="s">
        <v>360</v>
      </c>
      <c r="C857" s="3" t="s">
        <v>1010</v>
      </c>
      <c r="D857" s="3" t="s">
        <v>1259</v>
      </c>
      <c r="E857" s="3" t="s">
        <v>15</v>
      </c>
      <c r="F857" s="1">
        <v>45868</v>
      </c>
      <c r="G857" t="str">
        <f t="shared" si="14"/>
        <v>Jul -2025</v>
      </c>
      <c r="H857" s="12"/>
    </row>
    <row r="858" spans="1:8" x14ac:dyDescent="0.3">
      <c r="A858" s="2">
        <v>100003327</v>
      </c>
      <c r="B858" s="3" t="s">
        <v>909</v>
      </c>
      <c r="C858" s="3" t="s">
        <v>1011</v>
      </c>
      <c r="D858" s="3" t="s">
        <v>972</v>
      </c>
      <c r="E858" s="3" t="s">
        <v>970</v>
      </c>
      <c r="F858" s="1">
        <v>45868</v>
      </c>
      <c r="G858" t="str">
        <f t="shared" si="14"/>
        <v>Jul -2025</v>
      </c>
      <c r="H858" s="12"/>
    </row>
    <row r="859" spans="1:8" x14ac:dyDescent="0.3">
      <c r="A859" s="2">
        <v>100003351</v>
      </c>
      <c r="B859" s="3" t="s">
        <v>910</v>
      </c>
      <c r="C859" s="3" t="s">
        <v>1011</v>
      </c>
      <c r="D859" s="3" t="s">
        <v>972</v>
      </c>
      <c r="E859" s="3" t="s">
        <v>967</v>
      </c>
      <c r="F859" s="1">
        <v>45868</v>
      </c>
      <c r="G859" t="str">
        <f t="shared" si="14"/>
        <v>Jul -2025</v>
      </c>
      <c r="H859" s="12"/>
    </row>
    <row r="860" spans="1:8" x14ac:dyDescent="0.3">
      <c r="A860" s="2">
        <v>100003345</v>
      </c>
      <c r="B860" s="3" t="s">
        <v>911</v>
      </c>
      <c r="C860" s="3" t="s">
        <v>1011</v>
      </c>
      <c r="D860" s="3" t="s">
        <v>972</v>
      </c>
      <c r="E860" s="3" t="s">
        <v>967</v>
      </c>
      <c r="F860" s="1">
        <v>45868</v>
      </c>
      <c r="G860" t="str">
        <f t="shared" si="14"/>
        <v>Jul -2025</v>
      </c>
      <c r="H860" s="12"/>
    </row>
    <row r="861" spans="1:8" x14ac:dyDescent="0.3">
      <c r="A861" s="2">
        <v>100003296</v>
      </c>
      <c r="B861" s="3" t="s">
        <v>912</v>
      </c>
      <c r="C861" s="3" t="s">
        <v>1011</v>
      </c>
      <c r="D861" s="3" t="s">
        <v>973</v>
      </c>
      <c r="E861" s="3" t="s">
        <v>966</v>
      </c>
      <c r="F861" s="1">
        <v>45868</v>
      </c>
      <c r="G861" t="str">
        <f t="shared" si="14"/>
        <v>Jul -2025</v>
      </c>
      <c r="H861" s="12"/>
    </row>
    <row r="862" spans="1:8" x14ac:dyDescent="0.3">
      <c r="A862" s="2">
        <v>100003379</v>
      </c>
      <c r="B862" s="3" t="s">
        <v>913</v>
      </c>
      <c r="C862" s="3" t="s">
        <v>1011</v>
      </c>
      <c r="D862" s="3" t="s">
        <v>973</v>
      </c>
      <c r="E862" s="3" t="s">
        <v>966</v>
      </c>
      <c r="F862" s="1">
        <v>45868</v>
      </c>
      <c r="G862" t="str">
        <f t="shared" si="14"/>
        <v>Jul -2025</v>
      </c>
      <c r="H862" s="12"/>
    </row>
    <row r="863" spans="1:8" x14ac:dyDescent="0.3">
      <c r="A863" s="2">
        <v>100003380</v>
      </c>
      <c r="B863" s="3" t="s">
        <v>914</v>
      </c>
      <c r="C863" s="3" t="s">
        <v>1011</v>
      </c>
      <c r="D863" s="3" t="s">
        <v>973</v>
      </c>
      <c r="E863" s="3" t="s">
        <v>966</v>
      </c>
      <c r="F863" s="1">
        <v>45868</v>
      </c>
      <c r="G863" t="str">
        <f t="shared" si="14"/>
        <v>Jul -2025</v>
      </c>
      <c r="H863" s="12"/>
    </row>
    <row r="864" spans="1:8" x14ac:dyDescent="0.3">
      <c r="A864" s="2">
        <v>883293</v>
      </c>
      <c r="B864" s="3" t="s">
        <v>360</v>
      </c>
      <c r="C864" s="3" t="s">
        <v>1010</v>
      </c>
      <c r="D864" s="3" t="s">
        <v>1259</v>
      </c>
      <c r="E864" s="3" t="s">
        <v>15</v>
      </c>
      <c r="F864" s="1">
        <v>45869</v>
      </c>
      <c r="G864" t="str">
        <f t="shared" si="14"/>
        <v>Jul -2025</v>
      </c>
      <c r="H864" s="12"/>
    </row>
    <row r="865" spans="1:8" x14ac:dyDescent="0.3">
      <c r="A865" s="2">
        <v>883194</v>
      </c>
      <c r="B865" s="3" t="s">
        <v>361</v>
      </c>
      <c r="C865" s="3" t="s">
        <v>1010</v>
      </c>
      <c r="D865" s="3" t="s">
        <v>1259</v>
      </c>
      <c r="E865" s="3" t="s">
        <v>15</v>
      </c>
      <c r="F865" s="1">
        <v>45869</v>
      </c>
      <c r="G865" t="str">
        <f t="shared" si="14"/>
        <v>Jul -2025</v>
      </c>
      <c r="H865" s="12"/>
    </row>
    <row r="866" spans="1:8" x14ac:dyDescent="0.3">
      <c r="A866" s="2">
        <v>879236</v>
      </c>
      <c r="B866" s="3" t="s">
        <v>362</v>
      </c>
      <c r="C866" s="3" t="s">
        <v>1010</v>
      </c>
      <c r="D866" s="3" t="s">
        <v>10</v>
      </c>
      <c r="E866" s="3" t="s">
        <v>211</v>
      </c>
      <c r="F866" s="1">
        <v>45869</v>
      </c>
      <c r="G866" t="str">
        <f t="shared" si="14"/>
        <v>Jul -2025</v>
      </c>
      <c r="H866" s="12"/>
    </row>
    <row r="867" spans="1:8" x14ac:dyDescent="0.3">
      <c r="A867" s="2">
        <v>881150</v>
      </c>
      <c r="B867" s="3" t="s">
        <v>363</v>
      </c>
      <c r="C867" s="3" t="s">
        <v>1010</v>
      </c>
      <c r="D867" s="3" t="s">
        <v>364</v>
      </c>
      <c r="E867" s="3" t="s">
        <v>15</v>
      </c>
      <c r="F867" s="1">
        <v>45869</v>
      </c>
      <c r="G867" t="str">
        <f t="shared" si="14"/>
        <v>Jul -2025</v>
      </c>
      <c r="H867" s="12"/>
    </row>
    <row r="868" spans="1:8" x14ac:dyDescent="0.3">
      <c r="A868" s="2">
        <v>881294</v>
      </c>
      <c r="B868" s="3" t="s">
        <v>358</v>
      </c>
      <c r="C868" s="3" t="s">
        <v>1010</v>
      </c>
      <c r="D868" s="3" t="s">
        <v>1259</v>
      </c>
      <c r="E868" s="3" t="s">
        <v>15</v>
      </c>
      <c r="F868" s="1">
        <v>45869</v>
      </c>
      <c r="G868" t="str">
        <f t="shared" si="14"/>
        <v>Jul -2025</v>
      </c>
      <c r="H868" s="12"/>
    </row>
    <row r="869" spans="1:8" x14ac:dyDescent="0.3">
      <c r="A869" s="2">
        <v>882770</v>
      </c>
      <c r="B869" s="3" t="s">
        <v>365</v>
      </c>
      <c r="C869" s="3" t="s">
        <v>1010</v>
      </c>
      <c r="D869" s="3" t="s">
        <v>364</v>
      </c>
      <c r="E869" s="3" t="s">
        <v>15</v>
      </c>
      <c r="F869" s="1">
        <v>45869</v>
      </c>
      <c r="G869" t="str">
        <f t="shared" si="14"/>
        <v>Jul -2025</v>
      </c>
      <c r="H869" s="12"/>
    </row>
    <row r="870" spans="1:8" x14ac:dyDescent="0.3">
      <c r="A870" s="2">
        <v>882832</v>
      </c>
      <c r="B870" s="3" t="s">
        <v>366</v>
      </c>
      <c r="C870" s="3" t="s">
        <v>1010</v>
      </c>
      <c r="D870" s="3" t="s">
        <v>364</v>
      </c>
      <c r="E870" s="3" t="s">
        <v>15</v>
      </c>
      <c r="F870" s="1">
        <v>45869</v>
      </c>
      <c r="G870" t="str">
        <f t="shared" si="14"/>
        <v>Jul -2025</v>
      </c>
      <c r="H870" s="12"/>
    </row>
    <row r="871" spans="1:8" x14ac:dyDescent="0.3">
      <c r="A871" s="2">
        <v>900004062</v>
      </c>
      <c r="B871" s="3" t="s">
        <v>367</v>
      </c>
      <c r="C871" s="3" t="s">
        <v>1010</v>
      </c>
      <c r="D871" s="3" t="s">
        <v>143</v>
      </c>
      <c r="E871" s="3" t="s">
        <v>322</v>
      </c>
      <c r="F871" s="1">
        <v>45869</v>
      </c>
      <c r="G871" t="str">
        <f t="shared" si="14"/>
        <v>Jul -2025</v>
      </c>
      <c r="H871" s="12"/>
    </row>
    <row r="872" spans="1:8" x14ac:dyDescent="0.3">
      <c r="A872" s="2">
        <v>883338</v>
      </c>
      <c r="B872" s="3" t="s">
        <v>368</v>
      </c>
      <c r="C872" s="3" t="s">
        <v>1010</v>
      </c>
      <c r="D872" s="3" t="s">
        <v>364</v>
      </c>
      <c r="E872" s="3" t="s">
        <v>15</v>
      </c>
      <c r="F872" s="1">
        <v>45869</v>
      </c>
      <c r="G872" t="str">
        <f t="shared" si="14"/>
        <v>Jul -2025</v>
      </c>
      <c r="H872" s="12"/>
    </row>
    <row r="873" spans="1:8" x14ac:dyDescent="0.3">
      <c r="A873" s="2">
        <v>883404</v>
      </c>
      <c r="B873" s="3" t="s">
        <v>369</v>
      </c>
      <c r="C873" s="3" t="s">
        <v>1010</v>
      </c>
      <c r="D873" s="3" t="s">
        <v>364</v>
      </c>
      <c r="E873" s="3" t="s">
        <v>15</v>
      </c>
      <c r="F873" s="1">
        <v>45869</v>
      </c>
      <c r="G873" t="str">
        <f t="shared" si="14"/>
        <v>Jul -2025</v>
      </c>
      <c r="H873" s="12"/>
    </row>
    <row r="874" spans="1:8" x14ac:dyDescent="0.3">
      <c r="A874" s="2">
        <v>885095</v>
      </c>
      <c r="B874" s="3" t="s">
        <v>353</v>
      </c>
      <c r="C874" s="3" t="s">
        <v>1010</v>
      </c>
      <c r="D874" s="3" t="s">
        <v>209</v>
      </c>
      <c r="E874" s="3" t="s">
        <v>228</v>
      </c>
      <c r="F874" s="1">
        <v>45869</v>
      </c>
      <c r="G874" t="str">
        <f t="shared" si="14"/>
        <v>Jul -2025</v>
      </c>
      <c r="H874" s="12"/>
    </row>
    <row r="875" spans="1:8" x14ac:dyDescent="0.3">
      <c r="A875" s="2">
        <v>885111</v>
      </c>
      <c r="B875" s="3" t="s">
        <v>353</v>
      </c>
      <c r="C875" s="3" t="s">
        <v>1010</v>
      </c>
      <c r="D875" s="3" t="s">
        <v>209</v>
      </c>
      <c r="E875" s="3" t="s">
        <v>228</v>
      </c>
      <c r="F875" s="1">
        <v>45869</v>
      </c>
      <c r="G875" t="str">
        <f t="shared" si="14"/>
        <v>Jul -2025</v>
      </c>
      <c r="H875" s="12"/>
    </row>
    <row r="876" spans="1:8" x14ac:dyDescent="0.3">
      <c r="A876" s="2">
        <v>900004082</v>
      </c>
      <c r="B876" s="3" t="s">
        <v>370</v>
      </c>
      <c r="C876" s="3" t="s">
        <v>1010</v>
      </c>
      <c r="D876" s="3" t="s">
        <v>143</v>
      </c>
      <c r="E876" s="3" t="s">
        <v>322</v>
      </c>
      <c r="F876" s="1">
        <v>45869</v>
      </c>
      <c r="G876" t="str">
        <f t="shared" si="14"/>
        <v>Jul -2025</v>
      </c>
      <c r="H876" s="12"/>
    </row>
    <row r="877" spans="1:8" x14ac:dyDescent="0.3">
      <c r="A877" s="2">
        <v>100003297</v>
      </c>
      <c r="B877" s="3" t="s">
        <v>915</v>
      </c>
      <c r="C877" s="3" t="s">
        <v>1011</v>
      </c>
      <c r="D877" s="3" t="s">
        <v>972</v>
      </c>
      <c r="E877" s="3" t="s">
        <v>983</v>
      </c>
      <c r="F877" s="1">
        <v>45869</v>
      </c>
      <c r="G877" t="str">
        <f t="shared" si="14"/>
        <v>Jul -2025</v>
      </c>
      <c r="H877" s="12"/>
    </row>
    <row r="878" spans="1:8" x14ac:dyDescent="0.3">
      <c r="A878" s="2">
        <v>100003392</v>
      </c>
      <c r="B878" s="3" t="s">
        <v>916</v>
      </c>
      <c r="C878" s="3" t="s">
        <v>1011</v>
      </c>
      <c r="D878" s="3" t="s">
        <v>972</v>
      </c>
      <c r="E878" s="3" t="s">
        <v>982</v>
      </c>
      <c r="F878" s="1">
        <v>45869</v>
      </c>
      <c r="G878" t="str">
        <f t="shared" si="14"/>
        <v>Jul -2025</v>
      </c>
      <c r="H878" s="12"/>
    </row>
    <row r="879" spans="1:8" x14ac:dyDescent="0.3">
      <c r="A879" s="2">
        <v>883231</v>
      </c>
      <c r="B879" s="3" t="s">
        <v>371</v>
      </c>
      <c r="C879" s="3" t="s">
        <v>1010</v>
      </c>
      <c r="D879" s="3" t="s">
        <v>364</v>
      </c>
      <c r="E879" s="3" t="s">
        <v>15</v>
      </c>
      <c r="F879" s="1">
        <v>45874</v>
      </c>
      <c r="G879" t="str">
        <f t="shared" si="14"/>
        <v>Aug -2025</v>
      </c>
      <c r="H879" s="12"/>
    </row>
    <row r="880" spans="1:8" x14ac:dyDescent="0.3">
      <c r="A880" s="2">
        <v>882777</v>
      </c>
      <c r="B880" s="3" t="s">
        <v>373</v>
      </c>
      <c r="C880" s="3" t="s">
        <v>1010</v>
      </c>
      <c r="D880" s="3" t="s">
        <v>364</v>
      </c>
      <c r="E880" s="3" t="s">
        <v>15</v>
      </c>
      <c r="F880" s="1">
        <v>45874</v>
      </c>
      <c r="G880" t="str">
        <f t="shared" si="14"/>
        <v>Aug -2025</v>
      </c>
      <c r="H880" s="12"/>
    </row>
    <row r="881" spans="1:8" x14ac:dyDescent="0.3">
      <c r="A881" s="2">
        <v>892475</v>
      </c>
      <c r="B881" s="3" t="s">
        <v>374</v>
      </c>
      <c r="C881" s="3" t="s">
        <v>1010</v>
      </c>
      <c r="D881" s="3" t="s">
        <v>10</v>
      </c>
      <c r="E881" s="3" t="s">
        <v>375</v>
      </c>
      <c r="F881" s="1">
        <v>45874</v>
      </c>
      <c r="G881" t="str">
        <f t="shared" si="14"/>
        <v>Aug -2025</v>
      </c>
      <c r="H881" s="12"/>
    </row>
    <row r="882" spans="1:8" x14ac:dyDescent="0.3">
      <c r="A882" s="2">
        <v>892476</v>
      </c>
      <c r="B882" s="3" t="s">
        <v>374</v>
      </c>
      <c r="C882" s="3" t="s">
        <v>1010</v>
      </c>
      <c r="D882" s="3" t="s">
        <v>10</v>
      </c>
      <c r="E882" s="3" t="s">
        <v>375</v>
      </c>
      <c r="F882" s="1">
        <v>45874</v>
      </c>
      <c r="G882" t="str">
        <f t="shared" si="14"/>
        <v>Aug -2025</v>
      </c>
      <c r="H882" s="12"/>
    </row>
    <row r="883" spans="1:8" x14ac:dyDescent="0.3">
      <c r="A883" s="2">
        <v>892477</v>
      </c>
      <c r="B883" s="3" t="s">
        <v>374</v>
      </c>
      <c r="C883" s="3" t="s">
        <v>1010</v>
      </c>
      <c r="D883" s="3" t="s">
        <v>10</v>
      </c>
      <c r="E883" s="3" t="s">
        <v>375</v>
      </c>
      <c r="F883" s="1">
        <v>45874</v>
      </c>
      <c r="G883" t="str">
        <f t="shared" si="14"/>
        <v>Aug -2025</v>
      </c>
      <c r="H883" s="12"/>
    </row>
    <row r="884" spans="1:8" x14ac:dyDescent="0.3">
      <c r="A884" s="2">
        <v>893031</v>
      </c>
      <c r="B884" s="3" t="s">
        <v>376</v>
      </c>
      <c r="C884" s="3" t="s">
        <v>1010</v>
      </c>
      <c r="D884" s="3" t="s">
        <v>10</v>
      </c>
      <c r="E884" s="3" t="s">
        <v>375</v>
      </c>
      <c r="F884" s="1">
        <v>45874</v>
      </c>
      <c r="G884" t="str">
        <f t="shared" si="14"/>
        <v>Aug -2025</v>
      </c>
      <c r="H884" s="12"/>
    </row>
    <row r="885" spans="1:8" x14ac:dyDescent="0.3">
      <c r="A885" s="2">
        <v>885581</v>
      </c>
      <c r="B885" s="3" t="s">
        <v>377</v>
      </c>
      <c r="C885" s="3" t="s">
        <v>1010</v>
      </c>
      <c r="D885" s="3" t="s">
        <v>1259</v>
      </c>
      <c r="E885" s="3" t="s">
        <v>15</v>
      </c>
      <c r="F885" s="1">
        <v>45874</v>
      </c>
      <c r="G885" t="str">
        <f t="shared" si="14"/>
        <v>Aug -2025</v>
      </c>
      <c r="H885" s="12"/>
    </row>
    <row r="886" spans="1:8" x14ac:dyDescent="0.3">
      <c r="A886" s="2">
        <v>893595</v>
      </c>
      <c r="B886" s="3" t="s">
        <v>378</v>
      </c>
      <c r="C886" s="3" t="s">
        <v>1010</v>
      </c>
      <c r="D886" s="3" t="s">
        <v>209</v>
      </c>
      <c r="E886" s="3" t="s">
        <v>225</v>
      </c>
      <c r="F886" s="1">
        <v>45874</v>
      </c>
      <c r="G886" t="str">
        <f t="shared" si="14"/>
        <v>Aug -2025</v>
      </c>
      <c r="H886" s="12"/>
    </row>
    <row r="887" spans="1:8" x14ac:dyDescent="0.3">
      <c r="A887" s="2">
        <v>879292</v>
      </c>
      <c r="B887" s="3" t="s">
        <v>379</v>
      </c>
      <c r="C887" s="3" t="s">
        <v>1010</v>
      </c>
      <c r="D887" s="3" t="s">
        <v>10</v>
      </c>
      <c r="E887" s="3" t="s">
        <v>338</v>
      </c>
      <c r="F887" s="1">
        <v>45874</v>
      </c>
      <c r="G887" t="str">
        <f t="shared" si="14"/>
        <v>Aug -2025</v>
      </c>
      <c r="H887" s="12"/>
    </row>
    <row r="888" spans="1:8" x14ac:dyDescent="0.3">
      <c r="A888" s="2">
        <v>893588</v>
      </c>
      <c r="B888" s="3" t="s">
        <v>380</v>
      </c>
      <c r="C888" s="3" t="s">
        <v>1010</v>
      </c>
      <c r="D888" s="3" t="s">
        <v>209</v>
      </c>
      <c r="E888" s="3" t="s">
        <v>228</v>
      </c>
      <c r="F888" s="1">
        <v>45874</v>
      </c>
      <c r="G888" t="str">
        <f t="shared" si="14"/>
        <v>Aug -2025</v>
      </c>
      <c r="H888" s="12"/>
    </row>
    <row r="889" spans="1:8" x14ac:dyDescent="0.3">
      <c r="A889" s="2">
        <v>893797</v>
      </c>
      <c r="B889" s="3" t="s">
        <v>381</v>
      </c>
      <c r="C889" s="3" t="s">
        <v>1010</v>
      </c>
      <c r="D889" s="3" t="s">
        <v>209</v>
      </c>
      <c r="E889" s="3" t="s">
        <v>228</v>
      </c>
      <c r="F889" s="1">
        <v>45874</v>
      </c>
      <c r="G889" t="str">
        <f t="shared" si="14"/>
        <v>Aug -2025</v>
      </c>
      <c r="H889" s="12"/>
    </row>
    <row r="890" spans="1:8" x14ac:dyDescent="0.3">
      <c r="A890" s="2">
        <v>882804</v>
      </c>
      <c r="B890" s="3" t="s">
        <v>25</v>
      </c>
      <c r="C890" s="3" t="s">
        <v>1010</v>
      </c>
      <c r="D890" s="3" t="s">
        <v>10</v>
      </c>
      <c r="E890" s="3" t="s">
        <v>338</v>
      </c>
      <c r="F890" s="1">
        <v>45874</v>
      </c>
      <c r="G890" t="str">
        <f t="shared" si="14"/>
        <v>Aug -2025</v>
      </c>
      <c r="H890" s="12"/>
    </row>
    <row r="891" spans="1:8" x14ac:dyDescent="0.3">
      <c r="A891" s="2">
        <v>900004092</v>
      </c>
      <c r="B891" s="3" t="s">
        <v>382</v>
      </c>
      <c r="C891" s="3" t="s">
        <v>1010</v>
      </c>
      <c r="D891" s="3" t="s">
        <v>143</v>
      </c>
      <c r="E891" s="3" t="s">
        <v>322</v>
      </c>
      <c r="F891" s="1">
        <v>45874</v>
      </c>
      <c r="G891" t="str">
        <f t="shared" si="14"/>
        <v>Aug -2025</v>
      </c>
      <c r="H891" s="12"/>
    </row>
    <row r="892" spans="1:8" x14ac:dyDescent="0.3">
      <c r="A892" s="2">
        <v>900003829</v>
      </c>
      <c r="B892" s="3" t="s">
        <v>383</v>
      </c>
      <c r="C892" s="3" t="s">
        <v>1010</v>
      </c>
      <c r="D892" s="3" t="s">
        <v>143</v>
      </c>
      <c r="E892" s="3" t="s">
        <v>322</v>
      </c>
      <c r="F892" s="1">
        <v>45874</v>
      </c>
      <c r="G892" t="str">
        <f t="shared" si="14"/>
        <v>Aug -2025</v>
      </c>
      <c r="H892" s="12"/>
    </row>
    <row r="893" spans="1:8" x14ac:dyDescent="0.3">
      <c r="A893" s="2">
        <v>893906</v>
      </c>
      <c r="B893" s="3" t="s">
        <v>384</v>
      </c>
      <c r="C893" s="3" t="s">
        <v>1010</v>
      </c>
      <c r="D893" s="3" t="s">
        <v>209</v>
      </c>
      <c r="E893" s="3" t="s">
        <v>357</v>
      </c>
      <c r="F893" s="1">
        <v>45874</v>
      </c>
      <c r="G893" t="str">
        <f t="shared" si="14"/>
        <v>Aug -2025</v>
      </c>
      <c r="H893" s="12"/>
    </row>
    <row r="894" spans="1:8" x14ac:dyDescent="0.3">
      <c r="A894" s="2">
        <v>900004111</v>
      </c>
      <c r="B894" s="3" t="s">
        <v>306</v>
      </c>
      <c r="C894" s="3" t="s">
        <v>1010</v>
      </c>
      <c r="D894" s="3" t="s">
        <v>143</v>
      </c>
      <c r="E894" s="3" t="s">
        <v>322</v>
      </c>
      <c r="F894" s="1">
        <v>45874</v>
      </c>
      <c r="G894" t="str">
        <f t="shared" si="14"/>
        <v>Aug -2025</v>
      </c>
      <c r="H894" s="12"/>
    </row>
    <row r="895" spans="1:8" x14ac:dyDescent="0.3">
      <c r="A895" s="2">
        <v>100003336</v>
      </c>
      <c r="B895" s="3" t="s">
        <v>917</v>
      </c>
      <c r="C895" s="3" t="s">
        <v>1011</v>
      </c>
      <c r="D895" s="3" t="s">
        <v>972</v>
      </c>
      <c r="E895" s="3" t="s">
        <v>967</v>
      </c>
      <c r="F895" s="1">
        <v>45874</v>
      </c>
      <c r="G895" t="str">
        <f t="shared" si="14"/>
        <v>Aug -2025</v>
      </c>
      <c r="H895" s="12"/>
    </row>
    <row r="896" spans="1:8" x14ac:dyDescent="0.3">
      <c r="A896" s="2">
        <v>100003410</v>
      </c>
      <c r="B896" s="3" t="s">
        <v>918</v>
      </c>
      <c r="C896" s="3" t="s">
        <v>1011</v>
      </c>
      <c r="D896" s="3" t="s">
        <v>972</v>
      </c>
      <c r="E896" s="3" t="s">
        <v>967</v>
      </c>
      <c r="F896" s="1">
        <v>45874</v>
      </c>
      <c r="G896" t="str">
        <f t="shared" si="14"/>
        <v>Aug -2025</v>
      </c>
      <c r="H896" s="12"/>
    </row>
    <row r="897" spans="1:8" x14ac:dyDescent="0.3">
      <c r="A897" s="2">
        <v>100003396</v>
      </c>
      <c r="B897" s="3" t="s">
        <v>919</v>
      </c>
      <c r="C897" s="3" t="s">
        <v>1011</v>
      </c>
      <c r="D897" s="3" t="s">
        <v>972</v>
      </c>
      <c r="E897" s="3" t="s">
        <v>981</v>
      </c>
      <c r="F897" s="1">
        <v>45874</v>
      </c>
      <c r="G897" t="str">
        <f t="shared" si="14"/>
        <v>Aug -2025</v>
      </c>
      <c r="H897" s="12"/>
    </row>
    <row r="898" spans="1:8" x14ac:dyDescent="0.3">
      <c r="A898" s="2">
        <v>100003394</v>
      </c>
      <c r="B898" s="3" t="s">
        <v>920</v>
      </c>
      <c r="C898" s="3" t="s">
        <v>1011</v>
      </c>
      <c r="D898" s="3" t="s">
        <v>972</v>
      </c>
      <c r="E898" s="3" t="s">
        <v>976</v>
      </c>
      <c r="F898" s="1">
        <v>45874</v>
      </c>
      <c r="G898" t="str">
        <f t="shared" ref="G898:G961" si="15">TEXT(F898,"mmm -YYYY")</f>
        <v>Aug -2025</v>
      </c>
      <c r="H898" s="12"/>
    </row>
    <row r="899" spans="1:8" x14ac:dyDescent="0.3">
      <c r="A899" s="2">
        <v>100003411</v>
      </c>
      <c r="B899" s="3" t="s">
        <v>921</v>
      </c>
      <c r="C899" s="3" t="s">
        <v>1011</v>
      </c>
      <c r="D899" s="3" t="s">
        <v>972</v>
      </c>
      <c r="E899" s="3" t="s">
        <v>976</v>
      </c>
      <c r="F899" s="1">
        <v>45874</v>
      </c>
      <c r="G899" t="str">
        <f t="shared" si="15"/>
        <v>Aug -2025</v>
      </c>
      <c r="H899" s="12"/>
    </row>
    <row r="900" spans="1:8" x14ac:dyDescent="0.3">
      <c r="A900" s="2">
        <v>100003424</v>
      </c>
      <c r="B900" s="3" t="s">
        <v>922</v>
      </c>
      <c r="C900" s="3" t="s">
        <v>1011</v>
      </c>
      <c r="D900" s="3" t="s">
        <v>972</v>
      </c>
      <c r="E900" s="3" t="s">
        <v>967</v>
      </c>
      <c r="F900" s="1">
        <v>45874</v>
      </c>
      <c r="G900" t="str">
        <f t="shared" si="15"/>
        <v>Aug -2025</v>
      </c>
      <c r="H900" s="12"/>
    </row>
    <row r="901" spans="1:8" x14ac:dyDescent="0.3">
      <c r="A901" s="2">
        <v>895790</v>
      </c>
      <c r="B901" s="3" t="s">
        <v>356</v>
      </c>
      <c r="C901" s="3" t="s">
        <v>1010</v>
      </c>
      <c r="D901" s="3" t="s">
        <v>209</v>
      </c>
      <c r="E901" s="3" t="s">
        <v>357</v>
      </c>
      <c r="F901" s="1">
        <v>45875</v>
      </c>
      <c r="G901" t="str">
        <f t="shared" si="15"/>
        <v>Aug -2025</v>
      </c>
      <c r="H901" s="12"/>
    </row>
    <row r="902" spans="1:8" x14ac:dyDescent="0.3">
      <c r="A902" s="2">
        <v>895882</v>
      </c>
      <c r="B902" s="3" t="s">
        <v>356</v>
      </c>
      <c r="C902" s="3" t="s">
        <v>1010</v>
      </c>
      <c r="D902" s="3" t="s">
        <v>209</v>
      </c>
      <c r="E902" s="3" t="s">
        <v>357</v>
      </c>
      <c r="F902" s="1">
        <v>45875</v>
      </c>
      <c r="G902" t="str">
        <f t="shared" si="15"/>
        <v>Aug -2025</v>
      </c>
      <c r="H902" s="12"/>
    </row>
    <row r="903" spans="1:8" x14ac:dyDescent="0.3">
      <c r="A903" s="2">
        <v>895885</v>
      </c>
      <c r="B903" s="3" t="s">
        <v>356</v>
      </c>
      <c r="C903" s="3" t="s">
        <v>1010</v>
      </c>
      <c r="D903" s="3" t="s">
        <v>209</v>
      </c>
      <c r="E903" s="3" t="s">
        <v>357</v>
      </c>
      <c r="F903" s="1">
        <v>45875</v>
      </c>
      <c r="G903" t="str">
        <f t="shared" si="15"/>
        <v>Aug -2025</v>
      </c>
      <c r="H903" s="12"/>
    </row>
    <row r="904" spans="1:8" x14ac:dyDescent="0.3">
      <c r="A904" s="2">
        <v>895883</v>
      </c>
      <c r="B904" s="3" t="s">
        <v>356</v>
      </c>
      <c r="C904" s="3" t="s">
        <v>1010</v>
      </c>
      <c r="D904" s="3" t="s">
        <v>209</v>
      </c>
      <c r="E904" s="3" t="s">
        <v>357</v>
      </c>
      <c r="F904" s="1">
        <v>45875</v>
      </c>
      <c r="G904" t="str">
        <f t="shared" si="15"/>
        <v>Aug -2025</v>
      </c>
      <c r="H904" s="12"/>
    </row>
    <row r="905" spans="1:8" x14ac:dyDescent="0.3">
      <c r="A905" s="2">
        <v>895884</v>
      </c>
      <c r="B905" s="3" t="s">
        <v>356</v>
      </c>
      <c r="C905" s="3" t="s">
        <v>1010</v>
      </c>
      <c r="D905" s="3" t="s">
        <v>209</v>
      </c>
      <c r="E905" s="3" t="s">
        <v>357</v>
      </c>
      <c r="F905" s="1">
        <v>45875</v>
      </c>
      <c r="G905" t="str">
        <f t="shared" si="15"/>
        <v>Aug -2025</v>
      </c>
      <c r="H905" s="12"/>
    </row>
    <row r="906" spans="1:8" x14ac:dyDescent="0.3">
      <c r="A906" s="2">
        <v>895881</v>
      </c>
      <c r="B906" s="3" t="s">
        <v>356</v>
      </c>
      <c r="C906" s="3" t="s">
        <v>1010</v>
      </c>
      <c r="D906" s="3" t="s">
        <v>209</v>
      </c>
      <c r="E906" s="3" t="s">
        <v>357</v>
      </c>
      <c r="F906" s="1">
        <v>45875</v>
      </c>
      <c r="G906" t="str">
        <f t="shared" si="15"/>
        <v>Aug -2025</v>
      </c>
      <c r="H906" s="12"/>
    </row>
    <row r="907" spans="1:8" x14ac:dyDescent="0.3">
      <c r="A907" s="2">
        <v>895697</v>
      </c>
      <c r="B907" s="3" t="s">
        <v>385</v>
      </c>
      <c r="C907" s="3" t="s">
        <v>1010</v>
      </c>
      <c r="D907" s="3" t="s">
        <v>209</v>
      </c>
      <c r="E907" s="3" t="s">
        <v>225</v>
      </c>
      <c r="F907" s="1">
        <v>45875</v>
      </c>
      <c r="G907" t="str">
        <f t="shared" si="15"/>
        <v>Aug -2025</v>
      </c>
      <c r="H907" s="12"/>
    </row>
    <row r="908" spans="1:8" x14ac:dyDescent="0.3">
      <c r="A908" s="2">
        <v>895898</v>
      </c>
      <c r="B908" s="3" t="s">
        <v>41</v>
      </c>
      <c r="C908" s="3" t="s">
        <v>1010</v>
      </c>
      <c r="D908" s="3" t="s">
        <v>10</v>
      </c>
      <c r="E908" s="3" t="s">
        <v>211</v>
      </c>
      <c r="F908" s="1">
        <v>45875</v>
      </c>
      <c r="G908" t="str">
        <f t="shared" si="15"/>
        <v>Aug -2025</v>
      </c>
      <c r="H908" s="12"/>
    </row>
    <row r="909" spans="1:8" x14ac:dyDescent="0.3">
      <c r="A909" s="2">
        <v>895890</v>
      </c>
      <c r="B909" s="3" t="s">
        <v>41</v>
      </c>
      <c r="C909" s="3" t="s">
        <v>1010</v>
      </c>
      <c r="D909" s="3" t="s">
        <v>10</v>
      </c>
      <c r="E909" s="3" t="s">
        <v>211</v>
      </c>
      <c r="F909" s="1">
        <v>45875</v>
      </c>
      <c r="G909" t="str">
        <f t="shared" si="15"/>
        <v>Aug -2025</v>
      </c>
      <c r="H909" s="12"/>
    </row>
    <row r="910" spans="1:8" x14ac:dyDescent="0.3">
      <c r="A910" s="2">
        <v>895947</v>
      </c>
      <c r="B910" s="3" t="s">
        <v>41</v>
      </c>
      <c r="C910" s="3" t="s">
        <v>1010</v>
      </c>
      <c r="D910" s="3" t="s">
        <v>10</v>
      </c>
      <c r="E910" s="3" t="s">
        <v>211</v>
      </c>
      <c r="F910" s="1">
        <v>45875</v>
      </c>
      <c r="G910" t="str">
        <f t="shared" si="15"/>
        <v>Aug -2025</v>
      </c>
      <c r="H910" s="12"/>
    </row>
    <row r="911" spans="1:8" x14ac:dyDescent="0.3">
      <c r="A911" s="2">
        <v>898014</v>
      </c>
      <c r="B911" s="3" t="s">
        <v>397</v>
      </c>
      <c r="C911" s="3" t="s">
        <v>1010</v>
      </c>
      <c r="D911" s="3" t="s">
        <v>209</v>
      </c>
      <c r="E911" s="3" t="s">
        <v>196</v>
      </c>
      <c r="F911" s="1">
        <v>45875</v>
      </c>
      <c r="G911" t="str">
        <f t="shared" si="15"/>
        <v>Aug -2025</v>
      </c>
      <c r="H911" s="12"/>
    </row>
    <row r="912" spans="1:8" x14ac:dyDescent="0.3">
      <c r="A912" s="2">
        <v>898049</v>
      </c>
      <c r="B912" s="3" t="s">
        <v>398</v>
      </c>
      <c r="C912" s="3" t="s">
        <v>1010</v>
      </c>
      <c r="D912" s="3" t="s">
        <v>209</v>
      </c>
      <c r="E912" s="3" t="s">
        <v>196</v>
      </c>
      <c r="F912" s="1">
        <v>45875</v>
      </c>
      <c r="G912" t="str">
        <f t="shared" si="15"/>
        <v>Aug -2025</v>
      </c>
      <c r="H912" s="12"/>
    </row>
    <row r="913" spans="1:8" x14ac:dyDescent="0.3">
      <c r="A913" s="2">
        <v>100003423</v>
      </c>
      <c r="B913" s="3" t="s">
        <v>923</v>
      </c>
      <c r="C913" s="3" t="s">
        <v>1011</v>
      </c>
      <c r="D913" s="3" t="s">
        <v>972</v>
      </c>
      <c r="E913" s="3" t="s">
        <v>982</v>
      </c>
      <c r="F913" s="1">
        <v>45875</v>
      </c>
      <c r="G913" t="str">
        <f t="shared" si="15"/>
        <v>Aug -2025</v>
      </c>
      <c r="H913" s="12"/>
    </row>
    <row r="914" spans="1:8" x14ac:dyDescent="0.3">
      <c r="A914" s="2">
        <v>100003396</v>
      </c>
      <c r="B914" s="3" t="s">
        <v>919</v>
      </c>
      <c r="C914" s="3" t="s">
        <v>1011</v>
      </c>
      <c r="D914" s="3" t="s">
        <v>972</v>
      </c>
      <c r="E914" s="3" t="s">
        <v>982</v>
      </c>
      <c r="F914" s="1">
        <v>45875</v>
      </c>
      <c r="G914" t="str">
        <f t="shared" si="15"/>
        <v>Aug -2025</v>
      </c>
      <c r="H914" s="12"/>
    </row>
    <row r="915" spans="1:8" x14ac:dyDescent="0.3">
      <c r="A915" s="2">
        <v>100003440</v>
      </c>
      <c r="B915" s="3" t="s">
        <v>924</v>
      </c>
      <c r="C915" s="3" t="s">
        <v>1011</v>
      </c>
      <c r="D915" s="3" t="s">
        <v>972</v>
      </c>
      <c r="E915" s="3" t="s">
        <v>969</v>
      </c>
      <c r="F915" s="1">
        <v>45875</v>
      </c>
      <c r="G915" t="str">
        <f t="shared" si="15"/>
        <v>Aug -2025</v>
      </c>
      <c r="H915" s="12"/>
    </row>
    <row r="916" spans="1:8" x14ac:dyDescent="0.3">
      <c r="A916" s="2">
        <v>897555</v>
      </c>
      <c r="B916" s="3" t="s">
        <v>386</v>
      </c>
      <c r="C916" s="3" t="s">
        <v>1010</v>
      </c>
      <c r="D916" s="3" t="s">
        <v>209</v>
      </c>
      <c r="E916" s="3" t="s">
        <v>196</v>
      </c>
      <c r="F916" s="1">
        <v>45876</v>
      </c>
      <c r="G916" t="str">
        <f t="shared" si="15"/>
        <v>Aug -2025</v>
      </c>
      <c r="H916" s="12"/>
    </row>
    <row r="917" spans="1:8" x14ac:dyDescent="0.3">
      <c r="A917" s="2">
        <v>898045</v>
      </c>
      <c r="B917" s="3" t="s">
        <v>387</v>
      </c>
      <c r="C917" s="3" t="s">
        <v>1010</v>
      </c>
      <c r="D917" s="3" t="s">
        <v>209</v>
      </c>
      <c r="E917" s="3" t="s">
        <v>196</v>
      </c>
      <c r="F917" s="1">
        <v>45876</v>
      </c>
      <c r="G917" t="str">
        <f t="shared" si="15"/>
        <v>Aug -2025</v>
      </c>
      <c r="H917" s="12"/>
    </row>
    <row r="918" spans="1:8" x14ac:dyDescent="0.3">
      <c r="A918" s="2">
        <v>897998</v>
      </c>
      <c r="B918" s="3" t="s">
        <v>388</v>
      </c>
      <c r="C918" s="3" t="s">
        <v>1010</v>
      </c>
      <c r="D918" s="3" t="s">
        <v>209</v>
      </c>
      <c r="E918" s="3" t="s">
        <v>196</v>
      </c>
      <c r="F918" s="1">
        <v>45876</v>
      </c>
      <c r="G918" t="str">
        <f t="shared" si="15"/>
        <v>Aug -2025</v>
      </c>
      <c r="H918" s="12"/>
    </row>
    <row r="919" spans="1:8" x14ac:dyDescent="0.3">
      <c r="A919" s="2">
        <v>898062</v>
      </c>
      <c r="B919" s="3" t="s">
        <v>389</v>
      </c>
      <c r="C919" s="3" t="s">
        <v>1010</v>
      </c>
      <c r="D919" s="3" t="s">
        <v>209</v>
      </c>
      <c r="E919" s="3" t="s">
        <v>196</v>
      </c>
      <c r="F919" s="1">
        <v>45876</v>
      </c>
      <c r="G919" t="str">
        <f t="shared" si="15"/>
        <v>Aug -2025</v>
      </c>
      <c r="H919" s="12"/>
    </row>
    <row r="920" spans="1:8" x14ac:dyDescent="0.3">
      <c r="A920" s="2">
        <v>898047</v>
      </c>
      <c r="B920" s="3" t="s">
        <v>390</v>
      </c>
      <c r="C920" s="3" t="s">
        <v>1010</v>
      </c>
      <c r="D920" s="3" t="s">
        <v>209</v>
      </c>
      <c r="E920" s="3" t="s">
        <v>196</v>
      </c>
      <c r="F920" s="1">
        <v>45876</v>
      </c>
      <c r="G920" t="str">
        <f t="shared" si="15"/>
        <v>Aug -2025</v>
      </c>
      <c r="H920" s="12"/>
    </row>
    <row r="921" spans="1:8" x14ac:dyDescent="0.3">
      <c r="A921" s="2">
        <v>898013</v>
      </c>
      <c r="B921" s="3" t="s">
        <v>391</v>
      </c>
      <c r="C921" s="3" t="s">
        <v>1010</v>
      </c>
      <c r="D921" s="3" t="s">
        <v>209</v>
      </c>
      <c r="E921" s="3" t="s">
        <v>196</v>
      </c>
      <c r="F921" s="1">
        <v>45876</v>
      </c>
      <c r="G921" t="str">
        <f t="shared" si="15"/>
        <v>Aug -2025</v>
      </c>
      <c r="H921" s="12"/>
    </row>
    <row r="922" spans="1:8" x14ac:dyDescent="0.3">
      <c r="A922" s="2">
        <v>900004030</v>
      </c>
      <c r="B922" s="3" t="s">
        <v>392</v>
      </c>
      <c r="C922" s="3" t="s">
        <v>1010</v>
      </c>
      <c r="D922" s="3" t="s">
        <v>143</v>
      </c>
      <c r="E922" s="3" t="s">
        <v>322</v>
      </c>
      <c r="F922" s="1">
        <v>45876</v>
      </c>
      <c r="G922" t="str">
        <f t="shared" si="15"/>
        <v>Aug -2025</v>
      </c>
      <c r="H922" s="12"/>
    </row>
    <row r="923" spans="1:8" x14ac:dyDescent="0.3">
      <c r="A923" s="2">
        <v>898185</v>
      </c>
      <c r="B923" s="3" t="s">
        <v>393</v>
      </c>
      <c r="C923" s="3" t="s">
        <v>1010</v>
      </c>
      <c r="D923" s="3" t="s">
        <v>364</v>
      </c>
      <c r="E923" s="3" t="s">
        <v>210</v>
      </c>
      <c r="F923" s="1">
        <v>45876</v>
      </c>
      <c r="G923" t="str">
        <f t="shared" si="15"/>
        <v>Aug -2025</v>
      </c>
      <c r="H923" s="12"/>
    </row>
    <row r="924" spans="1:8" x14ac:dyDescent="0.3">
      <c r="A924" s="2">
        <v>25206</v>
      </c>
      <c r="B924" s="3" t="s">
        <v>394</v>
      </c>
      <c r="C924" s="3" t="s">
        <v>1010</v>
      </c>
      <c r="D924" s="3" t="s">
        <v>364</v>
      </c>
      <c r="E924" s="3" t="s">
        <v>395</v>
      </c>
      <c r="F924" s="1">
        <v>45876</v>
      </c>
      <c r="G924" t="str">
        <f t="shared" si="15"/>
        <v>Aug -2025</v>
      </c>
      <c r="H924" s="12"/>
    </row>
    <row r="925" spans="1:8" x14ac:dyDescent="0.3">
      <c r="A925" s="2">
        <v>898125</v>
      </c>
      <c r="B925" s="3" t="s">
        <v>396</v>
      </c>
      <c r="C925" s="3" t="s">
        <v>1010</v>
      </c>
      <c r="D925" s="3" t="s">
        <v>209</v>
      </c>
      <c r="E925" s="3" t="s">
        <v>210</v>
      </c>
      <c r="F925" s="1">
        <v>45876</v>
      </c>
      <c r="G925" t="str">
        <f t="shared" si="15"/>
        <v>Aug -2025</v>
      </c>
      <c r="H925" s="12"/>
    </row>
    <row r="926" spans="1:8" x14ac:dyDescent="0.3">
      <c r="A926" s="2">
        <v>900004012</v>
      </c>
      <c r="B926" s="3" t="s">
        <v>399</v>
      </c>
      <c r="C926" s="3" t="s">
        <v>1010</v>
      </c>
      <c r="D926" s="3" t="s">
        <v>143</v>
      </c>
      <c r="E926" s="3" t="s">
        <v>322</v>
      </c>
      <c r="F926" s="1">
        <v>45876</v>
      </c>
      <c r="G926" t="str">
        <f t="shared" si="15"/>
        <v>Aug -2025</v>
      </c>
      <c r="H926" s="12"/>
    </row>
    <row r="927" spans="1:8" x14ac:dyDescent="0.3">
      <c r="A927" s="2">
        <v>898275</v>
      </c>
      <c r="B927" s="3" t="s">
        <v>400</v>
      </c>
      <c r="C927" s="3" t="s">
        <v>1010</v>
      </c>
      <c r="D927" s="3" t="s">
        <v>209</v>
      </c>
      <c r="E927" s="3" t="s">
        <v>210</v>
      </c>
      <c r="F927" s="1">
        <v>45876</v>
      </c>
      <c r="G927" t="str">
        <f t="shared" si="15"/>
        <v>Aug -2025</v>
      </c>
      <c r="H927" s="12"/>
    </row>
    <row r="928" spans="1:8" x14ac:dyDescent="0.3">
      <c r="A928" s="2">
        <v>898500</v>
      </c>
      <c r="B928" s="3" t="s">
        <v>401</v>
      </c>
      <c r="C928" s="3" t="s">
        <v>1010</v>
      </c>
      <c r="D928" s="3" t="s">
        <v>209</v>
      </c>
      <c r="E928" s="3" t="s">
        <v>375</v>
      </c>
      <c r="F928" s="1">
        <v>45876</v>
      </c>
      <c r="G928" t="str">
        <f t="shared" si="15"/>
        <v>Aug -2025</v>
      </c>
      <c r="H928" s="12"/>
    </row>
    <row r="929" spans="1:8" x14ac:dyDescent="0.3">
      <c r="A929" s="2">
        <v>898542</v>
      </c>
      <c r="B929" s="3" t="s">
        <v>401</v>
      </c>
      <c r="C929" s="3" t="s">
        <v>1010</v>
      </c>
      <c r="D929" s="3" t="s">
        <v>209</v>
      </c>
      <c r="E929" s="3" t="s">
        <v>375</v>
      </c>
      <c r="F929" s="1">
        <v>45876</v>
      </c>
      <c r="G929" t="str">
        <f t="shared" si="15"/>
        <v>Aug -2025</v>
      </c>
      <c r="H929" s="12"/>
    </row>
    <row r="930" spans="1:8" x14ac:dyDescent="0.3">
      <c r="A930" s="2">
        <v>898549</v>
      </c>
      <c r="B930" s="3" t="s">
        <v>401</v>
      </c>
      <c r="C930" s="3" t="s">
        <v>1010</v>
      </c>
      <c r="D930" s="3" t="s">
        <v>209</v>
      </c>
      <c r="E930" s="3" t="s">
        <v>375</v>
      </c>
      <c r="F930" s="1">
        <v>45876</v>
      </c>
      <c r="G930" t="str">
        <f t="shared" si="15"/>
        <v>Aug -2025</v>
      </c>
      <c r="H930" s="12"/>
    </row>
    <row r="931" spans="1:8" x14ac:dyDescent="0.3">
      <c r="A931" s="2">
        <v>100003440</v>
      </c>
      <c r="B931" s="3" t="s">
        <v>924</v>
      </c>
      <c r="C931" s="3" t="s">
        <v>1011</v>
      </c>
      <c r="D931" s="3" t="s">
        <v>972</v>
      </c>
      <c r="E931" s="3" t="s">
        <v>969</v>
      </c>
      <c r="F931" s="1">
        <v>45876</v>
      </c>
      <c r="G931" t="str">
        <f t="shared" si="15"/>
        <v>Aug -2025</v>
      </c>
      <c r="H931" s="12"/>
    </row>
    <row r="932" spans="1:8" x14ac:dyDescent="0.3">
      <c r="A932" s="2">
        <v>100003416</v>
      </c>
      <c r="B932" s="3" t="s">
        <v>925</v>
      </c>
      <c r="C932" s="3" t="s">
        <v>1011</v>
      </c>
      <c r="D932" s="3" t="s">
        <v>972</v>
      </c>
      <c r="E932" s="3" t="s">
        <v>976</v>
      </c>
      <c r="F932" s="1">
        <v>45876</v>
      </c>
      <c r="G932" t="str">
        <f t="shared" si="15"/>
        <v>Aug -2025</v>
      </c>
      <c r="H932" s="12"/>
    </row>
    <row r="933" spans="1:8" x14ac:dyDescent="0.3">
      <c r="A933" s="2">
        <v>100003441</v>
      </c>
      <c r="B933" s="3" t="s">
        <v>926</v>
      </c>
      <c r="C933" s="3" t="s">
        <v>1011</v>
      </c>
      <c r="D933" s="3" t="s">
        <v>972</v>
      </c>
      <c r="E933" s="3" t="s">
        <v>968</v>
      </c>
      <c r="F933" s="1">
        <v>45876</v>
      </c>
      <c r="G933" t="str">
        <f t="shared" si="15"/>
        <v>Aug -2025</v>
      </c>
      <c r="H933" s="12"/>
    </row>
    <row r="934" spans="1:8" x14ac:dyDescent="0.3">
      <c r="A934" s="2">
        <v>100003427</v>
      </c>
      <c r="B934" s="3" t="s">
        <v>927</v>
      </c>
      <c r="C934" s="3" t="s">
        <v>1011</v>
      </c>
      <c r="D934" s="3" t="s">
        <v>972</v>
      </c>
      <c r="E934" s="3" t="s">
        <v>984</v>
      </c>
      <c r="F934" s="1">
        <v>45876</v>
      </c>
      <c r="G934" t="str">
        <f t="shared" si="15"/>
        <v>Aug -2025</v>
      </c>
      <c r="H934" s="12"/>
    </row>
    <row r="935" spans="1:8" x14ac:dyDescent="0.3">
      <c r="A935" s="2">
        <v>100003431</v>
      </c>
      <c r="B935" s="3" t="s">
        <v>928</v>
      </c>
      <c r="C935" s="3" t="s">
        <v>1011</v>
      </c>
      <c r="D935" s="3" t="s">
        <v>972</v>
      </c>
      <c r="E935" s="3" t="s">
        <v>967</v>
      </c>
      <c r="F935" s="1">
        <v>45876</v>
      </c>
      <c r="G935" t="str">
        <f t="shared" si="15"/>
        <v>Aug -2025</v>
      </c>
      <c r="H935" s="12"/>
    </row>
    <row r="936" spans="1:8" x14ac:dyDescent="0.3">
      <c r="A936" s="2">
        <v>100003432</v>
      </c>
      <c r="B936" s="3" t="s">
        <v>929</v>
      </c>
      <c r="C936" s="3" t="s">
        <v>1011</v>
      </c>
      <c r="D936" s="3" t="s">
        <v>972</v>
      </c>
      <c r="E936" s="3" t="s">
        <v>967</v>
      </c>
      <c r="F936" s="1">
        <v>45876</v>
      </c>
      <c r="G936" t="str">
        <f t="shared" si="15"/>
        <v>Aug -2025</v>
      </c>
      <c r="H936" s="12"/>
    </row>
    <row r="937" spans="1:8" x14ac:dyDescent="0.3">
      <c r="A937" s="2">
        <v>900004150</v>
      </c>
      <c r="B937" s="3" t="s">
        <v>402</v>
      </c>
      <c r="C937" s="3" t="s">
        <v>1010</v>
      </c>
      <c r="D937" s="3" t="s">
        <v>209</v>
      </c>
      <c r="E937" s="3" t="s">
        <v>322</v>
      </c>
      <c r="F937" s="1">
        <v>45877</v>
      </c>
      <c r="G937" t="str">
        <f t="shared" si="15"/>
        <v>Aug -2025</v>
      </c>
      <c r="H937" s="12"/>
    </row>
    <row r="938" spans="1:8" x14ac:dyDescent="0.3">
      <c r="A938" s="2">
        <v>893572</v>
      </c>
      <c r="B938" s="3" t="s">
        <v>403</v>
      </c>
      <c r="C938" s="3" t="s">
        <v>1010</v>
      </c>
      <c r="D938" s="3" t="s">
        <v>10</v>
      </c>
      <c r="E938" s="3" t="s">
        <v>338</v>
      </c>
      <c r="F938" s="1">
        <v>45877</v>
      </c>
      <c r="G938" t="str">
        <f t="shared" si="15"/>
        <v>Aug -2025</v>
      </c>
      <c r="H938" s="12"/>
    </row>
    <row r="939" spans="1:8" x14ac:dyDescent="0.3">
      <c r="A939" s="2">
        <v>898143</v>
      </c>
      <c r="B939" s="3" t="s">
        <v>29</v>
      </c>
      <c r="C939" s="3" t="s">
        <v>1010</v>
      </c>
      <c r="D939" s="3" t="s">
        <v>10</v>
      </c>
      <c r="E939" s="3" t="s">
        <v>338</v>
      </c>
      <c r="F939" s="1">
        <v>45877</v>
      </c>
      <c r="G939" t="str">
        <f t="shared" si="15"/>
        <v>Aug -2025</v>
      </c>
      <c r="H939" s="12"/>
    </row>
    <row r="940" spans="1:8" x14ac:dyDescent="0.3">
      <c r="A940" s="2">
        <v>900996</v>
      </c>
      <c r="B940" s="3" t="s">
        <v>404</v>
      </c>
      <c r="C940" s="3" t="s">
        <v>1010</v>
      </c>
      <c r="D940" s="3" t="s">
        <v>364</v>
      </c>
      <c r="E940" s="3" t="s">
        <v>15</v>
      </c>
      <c r="F940" s="1">
        <v>45877</v>
      </c>
      <c r="G940" t="str">
        <f t="shared" si="15"/>
        <v>Aug -2025</v>
      </c>
      <c r="H940" s="12"/>
    </row>
    <row r="941" spans="1:8" x14ac:dyDescent="0.3">
      <c r="A941" s="2">
        <v>900928</v>
      </c>
      <c r="B941" s="3" t="s">
        <v>405</v>
      </c>
      <c r="C941" s="3" t="s">
        <v>1010</v>
      </c>
      <c r="D941" s="3" t="s">
        <v>209</v>
      </c>
      <c r="E941" s="3" t="s">
        <v>225</v>
      </c>
      <c r="F941" s="1">
        <v>45877</v>
      </c>
      <c r="G941" t="str">
        <f t="shared" si="15"/>
        <v>Aug -2025</v>
      </c>
      <c r="H941" s="12"/>
    </row>
    <row r="942" spans="1:8" x14ac:dyDescent="0.3">
      <c r="A942" s="2">
        <v>900975</v>
      </c>
      <c r="B942" s="3" t="s">
        <v>406</v>
      </c>
      <c r="C942" s="3" t="s">
        <v>1010</v>
      </c>
      <c r="D942" s="3" t="s">
        <v>1259</v>
      </c>
      <c r="E942" s="3" t="s">
        <v>15</v>
      </c>
      <c r="F942" s="1">
        <v>45877</v>
      </c>
      <c r="G942" t="str">
        <f t="shared" si="15"/>
        <v>Aug -2025</v>
      </c>
      <c r="H942" s="12"/>
    </row>
    <row r="943" spans="1:8" x14ac:dyDescent="0.3">
      <c r="A943" s="2">
        <v>900980</v>
      </c>
      <c r="B943" s="3" t="s">
        <v>407</v>
      </c>
      <c r="C943" s="3" t="s">
        <v>1010</v>
      </c>
      <c r="D943" s="3" t="s">
        <v>10</v>
      </c>
      <c r="E943" s="3" t="s">
        <v>338</v>
      </c>
      <c r="F943" s="1">
        <v>45877</v>
      </c>
      <c r="G943" t="str">
        <f t="shared" si="15"/>
        <v>Aug -2025</v>
      </c>
      <c r="H943" s="12"/>
    </row>
    <row r="944" spans="1:8" x14ac:dyDescent="0.3">
      <c r="A944" s="2">
        <v>100003450</v>
      </c>
      <c r="B944" s="3" t="s">
        <v>930</v>
      </c>
      <c r="C944" s="3" t="s">
        <v>1011</v>
      </c>
      <c r="D944" s="3" t="s">
        <v>972</v>
      </c>
      <c r="E944" s="3" t="s">
        <v>983</v>
      </c>
      <c r="F944" s="1">
        <v>45877</v>
      </c>
      <c r="G944" t="str">
        <f t="shared" si="15"/>
        <v>Aug -2025</v>
      </c>
      <c r="H944" s="12"/>
    </row>
    <row r="945" spans="1:8" x14ac:dyDescent="0.3">
      <c r="A945" s="2">
        <v>100003433</v>
      </c>
      <c r="B945" s="3" t="s">
        <v>931</v>
      </c>
      <c r="C945" s="3" t="s">
        <v>1011</v>
      </c>
      <c r="D945" s="3" t="s">
        <v>972</v>
      </c>
      <c r="E945" s="3" t="s">
        <v>967</v>
      </c>
      <c r="F945" s="1">
        <v>45877</v>
      </c>
      <c r="G945" t="str">
        <f t="shared" si="15"/>
        <v>Aug -2025</v>
      </c>
      <c r="H945" s="12"/>
    </row>
    <row r="946" spans="1:8" x14ac:dyDescent="0.3">
      <c r="A946" s="2">
        <v>900996</v>
      </c>
      <c r="B946" s="3" t="s">
        <v>404</v>
      </c>
      <c r="C946" s="3" t="s">
        <v>1010</v>
      </c>
      <c r="D946" s="3" t="s">
        <v>364</v>
      </c>
      <c r="E946" s="3" t="s">
        <v>15</v>
      </c>
      <c r="F946" s="1">
        <v>45880</v>
      </c>
      <c r="G946" t="str">
        <f t="shared" si="15"/>
        <v>Aug -2025</v>
      </c>
      <c r="H946" s="12"/>
    </row>
    <row r="947" spans="1:8" x14ac:dyDescent="0.3">
      <c r="A947" s="2">
        <v>900004163</v>
      </c>
      <c r="B947" s="3" t="s">
        <v>408</v>
      </c>
      <c r="C947" s="3" t="s">
        <v>1010</v>
      </c>
      <c r="D947" s="3" t="s">
        <v>209</v>
      </c>
      <c r="E947" s="3" t="s">
        <v>322</v>
      </c>
      <c r="F947" s="1">
        <v>45880</v>
      </c>
      <c r="G947" t="str">
        <f t="shared" si="15"/>
        <v>Aug -2025</v>
      </c>
      <c r="H947" s="12"/>
    </row>
    <row r="948" spans="1:8" x14ac:dyDescent="0.3">
      <c r="A948" s="2">
        <v>893543</v>
      </c>
      <c r="B948" s="3" t="s">
        <v>409</v>
      </c>
      <c r="C948" s="3" t="s">
        <v>1010</v>
      </c>
      <c r="D948" s="3" t="s">
        <v>10</v>
      </c>
      <c r="E948" s="3" t="s">
        <v>338</v>
      </c>
      <c r="F948" s="1">
        <v>45880</v>
      </c>
      <c r="G948" t="str">
        <f t="shared" si="15"/>
        <v>Aug -2025</v>
      </c>
      <c r="H948" s="12"/>
    </row>
    <row r="949" spans="1:8" x14ac:dyDescent="0.3">
      <c r="A949" s="2">
        <v>898164</v>
      </c>
      <c r="B949" s="3" t="s">
        <v>410</v>
      </c>
      <c r="C949" s="3" t="s">
        <v>1010</v>
      </c>
      <c r="D949" s="3" t="s">
        <v>10</v>
      </c>
      <c r="E949" s="3" t="s">
        <v>338</v>
      </c>
      <c r="F949" s="1">
        <v>45880</v>
      </c>
      <c r="G949" t="str">
        <f t="shared" si="15"/>
        <v>Aug -2025</v>
      </c>
      <c r="H949" s="12"/>
    </row>
    <row r="950" spans="1:8" x14ac:dyDescent="0.3">
      <c r="A950" s="2">
        <v>901210</v>
      </c>
      <c r="B950" s="3" t="s">
        <v>47</v>
      </c>
      <c r="C950" s="3" t="s">
        <v>1010</v>
      </c>
      <c r="D950" s="3" t="s">
        <v>10</v>
      </c>
      <c r="E950" s="3" t="s">
        <v>211</v>
      </c>
      <c r="F950" s="1">
        <v>45880</v>
      </c>
      <c r="G950" t="str">
        <f t="shared" si="15"/>
        <v>Aug -2025</v>
      </c>
      <c r="H950" s="12"/>
    </row>
    <row r="951" spans="1:8" x14ac:dyDescent="0.3">
      <c r="A951" s="2">
        <v>900004186</v>
      </c>
      <c r="B951" s="3" t="s">
        <v>411</v>
      </c>
      <c r="C951" s="3" t="s">
        <v>1010</v>
      </c>
      <c r="D951" s="3" t="s">
        <v>143</v>
      </c>
      <c r="E951" s="3" t="s">
        <v>322</v>
      </c>
      <c r="F951" s="1">
        <v>45880</v>
      </c>
      <c r="G951" t="str">
        <f t="shared" si="15"/>
        <v>Aug -2025</v>
      </c>
      <c r="H951" s="12"/>
    </row>
    <row r="952" spans="1:8" x14ac:dyDescent="0.3">
      <c r="A952" s="2">
        <v>900004147</v>
      </c>
      <c r="B952" s="3" t="s">
        <v>412</v>
      </c>
      <c r="C952" s="3" t="s">
        <v>1010</v>
      </c>
      <c r="D952" s="3" t="s">
        <v>209</v>
      </c>
      <c r="E952" s="3" t="s">
        <v>322</v>
      </c>
      <c r="F952" s="1">
        <v>45880</v>
      </c>
      <c r="G952" t="str">
        <f t="shared" si="15"/>
        <v>Aug -2025</v>
      </c>
      <c r="H952" s="12"/>
    </row>
    <row r="953" spans="1:8" x14ac:dyDescent="0.3">
      <c r="A953" s="2">
        <v>100003445</v>
      </c>
      <c r="B953" s="3" t="s">
        <v>932</v>
      </c>
      <c r="C953" s="3" t="s">
        <v>1011</v>
      </c>
      <c r="D953" s="3" t="s">
        <v>972</v>
      </c>
      <c r="E953" s="3" t="s">
        <v>967</v>
      </c>
      <c r="F953" s="1">
        <v>45880</v>
      </c>
      <c r="G953" t="str">
        <f t="shared" si="15"/>
        <v>Aug -2025</v>
      </c>
      <c r="H953" s="12"/>
    </row>
    <row r="954" spans="1:8" x14ac:dyDescent="0.3">
      <c r="A954" s="2">
        <v>100003461</v>
      </c>
      <c r="B954" s="3" t="s">
        <v>933</v>
      </c>
      <c r="C954" s="3" t="s">
        <v>1011</v>
      </c>
      <c r="D954" s="3" t="s">
        <v>972</v>
      </c>
      <c r="E954" s="3" t="s">
        <v>978</v>
      </c>
      <c r="F954" s="1">
        <v>45880</v>
      </c>
      <c r="G954" t="str">
        <f t="shared" si="15"/>
        <v>Aug -2025</v>
      </c>
      <c r="H954" s="12"/>
    </row>
    <row r="955" spans="1:8" x14ac:dyDescent="0.3">
      <c r="A955" s="2">
        <v>100003435</v>
      </c>
      <c r="B955" s="3" t="s">
        <v>934</v>
      </c>
      <c r="C955" s="3" t="s">
        <v>1011</v>
      </c>
      <c r="D955" s="3" t="s">
        <v>972</v>
      </c>
      <c r="E955" s="3" t="s">
        <v>985</v>
      </c>
      <c r="F955" s="1">
        <v>45880</v>
      </c>
      <c r="G955" t="str">
        <f t="shared" si="15"/>
        <v>Aug -2025</v>
      </c>
      <c r="H955" s="12"/>
    </row>
    <row r="956" spans="1:8" x14ac:dyDescent="0.3">
      <c r="A956" s="2">
        <v>900980</v>
      </c>
      <c r="B956" s="3" t="s">
        <v>407</v>
      </c>
      <c r="C956" s="3" t="s">
        <v>1010</v>
      </c>
      <c r="D956" s="3" t="s">
        <v>10</v>
      </c>
      <c r="E956" s="3" t="s">
        <v>338</v>
      </c>
      <c r="F956" s="1">
        <v>45881</v>
      </c>
      <c r="G956" t="str">
        <f t="shared" si="15"/>
        <v>Aug -2025</v>
      </c>
      <c r="H956" s="12"/>
    </row>
    <row r="957" spans="1:8" x14ac:dyDescent="0.3">
      <c r="A957" s="2">
        <v>907298</v>
      </c>
      <c r="B957" s="3" t="s">
        <v>413</v>
      </c>
      <c r="C957" s="3" t="s">
        <v>1010</v>
      </c>
      <c r="D957" s="3" t="s">
        <v>209</v>
      </c>
      <c r="E957" s="3" t="s">
        <v>196</v>
      </c>
      <c r="F957" s="1">
        <v>45881</v>
      </c>
      <c r="G957" t="str">
        <f t="shared" si="15"/>
        <v>Aug -2025</v>
      </c>
      <c r="H957" s="12"/>
    </row>
    <row r="958" spans="1:8" x14ac:dyDescent="0.3">
      <c r="A958" s="2">
        <v>907299</v>
      </c>
      <c r="B958" s="3" t="s">
        <v>413</v>
      </c>
      <c r="C958" s="3" t="s">
        <v>1010</v>
      </c>
      <c r="D958" s="3" t="s">
        <v>209</v>
      </c>
      <c r="E958" s="3" t="s">
        <v>196</v>
      </c>
      <c r="F958" s="1">
        <v>45881</v>
      </c>
      <c r="G958" t="str">
        <f t="shared" si="15"/>
        <v>Aug -2025</v>
      </c>
      <c r="H958" s="12"/>
    </row>
    <row r="959" spans="1:8" x14ac:dyDescent="0.3">
      <c r="A959" s="2">
        <v>900004189</v>
      </c>
      <c r="B959" s="3" t="s">
        <v>414</v>
      </c>
      <c r="C959" s="3" t="s">
        <v>1010</v>
      </c>
      <c r="D959" s="3" t="s">
        <v>143</v>
      </c>
      <c r="E959" s="3" t="s">
        <v>322</v>
      </c>
      <c r="F959" s="1">
        <v>45881</v>
      </c>
      <c r="G959" t="str">
        <f t="shared" si="15"/>
        <v>Aug -2025</v>
      </c>
      <c r="H959" s="12"/>
    </row>
    <row r="960" spans="1:8" x14ac:dyDescent="0.3">
      <c r="A960" s="2">
        <v>900004028</v>
      </c>
      <c r="B960" s="3" t="s">
        <v>415</v>
      </c>
      <c r="C960" s="3" t="s">
        <v>1010</v>
      </c>
      <c r="D960" s="3" t="s">
        <v>143</v>
      </c>
      <c r="E960" s="3" t="s">
        <v>322</v>
      </c>
      <c r="F960" s="1">
        <v>45881</v>
      </c>
      <c r="G960" t="str">
        <f t="shared" si="15"/>
        <v>Aug -2025</v>
      </c>
      <c r="H960" s="12"/>
    </row>
    <row r="961" spans="1:8" x14ac:dyDescent="0.3">
      <c r="A961" s="2">
        <v>900004148</v>
      </c>
      <c r="B961" s="3" t="s">
        <v>321</v>
      </c>
      <c r="C961" s="3" t="s">
        <v>1010</v>
      </c>
      <c r="D961" s="3" t="s">
        <v>143</v>
      </c>
      <c r="E961" s="3" t="s">
        <v>322</v>
      </c>
      <c r="F961" s="1">
        <v>45881</v>
      </c>
      <c r="G961" t="str">
        <f t="shared" si="15"/>
        <v>Aug -2025</v>
      </c>
      <c r="H961" s="12"/>
    </row>
    <row r="962" spans="1:8" x14ac:dyDescent="0.3">
      <c r="A962" s="2">
        <v>900004151</v>
      </c>
      <c r="B962" s="3" t="s">
        <v>416</v>
      </c>
      <c r="C962" s="3" t="s">
        <v>1010</v>
      </c>
      <c r="D962" s="3" t="s">
        <v>209</v>
      </c>
      <c r="E962" s="3" t="s">
        <v>322</v>
      </c>
      <c r="F962" s="1">
        <v>45881</v>
      </c>
      <c r="G962" t="str">
        <f t="shared" ref="G962:G1025" si="16">TEXT(F962,"mmm -YYYY")</f>
        <v>Aug -2025</v>
      </c>
      <c r="H962" s="12"/>
    </row>
    <row r="963" spans="1:8" x14ac:dyDescent="0.3">
      <c r="A963" s="2">
        <v>200002259</v>
      </c>
      <c r="B963" s="3" t="s">
        <v>417</v>
      </c>
      <c r="C963" s="3" t="s">
        <v>1010</v>
      </c>
      <c r="D963" s="3" t="s">
        <v>192</v>
      </c>
      <c r="E963" s="3" t="s">
        <v>418</v>
      </c>
      <c r="F963" s="1">
        <v>45881</v>
      </c>
      <c r="G963" t="str">
        <f t="shared" si="16"/>
        <v>Aug -2025</v>
      </c>
      <c r="H963" s="12"/>
    </row>
    <row r="964" spans="1:8" x14ac:dyDescent="0.3">
      <c r="A964" s="2">
        <v>200002271</v>
      </c>
      <c r="B964" s="3" t="s">
        <v>419</v>
      </c>
      <c r="C964" s="3" t="s">
        <v>1010</v>
      </c>
      <c r="D964" s="3" t="s">
        <v>192</v>
      </c>
      <c r="E964" s="3" t="s">
        <v>418</v>
      </c>
      <c r="F964" s="1">
        <v>45881</v>
      </c>
      <c r="G964" t="str">
        <f t="shared" si="16"/>
        <v>Aug -2025</v>
      </c>
      <c r="H964" s="12"/>
    </row>
    <row r="965" spans="1:8" x14ac:dyDescent="0.3">
      <c r="A965" s="2">
        <v>200002270</v>
      </c>
      <c r="B965" s="3" t="s">
        <v>420</v>
      </c>
      <c r="C965" s="3" t="s">
        <v>1010</v>
      </c>
      <c r="D965" s="3" t="s">
        <v>192</v>
      </c>
      <c r="E965" s="3" t="s">
        <v>418</v>
      </c>
      <c r="F965" s="1">
        <v>45881</v>
      </c>
      <c r="G965" t="str">
        <f t="shared" si="16"/>
        <v>Aug -2025</v>
      </c>
      <c r="H965" s="12"/>
    </row>
    <row r="966" spans="1:8" x14ac:dyDescent="0.3">
      <c r="A966" s="2">
        <v>907623</v>
      </c>
      <c r="B966" s="3" t="s">
        <v>421</v>
      </c>
      <c r="C966" s="3" t="s">
        <v>1010</v>
      </c>
      <c r="D966" s="3" t="s">
        <v>364</v>
      </c>
      <c r="E966" s="3" t="s">
        <v>15</v>
      </c>
      <c r="F966" s="1">
        <v>45881</v>
      </c>
      <c r="G966" t="str">
        <f t="shared" si="16"/>
        <v>Aug -2025</v>
      </c>
      <c r="H966" s="12"/>
    </row>
    <row r="967" spans="1:8" x14ac:dyDescent="0.3">
      <c r="A967" s="2">
        <v>908081</v>
      </c>
      <c r="B967" s="3" t="s">
        <v>422</v>
      </c>
      <c r="C967" s="3" t="s">
        <v>1010</v>
      </c>
      <c r="D967" s="3" t="s">
        <v>1259</v>
      </c>
      <c r="E967" s="3" t="s">
        <v>15</v>
      </c>
      <c r="F967" s="1">
        <v>45881</v>
      </c>
      <c r="G967" t="str">
        <f t="shared" si="16"/>
        <v>Aug -2025</v>
      </c>
      <c r="H967" s="12"/>
    </row>
    <row r="968" spans="1:8" x14ac:dyDescent="0.3">
      <c r="A968" s="2">
        <v>907391</v>
      </c>
      <c r="B968" s="3" t="s">
        <v>423</v>
      </c>
      <c r="C968" s="3" t="s">
        <v>1010</v>
      </c>
      <c r="D968" s="3" t="s">
        <v>209</v>
      </c>
      <c r="E968" s="3" t="s">
        <v>210</v>
      </c>
      <c r="F968" s="1">
        <v>45881</v>
      </c>
      <c r="G968" t="str">
        <f t="shared" si="16"/>
        <v>Aug -2025</v>
      </c>
      <c r="H968" s="12"/>
    </row>
    <row r="969" spans="1:8" x14ac:dyDescent="0.3">
      <c r="A969" s="2">
        <v>907856</v>
      </c>
      <c r="B969" s="3" t="s">
        <v>25</v>
      </c>
      <c r="C969" s="3" t="s">
        <v>1010</v>
      </c>
      <c r="D969" s="3" t="s">
        <v>10</v>
      </c>
      <c r="E969" s="3" t="s">
        <v>338</v>
      </c>
      <c r="F969" s="1">
        <v>45881</v>
      </c>
      <c r="G969" t="str">
        <f t="shared" si="16"/>
        <v>Aug -2025</v>
      </c>
      <c r="H969" s="12"/>
    </row>
    <row r="970" spans="1:8" x14ac:dyDescent="0.3">
      <c r="A970" s="2">
        <v>100003406</v>
      </c>
      <c r="B970" s="3" t="s">
        <v>935</v>
      </c>
      <c r="C970" s="3" t="s">
        <v>1011</v>
      </c>
      <c r="D970" s="3" t="s">
        <v>972</v>
      </c>
      <c r="E970" s="3" t="s">
        <v>967</v>
      </c>
      <c r="F970" s="1">
        <v>45881</v>
      </c>
      <c r="G970" t="str">
        <f t="shared" si="16"/>
        <v>Aug -2025</v>
      </c>
      <c r="H970" s="12"/>
    </row>
    <row r="971" spans="1:8" x14ac:dyDescent="0.3">
      <c r="A971" s="2">
        <v>100003405</v>
      </c>
      <c r="B971" s="3" t="s">
        <v>936</v>
      </c>
      <c r="C971" s="3" t="s">
        <v>1011</v>
      </c>
      <c r="D971" s="3" t="s">
        <v>972</v>
      </c>
      <c r="E971" s="3" t="s">
        <v>967</v>
      </c>
      <c r="F971" s="1">
        <v>45881</v>
      </c>
      <c r="G971" t="str">
        <f t="shared" si="16"/>
        <v>Aug -2025</v>
      </c>
      <c r="H971" s="12"/>
    </row>
    <row r="972" spans="1:8" x14ac:dyDescent="0.3">
      <c r="A972" s="2">
        <v>907391</v>
      </c>
      <c r="B972" s="3" t="s">
        <v>423</v>
      </c>
      <c r="C972" s="3" t="s">
        <v>1010</v>
      </c>
      <c r="D972" s="3" t="s">
        <v>209</v>
      </c>
      <c r="E972" s="3" t="s">
        <v>210</v>
      </c>
      <c r="F972" s="1">
        <v>45882</v>
      </c>
      <c r="G972" t="str">
        <f t="shared" si="16"/>
        <v>Aug -2025</v>
      </c>
      <c r="H972" s="12"/>
    </row>
    <row r="973" spans="1:8" x14ac:dyDescent="0.3">
      <c r="A973" s="2">
        <v>907856</v>
      </c>
      <c r="B973" s="3" t="s">
        <v>25</v>
      </c>
      <c r="C973" s="3" t="s">
        <v>1010</v>
      </c>
      <c r="D973" s="3" t="s">
        <v>10</v>
      </c>
      <c r="E973" s="3" t="s">
        <v>338</v>
      </c>
      <c r="F973" s="1">
        <v>45882</v>
      </c>
      <c r="G973" t="str">
        <f t="shared" si="16"/>
        <v>Aug -2025</v>
      </c>
      <c r="H973" s="12"/>
    </row>
    <row r="974" spans="1:8" x14ac:dyDescent="0.3">
      <c r="A974" s="2">
        <v>909496</v>
      </c>
      <c r="B974" s="3" t="s">
        <v>424</v>
      </c>
      <c r="C974" s="3" t="s">
        <v>1010</v>
      </c>
      <c r="D974" s="3" t="s">
        <v>1259</v>
      </c>
      <c r="E974" s="3" t="s">
        <v>15</v>
      </c>
      <c r="F974" s="1">
        <v>45882</v>
      </c>
      <c r="G974" t="str">
        <f t="shared" si="16"/>
        <v>Aug -2025</v>
      </c>
      <c r="H974" s="12"/>
    </row>
    <row r="975" spans="1:8" x14ac:dyDescent="0.3">
      <c r="A975" s="2">
        <v>909730</v>
      </c>
      <c r="B975" s="3" t="s">
        <v>425</v>
      </c>
      <c r="C975" s="3" t="s">
        <v>1010</v>
      </c>
      <c r="D975" s="3" t="s">
        <v>10</v>
      </c>
      <c r="E975" s="3" t="s">
        <v>338</v>
      </c>
      <c r="F975" s="1">
        <v>45882</v>
      </c>
      <c r="G975" t="str">
        <f t="shared" si="16"/>
        <v>Aug -2025</v>
      </c>
      <c r="H975" s="12"/>
    </row>
    <row r="976" spans="1:8" x14ac:dyDescent="0.3">
      <c r="A976" s="2">
        <v>909743</v>
      </c>
      <c r="B976" s="3" t="s">
        <v>47</v>
      </c>
      <c r="C976" s="3" t="s">
        <v>1010</v>
      </c>
      <c r="D976" s="3" t="s">
        <v>10</v>
      </c>
      <c r="E976" s="3" t="s">
        <v>211</v>
      </c>
      <c r="F976" s="1">
        <v>45882</v>
      </c>
      <c r="G976" t="str">
        <f t="shared" si="16"/>
        <v>Aug -2025</v>
      </c>
      <c r="H976" s="12"/>
    </row>
    <row r="977" spans="1:8" x14ac:dyDescent="0.3">
      <c r="A977" s="2">
        <v>909870</v>
      </c>
      <c r="B977" s="3" t="s">
        <v>426</v>
      </c>
      <c r="C977" s="3" t="s">
        <v>1010</v>
      </c>
      <c r="D977" s="3" t="s">
        <v>364</v>
      </c>
      <c r="E977" s="3" t="s">
        <v>210</v>
      </c>
      <c r="F977" s="1">
        <v>45882</v>
      </c>
      <c r="G977" t="str">
        <f t="shared" si="16"/>
        <v>Aug -2025</v>
      </c>
      <c r="H977" s="12"/>
    </row>
    <row r="978" spans="1:8" x14ac:dyDescent="0.3">
      <c r="A978" s="2">
        <v>909833</v>
      </c>
      <c r="B978" s="3" t="s">
        <v>427</v>
      </c>
      <c r="C978" s="3" t="s">
        <v>1010</v>
      </c>
      <c r="D978" s="3" t="s">
        <v>209</v>
      </c>
      <c r="E978" s="3" t="s">
        <v>228</v>
      </c>
      <c r="F978" s="1">
        <v>45882</v>
      </c>
      <c r="G978" t="str">
        <f t="shared" si="16"/>
        <v>Aug -2025</v>
      </c>
      <c r="H978" s="12"/>
    </row>
    <row r="979" spans="1:8" x14ac:dyDescent="0.3">
      <c r="A979" s="2">
        <v>909716</v>
      </c>
      <c r="B979" s="3" t="s">
        <v>235</v>
      </c>
      <c r="C979" s="3" t="s">
        <v>1010</v>
      </c>
      <c r="D979" s="3" t="s">
        <v>227</v>
      </c>
      <c r="E979" s="3" t="s">
        <v>228</v>
      </c>
      <c r="F979" s="1">
        <v>45882</v>
      </c>
      <c r="G979" t="str">
        <f t="shared" si="16"/>
        <v>Aug -2025</v>
      </c>
      <c r="H979" s="12"/>
    </row>
    <row r="980" spans="1:8" x14ac:dyDescent="0.3">
      <c r="A980" s="2">
        <v>100003437</v>
      </c>
      <c r="B980" s="3" t="s">
        <v>937</v>
      </c>
      <c r="C980" s="3" t="s">
        <v>1011</v>
      </c>
      <c r="D980" s="3" t="s">
        <v>972</v>
      </c>
      <c r="E980" s="3" t="s">
        <v>982</v>
      </c>
      <c r="F980" s="1">
        <v>45882</v>
      </c>
      <c r="G980" t="str">
        <f t="shared" si="16"/>
        <v>Aug -2025</v>
      </c>
      <c r="H980" s="12"/>
    </row>
    <row r="981" spans="1:8" x14ac:dyDescent="0.3">
      <c r="A981" s="2">
        <v>100003464</v>
      </c>
      <c r="B981" s="3" t="s">
        <v>938</v>
      </c>
      <c r="C981" s="3" t="s">
        <v>1011</v>
      </c>
      <c r="D981" s="3" t="s">
        <v>972</v>
      </c>
      <c r="E981" s="3" t="s">
        <v>984</v>
      </c>
      <c r="F981" s="1">
        <v>45882</v>
      </c>
      <c r="G981" t="str">
        <f t="shared" si="16"/>
        <v>Aug -2025</v>
      </c>
      <c r="H981" s="12"/>
    </row>
    <row r="982" spans="1:8" x14ac:dyDescent="0.3">
      <c r="A982" s="2">
        <v>100003455</v>
      </c>
      <c r="B982" s="3" t="s">
        <v>939</v>
      </c>
      <c r="C982" s="3" t="s">
        <v>1011</v>
      </c>
      <c r="D982" s="3" t="s">
        <v>972</v>
      </c>
      <c r="E982" s="3" t="s">
        <v>976</v>
      </c>
      <c r="F982" s="1">
        <v>45882</v>
      </c>
      <c r="G982" t="str">
        <f t="shared" si="16"/>
        <v>Aug -2025</v>
      </c>
      <c r="H982" s="12"/>
    </row>
    <row r="983" spans="1:8" x14ac:dyDescent="0.3">
      <c r="A983" s="2">
        <v>909879</v>
      </c>
      <c r="B983" s="3" t="s">
        <v>428</v>
      </c>
      <c r="C983" s="3" t="s">
        <v>1010</v>
      </c>
      <c r="D983" s="3" t="s">
        <v>364</v>
      </c>
      <c r="E983" s="3" t="s">
        <v>15</v>
      </c>
      <c r="F983" s="1">
        <v>45883</v>
      </c>
      <c r="G983" t="str">
        <f t="shared" si="16"/>
        <v>Aug -2025</v>
      </c>
      <c r="H983" s="12"/>
    </row>
    <row r="984" spans="1:8" x14ac:dyDescent="0.3">
      <c r="A984" s="2">
        <v>910450</v>
      </c>
      <c r="B984" s="3" t="s">
        <v>429</v>
      </c>
      <c r="C984" s="3" t="s">
        <v>1010</v>
      </c>
      <c r="D984" s="3" t="s">
        <v>1259</v>
      </c>
      <c r="E984" s="3" t="s">
        <v>15</v>
      </c>
      <c r="F984" s="1">
        <v>45883</v>
      </c>
      <c r="G984" t="str">
        <f t="shared" si="16"/>
        <v>Aug -2025</v>
      </c>
      <c r="H984" s="12"/>
    </row>
    <row r="985" spans="1:8" x14ac:dyDescent="0.3">
      <c r="A985" s="2">
        <v>200002278</v>
      </c>
      <c r="B985" s="3" t="s">
        <v>430</v>
      </c>
      <c r="C985" s="3" t="s">
        <v>1010</v>
      </c>
      <c r="D985" s="3" t="s">
        <v>192</v>
      </c>
      <c r="E985" s="3" t="s">
        <v>418</v>
      </c>
      <c r="F985" s="1">
        <v>45883</v>
      </c>
      <c r="G985" t="str">
        <f t="shared" si="16"/>
        <v>Aug -2025</v>
      </c>
      <c r="H985" s="12"/>
    </row>
    <row r="986" spans="1:8" x14ac:dyDescent="0.3">
      <c r="A986" s="2">
        <v>200002277</v>
      </c>
      <c r="B986" s="3" t="s">
        <v>431</v>
      </c>
      <c r="C986" s="3" t="s">
        <v>1010</v>
      </c>
      <c r="D986" s="3" t="s">
        <v>192</v>
      </c>
      <c r="E986" s="3" t="s">
        <v>418</v>
      </c>
      <c r="F986" s="1">
        <v>45883</v>
      </c>
      <c r="G986" t="str">
        <f t="shared" si="16"/>
        <v>Aug -2025</v>
      </c>
      <c r="H986" s="12"/>
    </row>
    <row r="987" spans="1:8" x14ac:dyDescent="0.3">
      <c r="A987" s="2">
        <v>911058</v>
      </c>
      <c r="B987" s="3" t="s">
        <v>432</v>
      </c>
      <c r="C987" s="3" t="s">
        <v>1010</v>
      </c>
      <c r="D987" s="3" t="s">
        <v>1259</v>
      </c>
      <c r="E987" s="3" t="s">
        <v>15</v>
      </c>
      <c r="F987" s="1">
        <v>45883</v>
      </c>
      <c r="G987" t="str">
        <f t="shared" si="16"/>
        <v>Aug -2025</v>
      </c>
      <c r="H987" s="12"/>
    </row>
    <row r="988" spans="1:8" x14ac:dyDescent="0.3">
      <c r="A988" s="2">
        <v>911523</v>
      </c>
      <c r="B988" s="3" t="s">
        <v>433</v>
      </c>
      <c r="C988" s="3" t="s">
        <v>1010</v>
      </c>
      <c r="D988" s="3" t="s">
        <v>1259</v>
      </c>
      <c r="E988" s="3" t="s">
        <v>15</v>
      </c>
      <c r="F988" s="1">
        <v>45883</v>
      </c>
      <c r="G988" t="str">
        <f t="shared" si="16"/>
        <v>Aug -2025</v>
      </c>
      <c r="H988" s="12"/>
    </row>
    <row r="989" spans="1:8" x14ac:dyDescent="0.3">
      <c r="A989" s="2">
        <v>911670</v>
      </c>
      <c r="B989" s="3" t="s">
        <v>434</v>
      </c>
      <c r="C989" s="3" t="s">
        <v>1010</v>
      </c>
      <c r="D989" s="3" t="s">
        <v>10</v>
      </c>
      <c r="E989" s="3" t="s">
        <v>435</v>
      </c>
      <c r="F989" s="1">
        <v>45883</v>
      </c>
      <c r="G989" t="str">
        <f t="shared" si="16"/>
        <v>Aug -2025</v>
      </c>
      <c r="H989" s="12"/>
    </row>
    <row r="990" spans="1:8" x14ac:dyDescent="0.3">
      <c r="A990" s="2">
        <v>911673</v>
      </c>
      <c r="B990" s="3" t="s">
        <v>436</v>
      </c>
      <c r="C990" s="3" t="s">
        <v>1010</v>
      </c>
      <c r="D990" s="3" t="s">
        <v>10</v>
      </c>
      <c r="E990" s="3" t="s">
        <v>435</v>
      </c>
      <c r="F990" s="1">
        <v>45883</v>
      </c>
      <c r="G990" t="str">
        <f t="shared" si="16"/>
        <v>Aug -2025</v>
      </c>
      <c r="H990" s="12"/>
    </row>
    <row r="991" spans="1:8" x14ac:dyDescent="0.3">
      <c r="A991" s="2">
        <v>900003238</v>
      </c>
      <c r="B991" s="3" t="s">
        <v>437</v>
      </c>
      <c r="C991" s="3" t="s">
        <v>1010</v>
      </c>
      <c r="D991" s="3" t="s">
        <v>143</v>
      </c>
      <c r="E991" s="3" t="s">
        <v>322</v>
      </c>
      <c r="F991" s="1">
        <v>45883</v>
      </c>
      <c r="G991" t="str">
        <f t="shared" si="16"/>
        <v>Aug -2025</v>
      </c>
      <c r="H991" s="12"/>
    </row>
    <row r="992" spans="1:8" x14ac:dyDescent="0.3">
      <c r="A992" s="2">
        <v>100003522</v>
      </c>
      <c r="B992" s="3" t="s">
        <v>940</v>
      </c>
      <c r="C992" s="3" t="s">
        <v>1011</v>
      </c>
      <c r="D992" s="3" t="s">
        <v>972</v>
      </c>
      <c r="E992" s="3" t="s">
        <v>984</v>
      </c>
      <c r="F992" s="1">
        <v>45883</v>
      </c>
      <c r="G992" t="str">
        <f t="shared" si="16"/>
        <v>Aug -2025</v>
      </c>
      <c r="H992" s="12"/>
    </row>
    <row r="993" spans="1:8" x14ac:dyDescent="0.3">
      <c r="A993" s="2">
        <v>100003489</v>
      </c>
      <c r="B993" s="3" t="s">
        <v>941</v>
      </c>
      <c r="C993" s="3" t="s">
        <v>1011</v>
      </c>
      <c r="D993" s="3" t="s">
        <v>972</v>
      </c>
      <c r="E993" s="3" t="s">
        <v>967</v>
      </c>
      <c r="F993" s="1">
        <v>45883</v>
      </c>
      <c r="G993" t="str">
        <f t="shared" si="16"/>
        <v>Aug -2025</v>
      </c>
      <c r="H993" s="12"/>
    </row>
    <row r="994" spans="1:8" x14ac:dyDescent="0.3">
      <c r="A994" s="2">
        <v>100003510</v>
      </c>
      <c r="B994" s="3" t="s">
        <v>941</v>
      </c>
      <c r="C994" s="3" t="s">
        <v>1011</v>
      </c>
      <c r="D994" s="3" t="s">
        <v>972</v>
      </c>
      <c r="E994" s="3" t="s">
        <v>967</v>
      </c>
      <c r="F994" s="1">
        <v>45883</v>
      </c>
      <c r="G994" t="str">
        <f t="shared" si="16"/>
        <v>Aug -2025</v>
      </c>
      <c r="H994" s="12"/>
    </row>
    <row r="995" spans="1:8" x14ac:dyDescent="0.3">
      <c r="A995" s="2">
        <v>911058</v>
      </c>
      <c r="B995" s="3" t="s">
        <v>432</v>
      </c>
      <c r="C995" s="3" t="s">
        <v>1010</v>
      </c>
      <c r="D995" s="3" t="s">
        <v>1259</v>
      </c>
      <c r="E995" s="3" t="s">
        <v>15</v>
      </c>
      <c r="F995" s="1">
        <v>45884</v>
      </c>
      <c r="G995" t="str">
        <f t="shared" si="16"/>
        <v>Aug -2025</v>
      </c>
      <c r="H995" s="12"/>
    </row>
    <row r="996" spans="1:8" x14ac:dyDescent="0.3">
      <c r="A996" s="2">
        <v>900004223</v>
      </c>
      <c r="B996" s="3" t="s">
        <v>438</v>
      </c>
      <c r="C996" s="3" t="s">
        <v>1010</v>
      </c>
      <c r="D996" s="3" t="s">
        <v>143</v>
      </c>
      <c r="E996" s="3" t="s">
        <v>322</v>
      </c>
      <c r="F996" s="1">
        <v>45884</v>
      </c>
      <c r="G996" t="str">
        <f t="shared" si="16"/>
        <v>Aug -2025</v>
      </c>
      <c r="H996" s="12"/>
    </row>
    <row r="997" spans="1:8" x14ac:dyDescent="0.3">
      <c r="A997" s="2">
        <v>200002291</v>
      </c>
      <c r="B997" s="3" t="s">
        <v>439</v>
      </c>
      <c r="C997" s="3" t="s">
        <v>1010</v>
      </c>
      <c r="D997" s="3" t="s">
        <v>192</v>
      </c>
      <c r="E997" s="3" t="s">
        <v>418</v>
      </c>
      <c r="F997" s="1">
        <v>45884</v>
      </c>
      <c r="G997" t="str">
        <f t="shared" si="16"/>
        <v>Aug -2025</v>
      </c>
      <c r="H997" s="12"/>
    </row>
    <row r="998" spans="1:8" x14ac:dyDescent="0.3">
      <c r="A998" s="2">
        <v>200002292</v>
      </c>
      <c r="B998" s="3" t="s">
        <v>440</v>
      </c>
      <c r="C998" s="3" t="s">
        <v>1010</v>
      </c>
      <c r="D998" s="3" t="s">
        <v>192</v>
      </c>
      <c r="E998" s="3" t="s">
        <v>418</v>
      </c>
      <c r="F998" s="1">
        <v>45884</v>
      </c>
      <c r="G998" t="str">
        <f t="shared" si="16"/>
        <v>Aug -2025</v>
      </c>
      <c r="H998" s="12"/>
    </row>
    <row r="999" spans="1:8" x14ac:dyDescent="0.3">
      <c r="A999" s="2">
        <v>909743</v>
      </c>
      <c r="B999" s="3" t="s">
        <v>47</v>
      </c>
      <c r="C999" s="3" t="s">
        <v>1010</v>
      </c>
      <c r="D999" s="3" t="s">
        <v>10</v>
      </c>
      <c r="E999" s="3" t="s">
        <v>211</v>
      </c>
      <c r="F999" s="1">
        <v>45884</v>
      </c>
      <c r="G999" t="str">
        <f t="shared" si="16"/>
        <v>Aug -2025</v>
      </c>
      <c r="H999" s="12"/>
    </row>
    <row r="1000" spans="1:8" x14ac:dyDescent="0.3">
      <c r="A1000" s="2">
        <v>200002290</v>
      </c>
      <c r="B1000" s="3" t="s">
        <v>441</v>
      </c>
      <c r="C1000" s="3" t="s">
        <v>1010</v>
      </c>
      <c r="D1000" s="3" t="s">
        <v>192</v>
      </c>
      <c r="E1000" s="3" t="s">
        <v>342</v>
      </c>
      <c r="F1000" s="1">
        <v>45884</v>
      </c>
      <c r="G1000" t="str">
        <f t="shared" si="16"/>
        <v>Aug -2025</v>
      </c>
      <c r="H1000" s="12"/>
    </row>
    <row r="1001" spans="1:8" x14ac:dyDescent="0.3">
      <c r="A1001" s="2">
        <v>100003540</v>
      </c>
      <c r="B1001" s="3" t="s">
        <v>942</v>
      </c>
      <c r="C1001" s="3" t="s">
        <v>1011</v>
      </c>
      <c r="D1001" s="3" t="s">
        <v>972</v>
      </c>
      <c r="E1001" s="3" t="s">
        <v>983</v>
      </c>
      <c r="F1001" s="1">
        <v>45884</v>
      </c>
      <c r="G1001" t="str">
        <f t="shared" si="16"/>
        <v>Aug -2025</v>
      </c>
      <c r="H1001" s="12"/>
    </row>
    <row r="1002" spans="1:8" x14ac:dyDescent="0.3">
      <c r="A1002" s="2">
        <v>100003541</v>
      </c>
      <c r="B1002" s="3" t="s">
        <v>943</v>
      </c>
      <c r="C1002" s="3" t="s">
        <v>1011</v>
      </c>
      <c r="D1002" s="3" t="s">
        <v>972</v>
      </c>
      <c r="E1002" s="3" t="s">
        <v>967</v>
      </c>
      <c r="F1002" s="1">
        <v>45884</v>
      </c>
      <c r="G1002" t="str">
        <f t="shared" si="16"/>
        <v>Aug -2025</v>
      </c>
      <c r="H1002" s="12"/>
    </row>
    <row r="1003" spans="1:8" x14ac:dyDescent="0.3">
      <c r="A1003" s="2">
        <v>100003506</v>
      </c>
      <c r="B1003" s="3" t="s">
        <v>944</v>
      </c>
      <c r="C1003" s="3" t="s">
        <v>1011</v>
      </c>
      <c r="D1003" s="3" t="s">
        <v>972</v>
      </c>
      <c r="E1003" s="3" t="s">
        <v>983</v>
      </c>
      <c r="F1003" s="1">
        <v>45884</v>
      </c>
      <c r="G1003" t="str">
        <f t="shared" si="16"/>
        <v>Aug -2025</v>
      </c>
      <c r="H1003" s="12"/>
    </row>
    <row r="1004" spans="1:8" x14ac:dyDescent="0.3">
      <c r="A1004" s="2">
        <v>100003469</v>
      </c>
      <c r="B1004" s="3" t="s">
        <v>945</v>
      </c>
      <c r="C1004" s="3" t="s">
        <v>1011</v>
      </c>
      <c r="D1004" s="3" t="s">
        <v>972</v>
      </c>
      <c r="E1004" s="3" t="s">
        <v>982</v>
      </c>
      <c r="F1004" s="1">
        <v>45884</v>
      </c>
      <c r="G1004" t="str">
        <f t="shared" si="16"/>
        <v>Aug -2025</v>
      </c>
      <c r="H1004" s="12"/>
    </row>
    <row r="1005" spans="1:8" x14ac:dyDescent="0.3">
      <c r="A1005" s="2">
        <v>100003463</v>
      </c>
      <c r="B1005" s="3" t="s">
        <v>946</v>
      </c>
      <c r="C1005" s="3" t="s">
        <v>1011</v>
      </c>
      <c r="D1005" s="3" t="s">
        <v>972</v>
      </c>
      <c r="E1005" s="3" t="s">
        <v>980</v>
      </c>
      <c r="F1005" s="1">
        <v>45884</v>
      </c>
      <c r="G1005" t="str">
        <f t="shared" si="16"/>
        <v>Aug -2025</v>
      </c>
      <c r="H1005" s="12"/>
    </row>
    <row r="1006" spans="1:8" x14ac:dyDescent="0.3">
      <c r="A1006" s="2">
        <v>100003516</v>
      </c>
      <c r="B1006" s="3" t="s">
        <v>947</v>
      </c>
      <c r="C1006" s="3" t="s">
        <v>1011</v>
      </c>
      <c r="D1006" s="3" t="s">
        <v>972</v>
      </c>
      <c r="E1006" s="3" t="s">
        <v>967</v>
      </c>
      <c r="F1006" s="1">
        <v>45884</v>
      </c>
      <c r="G1006" t="str">
        <f t="shared" si="16"/>
        <v>Aug -2025</v>
      </c>
      <c r="H1006" s="12"/>
    </row>
    <row r="1007" spans="1:8" x14ac:dyDescent="0.3">
      <c r="A1007" s="2">
        <v>100003542</v>
      </c>
      <c r="B1007" s="3" t="s">
        <v>948</v>
      </c>
      <c r="C1007" s="3" t="s">
        <v>1011</v>
      </c>
      <c r="D1007" s="3" t="s">
        <v>972</v>
      </c>
      <c r="E1007" s="3" t="s">
        <v>967</v>
      </c>
      <c r="F1007" s="1">
        <v>45884</v>
      </c>
      <c r="G1007" t="str">
        <f t="shared" si="16"/>
        <v>Aug -2025</v>
      </c>
      <c r="H1007" s="12"/>
    </row>
    <row r="1008" spans="1:8" x14ac:dyDescent="0.3">
      <c r="A1008" s="2">
        <v>922860</v>
      </c>
      <c r="B1008" s="3" t="s">
        <v>442</v>
      </c>
      <c r="C1008" s="3" t="s">
        <v>1010</v>
      </c>
      <c r="D1008" s="3" t="s">
        <v>364</v>
      </c>
      <c r="E1008" s="3" t="s">
        <v>15</v>
      </c>
      <c r="F1008" s="1">
        <v>45887</v>
      </c>
      <c r="G1008" t="str">
        <f t="shared" si="16"/>
        <v>Aug -2025</v>
      </c>
      <c r="H1008" s="12"/>
    </row>
    <row r="1009" spans="1:8" x14ac:dyDescent="0.3">
      <c r="A1009" s="2">
        <v>922850</v>
      </c>
      <c r="B1009" s="3" t="s">
        <v>443</v>
      </c>
      <c r="C1009" s="3" t="s">
        <v>1010</v>
      </c>
      <c r="D1009" s="3" t="s">
        <v>209</v>
      </c>
      <c r="E1009" s="3"/>
      <c r="F1009" s="1">
        <v>45887</v>
      </c>
      <c r="G1009" t="str">
        <f t="shared" si="16"/>
        <v>Aug -2025</v>
      </c>
      <c r="H1009" s="12"/>
    </row>
    <row r="1010" spans="1:8" x14ac:dyDescent="0.3">
      <c r="A1010" s="2">
        <v>923042</v>
      </c>
      <c r="B1010" s="3" t="s">
        <v>444</v>
      </c>
      <c r="C1010" s="3" t="s">
        <v>1010</v>
      </c>
      <c r="D1010" s="3" t="s">
        <v>10</v>
      </c>
      <c r="E1010" s="3" t="s">
        <v>338</v>
      </c>
      <c r="F1010" s="1">
        <v>45887</v>
      </c>
      <c r="G1010" t="str">
        <f t="shared" si="16"/>
        <v>Aug -2025</v>
      </c>
      <c r="H1010" s="12"/>
    </row>
    <row r="1011" spans="1:8" x14ac:dyDescent="0.3">
      <c r="A1011" s="2">
        <v>923166</v>
      </c>
      <c r="B1011" s="3" t="s">
        <v>445</v>
      </c>
      <c r="C1011" s="3" t="s">
        <v>1010</v>
      </c>
      <c r="D1011" s="3" t="s">
        <v>209</v>
      </c>
      <c r="E1011" s="3" t="s">
        <v>225</v>
      </c>
      <c r="F1011" s="1">
        <v>45887</v>
      </c>
      <c r="G1011" t="str">
        <f t="shared" si="16"/>
        <v>Aug -2025</v>
      </c>
      <c r="H1011" s="12"/>
    </row>
    <row r="1012" spans="1:8" x14ac:dyDescent="0.3">
      <c r="A1012" s="2">
        <v>923167</v>
      </c>
      <c r="B1012" s="3" t="s">
        <v>445</v>
      </c>
      <c r="C1012" s="3" t="s">
        <v>1010</v>
      </c>
      <c r="D1012" s="3" t="s">
        <v>209</v>
      </c>
      <c r="E1012" s="3" t="s">
        <v>225</v>
      </c>
      <c r="F1012" s="1">
        <v>45887</v>
      </c>
      <c r="G1012" t="str">
        <f t="shared" si="16"/>
        <v>Aug -2025</v>
      </c>
      <c r="H1012" s="12"/>
    </row>
    <row r="1013" spans="1:8" x14ac:dyDescent="0.3">
      <c r="A1013" s="2">
        <v>922850</v>
      </c>
      <c r="B1013" s="3" t="s">
        <v>443</v>
      </c>
      <c r="C1013" s="3" t="s">
        <v>1010</v>
      </c>
      <c r="D1013" s="3" t="s">
        <v>209</v>
      </c>
      <c r="E1013" s="3"/>
      <c r="F1013" s="1">
        <v>45887</v>
      </c>
      <c r="G1013" t="str">
        <f t="shared" si="16"/>
        <v>Aug -2025</v>
      </c>
      <c r="H1013" s="12"/>
    </row>
    <row r="1014" spans="1:8" x14ac:dyDescent="0.3">
      <c r="A1014" s="2">
        <v>923167</v>
      </c>
      <c r="B1014" s="3" t="s">
        <v>445</v>
      </c>
      <c r="C1014" s="3" t="s">
        <v>1010</v>
      </c>
      <c r="D1014" s="3" t="s">
        <v>209</v>
      </c>
      <c r="E1014" s="3" t="s">
        <v>225</v>
      </c>
      <c r="F1014" s="1">
        <v>45887</v>
      </c>
      <c r="G1014" t="str">
        <f t="shared" si="16"/>
        <v>Aug -2025</v>
      </c>
      <c r="H1014" s="12"/>
    </row>
    <row r="1015" spans="1:8" x14ac:dyDescent="0.3">
      <c r="A1015" s="2">
        <v>923166</v>
      </c>
      <c r="B1015" s="3" t="s">
        <v>445</v>
      </c>
      <c r="C1015" s="3" t="s">
        <v>1010</v>
      </c>
      <c r="D1015" s="3" t="s">
        <v>209</v>
      </c>
      <c r="E1015" s="3" t="s">
        <v>225</v>
      </c>
      <c r="F1015" s="1">
        <v>45887</v>
      </c>
      <c r="G1015" t="str">
        <f t="shared" si="16"/>
        <v>Aug -2025</v>
      </c>
      <c r="H1015" s="12"/>
    </row>
    <row r="1016" spans="1:8" x14ac:dyDescent="0.3">
      <c r="A1016" s="2">
        <v>922937</v>
      </c>
      <c r="B1016" s="3" t="s">
        <v>446</v>
      </c>
      <c r="C1016" s="3" t="s">
        <v>1010</v>
      </c>
      <c r="D1016" s="3" t="s">
        <v>364</v>
      </c>
      <c r="E1016" s="3" t="s">
        <v>15</v>
      </c>
      <c r="F1016" s="1">
        <v>45887</v>
      </c>
      <c r="G1016" t="str">
        <f t="shared" si="16"/>
        <v>Aug -2025</v>
      </c>
      <c r="H1016" s="12"/>
    </row>
    <row r="1017" spans="1:8" x14ac:dyDescent="0.3">
      <c r="A1017" s="2">
        <v>100003516</v>
      </c>
      <c r="B1017" s="3" t="s">
        <v>947</v>
      </c>
      <c r="C1017" s="3" t="s">
        <v>1011</v>
      </c>
      <c r="D1017" s="3" t="s">
        <v>972</v>
      </c>
      <c r="E1017" s="3" t="s">
        <v>967</v>
      </c>
      <c r="F1017" s="1">
        <v>45887</v>
      </c>
      <c r="G1017" t="str">
        <f t="shared" si="16"/>
        <v>Aug -2025</v>
      </c>
      <c r="H1017" s="12"/>
    </row>
    <row r="1018" spans="1:8" x14ac:dyDescent="0.3">
      <c r="A1018" s="2">
        <v>100003459</v>
      </c>
      <c r="B1018" s="3" t="s">
        <v>949</v>
      </c>
      <c r="C1018" s="3" t="s">
        <v>1011</v>
      </c>
      <c r="D1018" s="3" t="s">
        <v>972</v>
      </c>
      <c r="E1018" s="3" t="s">
        <v>976</v>
      </c>
      <c r="F1018" s="1">
        <v>45887</v>
      </c>
      <c r="G1018" t="str">
        <f t="shared" si="16"/>
        <v>Aug -2025</v>
      </c>
      <c r="H1018" s="12"/>
    </row>
    <row r="1019" spans="1:8" x14ac:dyDescent="0.3">
      <c r="A1019" s="2">
        <v>100003540</v>
      </c>
      <c r="B1019" s="3" t="s">
        <v>942</v>
      </c>
      <c r="C1019" s="3" t="s">
        <v>1011</v>
      </c>
      <c r="D1019" s="3" t="s">
        <v>972</v>
      </c>
      <c r="E1019" s="3" t="s">
        <v>983</v>
      </c>
      <c r="F1019" s="1">
        <v>45887</v>
      </c>
      <c r="G1019" t="str">
        <f t="shared" si="16"/>
        <v>Aug -2025</v>
      </c>
      <c r="H1019" s="12"/>
    </row>
    <row r="1020" spans="1:8" x14ac:dyDescent="0.3">
      <c r="A1020" s="2">
        <v>100003543</v>
      </c>
      <c r="B1020" s="3" t="s">
        <v>950</v>
      </c>
      <c r="C1020" s="3" t="s">
        <v>1011</v>
      </c>
      <c r="D1020" s="3" t="s">
        <v>972</v>
      </c>
      <c r="E1020" s="3" t="s">
        <v>986</v>
      </c>
      <c r="F1020" s="1">
        <v>45887</v>
      </c>
      <c r="G1020" t="str">
        <f t="shared" si="16"/>
        <v>Aug -2025</v>
      </c>
      <c r="H1020" s="12"/>
    </row>
    <row r="1021" spans="1:8" x14ac:dyDescent="0.3">
      <c r="A1021" s="2">
        <v>923042</v>
      </c>
      <c r="B1021" s="3" t="s">
        <v>444</v>
      </c>
      <c r="C1021" s="3" t="s">
        <v>1010</v>
      </c>
      <c r="D1021" s="3" t="s">
        <v>10</v>
      </c>
      <c r="E1021" s="3" t="s">
        <v>338</v>
      </c>
      <c r="F1021" s="1">
        <v>45888</v>
      </c>
      <c r="G1021" t="str">
        <f t="shared" si="16"/>
        <v>Aug -2025</v>
      </c>
      <c r="H1021" s="12"/>
    </row>
    <row r="1022" spans="1:8" x14ac:dyDescent="0.3">
      <c r="A1022" s="2">
        <v>925471</v>
      </c>
      <c r="B1022" s="3" t="s">
        <v>447</v>
      </c>
      <c r="C1022" s="3" t="s">
        <v>1010</v>
      </c>
      <c r="D1022" s="3" t="s">
        <v>1259</v>
      </c>
      <c r="E1022" s="3" t="s">
        <v>338</v>
      </c>
      <c r="F1022" s="1">
        <v>45888</v>
      </c>
      <c r="G1022" t="str">
        <f t="shared" si="16"/>
        <v>Aug -2025</v>
      </c>
      <c r="H1022" s="12"/>
    </row>
    <row r="1023" spans="1:8" x14ac:dyDescent="0.3">
      <c r="A1023" s="2">
        <v>928673</v>
      </c>
      <c r="B1023" s="3" t="s">
        <v>97</v>
      </c>
      <c r="C1023" s="3" t="s">
        <v>1010</v>
      </c>
      <c r="D1023" s="3" t="s">
        <v>209</v>
      </c>
      <c r="E1023" s="3" t="s">
        <v>338</v>
      </c>
      <c r="F1023" s="1">
        <v>45888</v>
      </c>
      <c r="G1023" t="str">
        <f t="shared" si="16"/>
        <v>Aug -2025</v>
      </c>
      <c r="H1023" s="12"/>
    </row>
    <row r="1024" spans="1:8" x14ac:dyDescent="0.3">
      <c r="A1024" s="2">
        <v>929439</v>
      </c>
      <c r="B1024" s="3" t="s">
        <v>448</v>
      </c>
      <c r="C1024" s="3" t="s">
        <v>1010</v>
      </c>
      <c r="D1024" s="3" t="s">
        <v>364</v>
      </c>
      <c r="E1024" s="3" t="s">
        <v>15</v>
      </c>
      <c r="F1024" s="1">
        <v>45888</v>
      </c>
      <c r="G1024" t="str">
        <f t="shared" si="16"/>
        <v>Aug -2025</v>
      </c>
      <c r="H1024" s="12"/>
    </row>
    <row r="1025" spans="1:8" x14ac:dyDescent="0.3">
      <c r="A1025" s="2">
        <v>100003517</v>
      </c>
      <c r="B1025" s="3" t="s">
        <v>951</v>
      </c>
      <c r="C1025" s="3" t="s">
        <v>1011</v>
      </c>
      <c r="D1025" s="3" t="s">
        <v>972</v>
      </c>
      <c r="E1025" s="3" t="s">
        <v>976</v>
      </c>
      <c r="F1025" s="1">
        <v>45888</v>
      </c>
      <c r="G1025" t="str">
        <f t="shared" si="16"/>
        <v>Aug -2025</v>
      </c>
      <c r="H1025" s="12"/>
    </row>
    <row r="1026" spans="1:8" x14ac:dyDescent="0.3">
      <c r="A1026" s="2">
        <v>100003552</v>
      </c>
      <c r="B1026" s="3" t="s">
        <v>952</v>
      </c>
      <c r="C1026" s="3" t="s">
        <v>1011</v>
      </c>
      <c r="D1026" s="3" t="s">
        <v>972</v>
      </c>
      <c r="E1026" s="3" t="s">
        <v>982</v>
      </c>
      <c r="F1026" s="1">
        <v>45888</v>
      </c>
      <c r="G1026" t="str">
        <f t="shared" ref="G1026:G1089" si="17">TEXT(F1026,"mmm -YYYY")</f>
        <v>Aug -2025</v>
      </c>
      <c r="H1026" s="12"/>
    </row>
    <row r="1027" spans="1:8" x14ac:dyDescent="0.3">
      <c r="A1027" s="2">
        <v>100003564</v>
      </c>
      <c r="B1027" s="3" t="s">
        <v>953</v>
      </c>
      <c r="C1027" s="3" t="s">
        <v>1011</v>
      </c>
      <c r="D1027" s="3" t="s">
        <v>972</v>
      </c>
      <c r="E1027" s="3" t="s">
        <v>987</v>
      </c>
      <c r="F1027" s="1">
        <v>45888</v>
      </c>
      <c r="G1027" t="str">
        <f t="shared" si="17"/>
        <v>Aug -2025</v>
      </c>
      <c r="H1027" s="12"/>
    </row>
    <row r="1028" spans="1:8" x14ac:dyDescent="0.3">
      <c r="A1028" s="2">
        <v>929439</v>
      </c>
      <c r="B1028" s="3" t="s">
        <v>448</v>
      </c>
      <c r="C1028" s="3" t="s">
        <v>1010</v>
      </c>
      <c r="D1028" s="3" t="s">
        <v>364</v>
      </c>
      <c r="E1028" s="3" t="s">
        <v>15</v>
      </c>
      <c r="F1028" s="1">
        <v>45889</v>
      </c>
      <c r="G1028" t="str">
        <f t="shared" si="17"/>
        <v>Aug -2025</v>
      </c>
      <c r="H1028" s="12"/>
    </row>
    <row r="1029" spans="1:8" x14ac:dyDescent="0.3">
      <c r="A1029" s="2">
        <v>930768</v>
      </c>
      <c r="B1029" s="3" t="s">
        <v>449</v>
      </c>
      <c r="C1029" s="3" t="s">
        <v>1010</v>
      </c>
      <c r="D1029" s="3" t="s">
        <v>364</v>
      </c>
      <c r="E1029" s="3" t="s">
        <v>15</v>
      </c>
      <c r="F1029" s="1">
        <v>45889</v>
      </c>
      <c r="G1029" t="str">
        <f t="shared" si="17"/>
        <v>Aug -2025</v>
      </c>
      <c r="H1029" s="12"/>
    </row>
    <row r="1030" spans="1:8" x14ac:dyDescent="0.3">
      <c r="A1030" s="2">
        <v>930812</v>
      </c>
      <c r="B1030" s="3" t="s">
        <v>450</v>
      </c>
      <c r="C1030" s="3" t="s">
        <v>1010</v>
      </c>
      <c r="D1030" s="3" t="s">
        <v>364</v>
      </c>
      <c r="E1030" s="3" t="s">
        <v>15</v>
      </c>
      <c r="F1030" s="1">
        <v>45889</v>
      </c>
      <c r="G1030" t="str">
        <f t="shared" si="17"/>
        <v>Aug -2025</v>
      </c>
      <c r="H1030" s="12"/>
    </row>
    <row r="1031" spans="1:8" x14ac:dyDescent="0.3">
      <c r="A1031" s="2">
        <v>929527</v>
      </c>
      <c r="B1031" s="3" t="s">
        <v>451</v>
      </c>
      <c r="C1031" s="3" t="s">
        <v>1010</v>
      </c>
      <c r="D1031" s="3" t="s">
        <v>452</v>
      </c>
      <c r="E1031" s="3" t="s">
        <v>453</v>
      </c>
      <c r="F1031" s="1">
        <v>45889</v>
      </c>
      <c r="G1031" t="str">
        <f t="shared" si="17"/>
        <v>Aug -2025</v>
      </c>
      <c r="H1031" s="12"/>
    </row>
    <row r="1032" spans="1:8" x14ac:dyDescent="0.3">
      <c r="A1032" s="2">
        <v>900004273</v>
      </c>
      <c r="B1032" s="3" t="s">
        <v>454</v>
      </c>
      <c r="C1032" s="3" t="s">
        <v>1010</v>
      </c>
      <c r="D1032" s="3" t="s">
        <v>143</v>
      </c>
      <c r="E1032" s="3" t="s">
        <v>322</v>
      </c>
      <c r="F1032" s="1">
        <v>45889</v>
      </c>
      <c r="G1032" t="str">
        <f t="shared" si="17"/>
        <v>Aug -2025</v>
      </c>
      <c r="H1032" s="12"/>
    </row>
    <row r="1033" spans="1:8" x14ac:dyDescent="0.3">
      <c r="A1033" s="2">
        <v>932098</v>
      </c>
      <c r="B1033" s="3" t="s">
        <v>455</v>
      </c>
      <c r="C1033" s="3" t="s">
        <v>1010</v>
      </c>
      <c r="D1033" s="3" t="s">
        <v>209</v>
      </c>
      <c r="E1033" s="3" t="s">
        <v>228</v>
      </c>
      <c r="F1033" s="1">
        <v>45889</v>
      </c>
      <c r="G1033" t="str">
        <f t="shared" si="17"/>
        <v>Aug -2025</v>
      </c>
      <c r="H1033" s="12"/>
    </row>
    <row r="1034" spans="1:8" x14ac:dyDescent="0.3">
      <c r="A1034" s="2">
        <v>932099</v>
      </c>
      <c r="B1034" s="3" t="s">
        <v>455</v>
      </c>
      <c r="C1034" s="3" t="s">
        <v>1010</v>
      </c>
      <c r="D1034" s="3" t="s">
        <v>209</v>
      </c>
      <c r="E1034" s="3" t="s">
        <v>228</v>
      </c>
      <c r="F1034" s="1">
        <v>45889</v>
      </c>
      <c r="G1034" t="str">
        <f t="shared" si="17"/>
        <v>Aug -2025</v>
      </c>
      <c r="H1034" s="12"/>
    </row>
    <row r="1035" spans="1:8" x14ac:dyDescent="0.3">
      <c r="A1035" s="2">
        <v>932100</v>
      </c>
      <c r="B1035" s="3" t="s">
        <v>455</v>
      </c>
      <c r="C1035" s="3" t="s">
        <v>1010</v>
      </c>
      <c r="D1035" s="3" t="s">
        <v>209</v>
      </c>
      <c r="E1035" s="3" t="s">
        <v>228</v>
      </c>
      <c r="F1035" s="1">
        <v>45889</v>
      </c>
      <c r="G1035" t="str">
        <f t="shared" si="17"/>
        <v>Aug -2025</v>
      </c>
      <c r="H1035" s="12"/>
    </row>
    <row r="1036" spans="1:8" x14ac:dyDescent="0.3">
      <c r="A1036" s="2">
        <v>932113</v>
      </c>
      <c r="B1036" s="3" t="s">
        <v>455</v>
      </c>
      <c r="C1036" s="3" t="s">
        <v>1010</v>
      </c>
      <c r="D1036" s="3" t="s">
        <v>209</v>
      </c>
      <c r="E1036" s="3" t="s">
        <v>228</v>
      </c>
      <c r="F1036" s="1">
        <v>45889</v>
      </c>
      <c r="G1036" t="str">
        <f t="shared" si="17"/>
        <v>Aug -2025</v>
      </c>
      <c r="H1036" s="12"/>
    </row>
    <row r="1037" spans="1:8" x14ac:dyDescent="0.3">
      <c r="A1037" s="2">
        <v>932222</v>
      </c>
      <c r="B1037" s="3" t="s">
        <v>456</v>
      </c>
      <c r="C1037" s="3" t="s">
        <v>1010</v>
      </c>
      <c r="D1037" s="3" t="s">
        <v>1259</v>
      </c>
      <c r="E1037" s="3" t="s">
        <v>15</v>
      </c>
      <c r="F1037" s="1">
        <v>45889</v>
      </c>
      <c r="G1037" t="str">
        <f t="shared" si="17"/>
        <v>Aug -2025</v>
      </c>
      <c r="H1037" s="12"/>
    </row>
    <row r="1038" spans="1:8" x14ac:dyDescent="0.3">
      <c r="A1038" s="2">
        <v>932251</v>
      </c>
      <c r="B1038" s="3" t="s">
        <v>457</v>
      </c>
      <c r="C1038" s="3" t="s">
        <v>1010</v>
      </c>
      <c r="D1038" s="3" t="s">
        <v>227</v>
      </c>
      <c r="E1038" s="3" t="s">
        <v>453</v>
      </c>
      <c r="F1038" s="1">
        <v>45890</v>
      </c>
      <c r="G1038" t="str">
        <f t="shared" si="17"/>
        <v>Aug -2025</v>
      </c>
      <c r="H1038" s="12"/>
    </row>
    <row r="1039" spans="1:8" x14ac:dyDescent="0.3">
      <c r="A1039" s="2">
        <v>932222</v>
      </c>
      <c r="B1039" s="3" t="s">
        <v>456</v>
      </c>
      <c r="C1039" s="3" t="s">
        <v>1010</v>
      </c>
      <c r="D1039" s="3" t="s">
        <v>1259</v>
      </c>
      <c r="E1039" s="3" t="s">
        <v>15</v>
      </c>
      <c r="F1039" s="1">
        <v>45890</v>
      </c>
      <c r="G1039" t="str">
        <f t="shared" si="17"/>
        <v>Aug -2025</v>
      </c>
      <c r="H1039" s="12"/>
    </row>
    <row r="1040" spans="1:8" x14ac:dyDescent="0.3">
      <c r="A1040" s="2">
        <v>932110</v>
      </c>
      <c r="B1040" s="3" t="s">
        <v>458</v>
      </c>
      <c r="C1040" s="3" t="s">
        <v>1010</v>
      </c>
      <c r="D1040" s="3" t="s">
        <v>1259</v>
      </c>
      <c r="E1040" s="3" t="s">
        <v>15</v>
      </c>
      <c r="F1040" s="1">
        <v>45890</v>
      </c>
      <c r="G1040" t="str">
        <f t="shared" si="17"/>
        <v>Aug -2025</v>
      </c>
      <c r="H1040" s="12"/>
    </row>
    <row r="1041" spans="1:8" x14ac:dyDescent="0.3">
      <c r="A1041" s="2">
        <v>932175</v>
      </c>
      <c r="B1041" s="3" t="s">
        <v>457</v>
      </c>
      <c r="C1041" s="3" t="s">
        <v>1010</v>
      </c>
      <c r="D1041" s="3" t="s">
        <v>227</v>
      </c>
      <c r="E1041" s="3" t="s">
        <v>453</v>
      </c>
      <c r="F1041" s="1">
        <v>45890</v>
      </c>
      <c r="G1041" t="str">
        <f t="shared" si="17"/>
        <v>Aug -2025</v>
      </c>
      <c r="H1041" s="12"/>
    </row>
    <row r="1042" spans="1:8" x14ac:dyDescent="0.3">
      <c r="A1042" s="2">
        <v>935438</v>
      </c>
      <c r="B1042" s="3" t="s">
        <v>459</v>
      </c>
      <c r="C1042" s="3" t="s">
        <v>1010</v>
      </c>
      <c r="D1042" s="3" t="s">
        <v>209</v>
      </c>
      <c r="E1042" s="3" t="s">
        <v>210</v>
      </c>
      <c r="F1042" s="1">
        <v>45890</v>
      </c>
      <c r="G1042" t="str">
        <f t="shared" si="17"/>
        <v>Aug -2025</v>
      </c>
      <c r="H1042" s="12"/>
    </row>
    <row r="1043" spans="1:8" x14ac:dyDescent="0.3">
      <c r="A1043" s="2">
        <v>932185</v>
      </c>
      <c r="B1043" s="3" t="s">
        <v>457</v>
      </c>
      <c r="C1043" s="3" t="s">
        <v>1010</v>
      </c>
      <c r="D1043" s="3" t="s">
        <v>227</v>
      </c>
      <c r="E1043" s="3" t="s">
        <v>453</v>
      </c>
      <c r="F1043" s="1">
        <v>45890</v>
      </c>
      <c r="G1043" t="str">
        <f t="shared" si="17"/>
        <v>Aug -2025</v>
      </c>
      <c r="H1043" s="12"/>
    </row>
    <row r="1044" spans="1:8" x14ac:dyDescent="0.3">
      <c r="A1044" s="2">
        <v>932239</v>
      </c>
      <c r="B1044" s="3" t="s">
        <v>457</v>
      </c>
      <c r="C1044" s="3" t="s">
        <v>1010</v>
      </c>
      <c r="D1044" s="3" t="s">
        <v>227</v>
      </c>
      <c r="E1044" s="3" t="s">
        <v>453</v>
      </c>
      <c r="F1044" s="1">
        <v>45890</v>
      </c>
      <c r="G1044" t="str">
        <f t="shared" si="17"/>
        <v>Aug -2025</v>
      </c>
      <c r="H1044" s="12"/>
    </row>
    <row r="1045" spans="1:8" x14ac:dyDescent="0.3">
      <c r="A1045" s="2">
        <v>929449</v>
      </c>
      <c r="B1045" s="3" t="s">
        <v>451</v>
      </c>
      <c r="C1045" s="3" t="s">
        <v>1010</v>
      </c>
      <c r="D1045" s="3" t="s">
        <v>227</v>
      </c>
      <c r="E1045" s="3" t="s">
        <v>453</v>
      </c>
      <c r="F1045" s="1">
        <v>45890</v>
      </c>
      <c r="G1045" t="str">
        <f t="shared" si="17"/>
        <v>Aug -2025</v>
      </c>
      <c r="H1045" s="12"/>
    </row>
    <row r="1046" spans="1:8" x14ac:dyDescent="0.3">
      <c r="A1046" s="2">
        <v>932287</v>
      </c>
      <c r="B1046" s="3" t="s">
        <v>460</v>
      </c>
      <c r="C1046" s="3" t="s">
        <v>1010</v>
      </c>
      <c r="D1046" s="3" t="s">
        <v>1259</v>
      </c>
      <c r="E1046" s="3" t="s">
        <v>15</v>
      </c>
      <c r="F1046" s="1">
        <v>45890</v>
      </c>
      <c r="G1046" t="str">
        <f t="shared" si="17"/>
        <v>Aug -2025</v>
      </c>
      <c r="H1046" s="12"/>
    </row>
    <row r="1047" spans="1:8" x14ac:dyDescent="0.3">
      <c r="A1047" s="2">
        <v>935130</v>
      </c>
      <c r="B1047" s="3" t="s">
        <v>461</v>
      </c>
      <c r="C1047" s="3" t="s">
        <v>1010</v>
      </c>
      <c r="D1047" s="3" t="s">
        <v>364</v>
      </c>
      <c r="E1047" s="3" t="s">
        <v>15</v>
      </c>
      <c r="F1047" s="1">
        <v>45890</v>
      </c>
      <c r="G1047" t="str">
        <f t="shared" si="17"/>
        <v>Aug -2025</v>
      </c>
      <c r="H1047" s="12"/>
    </row>
    <row r="1048" spans="1:8" x14ac:dyDescent="0.3">
      <c r="A1048" s="2">
        <v>935884</v>
      </c>
      <c r="B1048" s="3" t="s">
        <v>53</v>
      </c>
      <c r="C1048" s="3" t="s">
        <v>1010</v>
      </c>
      <c r="D1048" s="3" t="s">
        <v>10</v>
      </c>
      <c r="E1048" s="3" t="s">
        <v>268</v>
      </c>
      <c r="F1048" s="1">
        <v>45890</v>
      </c>
      <c r="G1048" t="str">
        <f t="shared" si="17"/>
        <v>Aug -2025</v>
      </c>
      <c r="H1048" s="12"/>
    </row>
    <row r="1049" spans="1:8" x14ac:dyDescent="0.3">
      <c r="A1049" s="2">
        <v>900004152</v>
      </c>
      <c r="B1049" s="3" t="s">
        <v>462</v>
      </c>
      <c r="C1049" s="3" t="s">
        <v>1010</v>
      </c>
      <c r="D1049" s="3" t="s">
        <v>209</v>
      </c>
      <c r="E1049" s="3" t="s">
        <v>322</v>
      </c>
      <c r="F1049" s="1">
        <v>45890</v>
      </c>
      <c r="G1049" t="str">
        <f t="shared" si="17"/>
        <v>Aug -2025</v>
      </c>
      <c r="H1049" s="12"/>
    </row>
    <row r="1050" spans="1:8" x14ac:dyDescent="0.3">
      <c r="A1050" s="2">
        <v>100003601</v>
      </c>
      <c r="B1050" s="3" t="s">
        <v>954</v>
      </c>
      <c r="C1050" s="3" t="s">
        <v>1011</v>
      </c>
      <c r="D1050" s="3" t="s">
        <v>972</v>
      </c>
      <c r="E1050" s="3" t="s">
        <v>969</v>
      </c>
      <c r="F1050" s="1">
        <v>45890</v>
      </c>
      <c r="G1050" t="str">
        <f t="shared" si="17"/>
        <v>Aug -2025</v>
      </c>
      <c r="H1050" s="12"/>
    </row>
    <row r="1051" spans="1:8" x14ac:dyDescent="0.3">
      <c r="A1051" s="2">
        <v>935130</v>
      </c>
      <c r="B1051" s="3" t="s">
        <v>461</v>
      </c>
      <c r="C1051" s="3" t="s">
        <v>1010</v>
      </c>
      <c r="D1051" s="3" t="s">
        <v>364</v>
      </c>
      <c r="E1051" s="3" t="s">
        <v>15</v>
      </c>
      <c r="F1051" s="1">
        <v>45894</v>
      </c>
      <c r="G1051" t="str">
        <f t="shared" si="17"/>
        <v>Aug -2025</v>
      </c>
      <c r="H1051" s="12"/>
    </row>
    <row r="1052" spans="1:8" x14ac:dyDescent="0.3">
      <c r="A1052" s="2">
        <v>939201</v>
      </c>
      <c r="B1052" s="3" t="s">
        <v>139</v>
      </c>
      <c r="C1052" s="3" t="s">
        <v>1010</v>
      </c>
      <c r="D1052" s="3" t="s">
        <v>209</v>
      </c>
      <c r="E1052" s="3" t="s">
        <v>196</v>
      </c>
      <c r="F1052" s="1">
        <v>45894</v>
      </c>
      <c r="G1052" t="str">
        <f t="shared" si="17"/>
        <v>Aug -2025</v>
      </c>
      <c r="H1052" s="12"/>
    </row>
    <row r="1053" spans="1:8" x14ac:dyDescent="0.3">
      <c r="A1053" s="2">
        <v>939234</v>
      </c>
      <c r="B1053" s="3" t="s">
        <v>139</v>
      </c>
      <c r="C1053" s="3" t="s">
        <v>1010</v>
      </c>
      <c r="D1053" s="3" t="s">
        <v>209</v>
      </c>
      <c r="E1053" s="3" t="s">
        <v>196</v>
      </c>
      <c r="F1053" s="1">
        <v>45894</v>
      </c>
      <c r="G1053" t="str">
        <f t="shared" si="17"/>
        <v>Aug -2025</v>
      </c>
      <c r="H1053" s="12"/>
    </row>
    <row r="1054" spans="1:8" x14ac:dyDescent="0.3">
      <c r="A1054" s="2">
        <v>939081</v>
      </c>
      <c r="B1054" s="3" t="s">
        <v>139</v>
      </c>
      <c r="C1054" s="3" t="s">
        <v>1010</v>
      </c>
      <c r="D1054" s="3" t="s">
        <v>209</v>
      </c>
      <c r="E1054" s="3" t="s">
        <v>196</v>
      </c>
      <c r="F1054" s="1">
        <v>45894</v>
      </c>
      <c r="G1054" t="str">
        <f t="shared" si="17"/>
        <v>Aug -2025</v>
      </c>
      <c r="H1054" s="12"/>
    </row>
    <row r="1055" spans="1:8" x14ac:dyDescent="0.3">
      <c r="A1055" s="2">
        <v>939084</v>
      </c>
      <c r="B1055" s="3" t="s">
        <v>139</v>
      </c>
      <c r="C1055" s="3" t="s">
        <v>1010</v>
      </c>
      <c r="D1055" s="3" t="s">
        <v>209</v>
      </c>
      <c r="E1055" s="3" t="s">
        <v>196</v>
      </c>
      <c r="F1055" s="1">
        <v>45894</v>
      </c>
      <c r="G1055" t="str">
        <f t="shared" si="17"/>
        <v>Aug -2025</v>
      </c>
      <c r="H1055" s="12"/>
    </row>
    <row r="1056" spans="1:8" x14ac:dyDescent="0.3">
      <c r="A1056" s="2">
        <v>939202</v>
      </c>
      <c r="B1056" s="3" t="s">
        <v>139</v>
      </c>
      <c r="C1056" s="3" t="s">
        <v>1010</v>
      </c>
      <c r="D1056" s="3" t="s">
        <v>209</v>
      </c>
      <c r="E1056" s="3" t="s">
        <v>196</v>
      </c>
      <c r="F1056" s="1">
        <v>45894</v>
      </c>
      <c r="G1056" t="str">
        <f t="shared" si="17"/>
        <v>Aug -2025</v>
      </c>
      <c r="H1056" s="12"/>
    </row>
    <row r="1057" spans="1:8" x14ac:dyDescent="0.3">
      <c r="A1057" s="2">
        <v>939209</v>
      </c>
      <c r="B1057" s="3" t="s">
        <v>139</v>
      </c>
      <c r="C1057" s="3" t="s">
        <v>1010</v>
      </c>
      <c r="D1057" s="3" t="s">
        <v>209</v>
      </c>
      <c r="E1057" s="3" t="s">
        <v>196</v>
      </c>
      <c r="F1057" s="1">
        <v>45894</v>
      </c>
      <c r="G1057" t="str">
        <f t="shared" si="17"/>
        <v>Aug -2025</v>
      </c>
      <c r="H1057" s="12"/>
    </row>
    <row r="1058" spans="1:8" x14ac:dyDescent="0.3">
      <c r="A1058" s="2">
        <v>939284</v>
      </c>
      <c r="B1058" s="3" t="s">
        <v>139</v>
      </c>
      <c r="C1058" s="3" t="s">
        <v>1010</v>
      </c>
      <c r="D1058" s="3" t="s">
        <v>209</v>
      </c>
      <c r="E1058" s="3" t="s">
        <v>196</v>
      </c>
      <c r="F1058" s="1">
        <v>45894</v>
      </c>
      <c r="G1058" t="str">
        <f t="shared" si="17"/>
        <v>Aug -2025</v>
      </c>
      <c r="H1058" s="12"/>
    </row>
    <row r="1059" spans="1:8" x14ac:dyDescent="0.3">
      <c r="A1059" s="2">
        <v>939302</v>
      </c>
      <c r="B1059" s="3" t="s">
        <v>139</v>
      </c>
      <c r="C1059" s="3" t="s">
        <v>1010</v>
      </c>
      <c r="D1059" s="3" t="s">
        <v>209</v>
      </c>
      <c r="E1059" s="3" t="s">
        <v>196</v>
      </c>
      <c r="F1059" s="1">
        <v>45894</v>
      </c>
      <c r="G1059" t="str">
        <f t="shared" si="17"/>
        <v>Aug -2025</v>
      </c>
      <c r="H1059" s="12"/>
    </row>
    <row r="1060" spans="1:8" x14ac:dyDescent="0.3">
      <c r="A1060" s="2">
        <v>939087</v>
      </c>
      <c r="B1060" s="3" t="s">
        <v>139</v>
      </c>
      <c r="C1060" s="3" t="s">
        <v>1010</v>
      </c>
      <c r="D1060" s="3" t="s">
        <v>209</v>
      </c>
      <c r="E1060" s="3" t="s">
        <v>196</v>
      </c>
      <c r="F1060" s="1">
        <v>45894</v>
      </c>
      <c r="G1060" t="str">
        <f t="shared" si="17"/>
        <v>Aug -2025</v>
      </c>
      <c r="H1060" s="12"/>
    </row>
    <row r="1061" spans="1:8" x14ac:dyDescent="0.3">
      <c r="A1061" s="2">
        <v>939206</v>
      </c>
      <c r="B1061" s="3" t="s">
        <v>139</v>
      </c>
      <c r="C1061" s="3" t="s">
        <v>1010</v>
      </c>
      <c r="D1061" s="3" t="s">
        <v>209</v>
      </c>
      <c r="E1061" s="3" t="s">
        <v>196</v>
      </c>
      <c r="F1061" s="1">
        <v>45894</v>
      </c>
      <c r="G1061" t="str">
        <f t="shared" si="17"/>
        <v>Aug -2025</v>
      </c>
      <c r="H1061" s="12"/>
    </row>
    <row r="1062" spans="1:8" x14ac:dyDescent="0.3">
      <c r="A1062" s="2">
        <v>939278</v>
      </c>
      <c r="B1062" s="3" t="s">
        <v>139</v>
      </c>
      <c r="C1062" s="3" t="s">
        <v>1010</v>
      </c>
      <c r="D1062" s="3" t="s">
        <v>209</v>
      </c>
      <c r="E1062" s="3" t="s">
        <v>196</v>
      </c>
      <c r="F1062" s="1">
        <v>45894</v>
      </c>
      <c r="G1062" t="str">
        <f t="shared" si="17"/>
        <v>Aug -2025</v>
      </c>
      <c r="H1062" s="12"/>
    </row>
    <row r="1063" spans="1:8" x14ac:dyDescent="0.3">
      <c r="A1063" s="2">
        <v>939082</v>
      </c>
      <c r="B1063" s="3" t="s">
        <v>139</v>
      </c>
      <c r="C1063" s="3" t="s">
        <v>1010</v>
      </c>
      <c r="D1063" s="3" t="s">
        <v>209</v>
      </c>
      <c r="E1063" s="3" t="s">
        <v>196</v>
      </c>
      <c r="F1063" s="1">
        <v>45894</v>
      </c>
      <c r="G1063" t="str">
        <f t="shared" si="17"/>
        <v>Aug -2025</v>
      </c>
      <c r="H1063" s="12"/>
    </row>
    <row r="1064" spans="1:8" x14ac:dyDescent="0.3">
      <c r="A1064" s="2">
        <v>939163</v>
      </c>
      <c r="B1064" s="3" t="s">
        <v>139</v>
      </c>
      <c r="C1064" s="3" t="s">
        <v>1010</v>
      </c>
      <c r="D1064" s="3" t="s">
        <v>209</v>
      </c>
      <c r="E1064" s="3" t="s">
        <v>196</v>
      </c>
      <c r="F1064" s="1">
        <v>45894</v>
      </c>
      <c r="G1064" t="str">
        <f t="shared" si="17"/>
        <v>Aug -2025</v>
      </c>
      <c r="H1064" s="12"/>
    </row>
    <row r="1065" spans="1:8" x14ac:dyDescent="0.3">
      <c r="A1065" s="2">
        <v>939194</v>
      </c>
      <c r="B1065" s="3" t="s">
        <v>139</v>
      </c>
      <c r="C1065" s="3" t="s">
        <v>1010</v>
      </c>
      <c r="D1065" s="3" t="s">
        <v>209</v>
      </c>
      <c r="E1065" s="3" t="s">
        <v>196</v>
      </c>
      <c r="F1065" s="1">
        <v>45894</v>
      </c>
      <c r="G1065" t="str">
        <f t="shared" si="17"/>
        <v>Aug -2025</v>
      </c>
      <c r="H1065" s="12"/>
    </row>
    <row r="1066" spans="1:8" x14ac:dyDescent="0.3">
      <c r="A1066" s="2">
        <v>939198</v>
      </c>
      <c r="B1066" s="3" t="s">
        <v>139</v>
      </c>
      <c r="C1066" s="3" t="s">
        <v>1010</v>
      </c>
      <c r="D1066" s="3" t="s">
        <v>209</v>
      </c>
      <c r="E1066" s="3" t="s">
        <v>196</v>
      </c>
      <c r="F1066" s="1">
        <v>45894</v>
      </c>
      <c r="G1066" t="str">
        <f t="shared" si="17"/>
        <v>Aug -2025</v>
      </c>
      <c r="H1066" s="12"/>
    </row>
    <row r="1067" spans="1:8" x14ac:dyDescent="0.3">
      <c r="A1067" s="2">
        <v>939288</v>
      </c>
      <c r="B1067" s="3" t="s">
        <v>139</v>
      </c>
      <c r="C1067" s="3" t="s">
        <v>1010</v>
      </c>
      <c r="D1067" s="3" t="s">
        <v>209</v>
      </c>
      <c r="E1067" s="3" t="s">
        <v>196</v>
      </c>
      <c r="F1067" s="1">
        <v>45894</v>
      </c>
      <c r="G1067" t="str">
        <f t="shared" si="17"/>
        <v>Aug -2025</v>
      </c>
      <c r="H1067" s="12"/>
    </row>
    <row r="1068" spans="1:8" x14ac:dyDescent="0.3">
      <c r="A1068" s="2">
        <v>939290</v>
      </c>
      <c r="B1068" s="3" t="s">
        <v>139</v>
      </c>
      <c r="C1068" s="3" t="s">
        <v>1010</v>
      </c>
      <c r="D1068" s="3" t="s">
        <v>209</v>
      </c>
      <c r="E1068" s="3" t="s">
        <v>196</v>
      </c>
      <c r="F1068" s="1">
        <v>45894</v>
      </c>
      <c r="G1068" t="str">
        <f t="shared" si="17"/>
        <v>Aug -2025</v>
      </c>
      <c r="H1068" s="12"/>
    </row>
    <row r="1069" spans="1:8" x14ac:dyDescent="0.3">
      <c r="A1069" s="2">
        <v>939303</v>
      </c>
      <c r="B1069" s="3" t="s">
        <v>139</v>
      </c>
      <c r="C1069" s="3" t="s">
        <v>1010</v>
      </c>
      <c r="D1069" s="3" t="s">
        <v>209</v>
      </c>
      <c r="E1069" s="3" t="s">
        <v>196</v>
      </c>
      <c r="F1069" s="1">
        <v>45894</v>
      </c>
      <c r="G1069" t="str">
        <f t="shared" si="17"/>
        <v>Aug -2025</v>
      </c>
      <c r="H1069" s="12"/>
    </row>
    <row r="1070" spans="1:8" x14ac:dyDescent="0.3">
      <c r="A1070" s="2">
        <v>939196</v>
      </c>
      <c r="B1070" s="3" t="s">
        <v>139</v>
      </c>
      <c r="C1070" s="3" t="s">
        <v>1010</v>
      </c>
      <c r="D1070" s="3" t="s">
        <v>209</v>
      </c>
      <c r="E1070" s="3" t="s">
        <v>196</v>
      </c>
      <c r="F1070" s="1">
        <v>45894</v>
      </c>
      <c r="G1070" t="str">
        <f t="shared" si="17"/>
        <v>Aug -2025</v>
      </c>
      <c r="H1070" s="12"/>
    </row>
    <row r="1071" spans="1:8" x14ac:dyDescent="0.3">
      <c r="A1071" s="2">
        <v>937835</v>
      </c>
      <c r="B1071" s="3" t="s">
        <v>53</v>
      </c>
      <c r="C1071" s="3" t="s">
        <v>1010</v>
      </c>
      <c r="D1071" s="3" t="s">
        <v>10</v>
      </c>
      <c r="E1071" s="3" t="s">
        <v>268</v>
      </c>
      <c r="F1071" s="1">
        <v>45894</v>
      </c>
      <c r="G1071" t="str">
        <f t="shared" si="17"/>
        <v>Aug -2025</v>
      </c>
      <c r="H1071" s="12"/>
    </row>
    <row r="1072" spans="1:8" x14ac:dyDescent="0.3">
      <c r="A1072" s="2">
        <v>938464</v>
      </c>
      <c r="B1072" s="3" t="s">
        <v>463</v>
      </c>
      <c r="C1072" s="3" t="s">
        <v>1010</v>
      </c>
      <c r="D1072" s="3" t="s">
        <v>1259</v>
      </c>
      <c r="E1072" s="3" t="s">
        <v>15</v>
      </c>
      <c r="F1072" s="1">
        <v>45894</v>
      </c>
      <c r="G1072" t="str">
        <f t="shared" si="17"/>
        <v>Aug -2025</v>
      </c>
      <c r="H1072" s="12"/>
    </row>
    <row r="1073" spans="1:8" x14ac:dyDescent="0.3">
      <c r="A1073" s="2">
        <v>945601</v>
      </c>
      <c r="B1073" s="3" t="s">
        <v>464</v>
      </c>
      <c r="C1073" s="3" t="s">
        <v>1010</v>
      </c>
      <c r="D1073" s="3" t="s">
        <v>364</v>
      </c>
      <c r="E1073" s="3" t="s">
        <v>15</v>
      </c>
      <c r="F1073" s="1">
        <v>45894</v>
      </c>
      <c r="G1073" t="str">
        <f t="shared" si="17"/>
        <v>Aug -2025</v>
      </c>
      <c r="H1073" s="12"/>
    </row>
    <row r="1074" spans="1:8" x14ac:dyDescent="0.3">
      <c r="A1074" s="2">
        <v>945339</v>
      </c>
      <c r="B1074" s="3" t="s">
        <v>465</v>
      </c>
      <c r="C1074" s="3" t="s">
        <v>1010</v>
      </c>
      <c r="D1074" s="3" t="s">
        <v>10</v>
      </c>
      <c r="E1074" s="3" t="s">
        <v>466</v>
      </c>
      <c r="F1074" s="1">
        <v>45894</v>
      </c>
      <c r="G1074" t="str">
        <f t="shared" si="17"/>
        <v>Aug -2025</v>
      </c>
      <c r="H1074" s="12"/>
    </row>
    <row r="1075" spans="1:8" x14ac:dyDescent="0.3">
      <c r="A1075" s="2">
        <v>937835</v>
      </c>
      <c r="B1075" s="3" t="s">
        <v>53</v>
      </c>
      <c r="C1075" s="3" t="s">
        <v>1010</v>
      </c>
      <c r="D1075" s="3" t="s">
        <v>10</v>
      </c>
      <c r="E1075" s="3" t="s">
        <v>268</v>
      </c>
      <c r="F1075" s="1">
        <v>45894</v>
      </c>
      <c r="G1075" t="str">
        <f t="shared" si="17"/>
        <v>Aug -2025</v>
      </c>
      <c r="H1075" s="12"/>
    </row>
    <row r="1076" spans="1:8" x14ac:dyDescent="0.3">
      <c r="A1076" s="2">
        <v>945528</v>
      </c>
      <c r="B1076" s="3" t="s">
        <v>467</v>
      </c>
      <c r="C1076" s="3" t="s">
        <v>1010</v>
      </c>
      <c r="D1076" s="3" t="s">
        <v>209</v>
      </c>
      <c r="E1076" s="3" t="s">
        <v>225</v>
      </c>
      <c r="F1076" s="1">
        <v>45894</v>
      </c>
      <c r="G1076" t="str">
        <f t="shared" si="17"/>
        <v>Aug -2025</v>
      </c>
      <c r="H1076" s="12"/>
    </row>
    <row r="1077" spans="1:8" x14ac:dyDescent="0.3">
      <c r="A1077" s="2">
        <v>945797</v>
      </c>
      <c r="B1077" s="3" t="s">
        <v>467</v>
      </c>
      <c r="C1077" s="3" t="s">
        <v>1010</v>
      </c>
      <c r="D1077" s="3" t="s">
        <v>209</v>
      </c>
      <c r="E1077" s="3" t="s">
        <v>225</v>
      </c>
      <c r="F1077" s="1">
        <v>45894</v>
      </c>
      <c r="G1077" t="str">
        <f t="shared" si="17"/>
        <v>Aug -2025</v>
      </c>
      <c r="H1077" s="12"/>
    </row>
    <row r="1078" spans="1:8" x14ac:dyDescent="0.3">
      <c r="A1078" s="2">
        <v>945737</v>
      </c>
      <c r="B1078" s="3" t="s">
        <v>468</v>
      </c>
      <c r="C1078" s="3" t="s">
        <v>1010</v>
      </c>
      <c r="D1078" s="3" t="s">
        <v>1259</v>
      </c>
      <c r="E1078" s="3" t="s">
        <v>15</v>
      </c>
      <c r="F1078" s="1">
        <v>45894</v>
      </c>
      <c r="G1078" t="str">
        <f t="shared" si="17"/>
        <v>Aug -2025</v>
      </c>
      <c r="H1078" s="12"/>
    </row>
    <row r="1079" spans="1:8" x14ac:dyDescent="0.3">
      <c r="A1079" s="2">
        <v>946341</v>
      </c>
      <c r="B1079" s="3" t="s">
        <v>469</v>
      </c>
      <c r="C1079" s="3" t="s">
        <v>1010</v>
      </c>
      <c r="D1079" s="3" t="s">
        <v>1259</v>
      </c>
      <c r="E1079" s="3" t="s">
        <v>15</v>
      </c>
      <c r="F1079" s="1">
        <v>45895</v>
      </c>
      <c r="G1079" t="str">
        <f t="shared" si="17"/>
        <v>Aug -2025</v>
      </c>
      <c r="H1079" s="12"/>
    </row>
    <row r="1080" spans="1:8" x14ac:dyDescent="0.3">
      <c r="A1080" s="2">
        <v>937835</v>
      </c>
      <c r="B1080" s="3" t="s">
        <v>53</v>
      </c>
      <c r="C1080" s="3" t="s">
        <v>1010</v>
      </c>
      <c r="D1080" s="3" t="s">
        <v>10</v>
      </c>
      <c r="E1080" s="3" t="s">
        <v>268</v>
      </c>
      <c r="F1080" s="1">
        <v>45895</v>
      </c>
      <c r="G1080" t="str">
        <f t="shared" si="17"/>
        <v>Aug -2025</v>
      </c>
      <c r="H1080" s="12"/>
    </row>
    <row r="1081" spans="1:8" x14ac:dyDescent="0.3">
      <c r="A1081" s="2">
        <v>900004310</v>
      </c>
      <c r="B1081" s="3" t="s">
        <v>470</v>
      </c>
      <c r="C1081" s="3" t="s">
        <v>1010</v>
      </c>
      <c r="D1081" s="3" t="s">
        <v>143</v>
      </c>
      <c r="E1081" s="3" t="s">
        <v>322</v>
      </c>
      <c r="F1081" s="1">
        <v>45895</v>
      </c>
      <c r="G1081" t="str">
        <f t="shared" si="17"/>
        <v>Aug -2025</v>
      </c>
      <c r="H1081" s="12"/>
    </row>
    <row r="1082" spans="1:8" x14ac:dyDescent="0.3">
      <c r="A1082" s="2">
        <v>900004266</v>
      </c>
      <c r="B1082" s="3" t="s">
        <v>471</v>
      </c>
      <c r="C1082" s="3" t="s">
        <v>1010</v>
      </c>
      <c r="D1082" s="3" t="s">
        <v>143</v>
      </c>
      <c r="E1082" s="3" t="s">
        <v>322</v>
      </c>
      <c r="F1082" s="1">
        <v>45895</v>
      </c>
      <c r="G1082" t="str">
        <f t="shared" si="17"/>
        <v>Aug -2025</v>
      </c>
      <c r="H1082" s="12"/>
    </row>
    <row r="1083" spans="1:8" x14ac:dyDescent="0.3">
      <c r="A1083" s="2">
        <v>900004267</v>
      </c>
      <c r="B1083" s="3" t="s">
        <v>472</v>
      </c>
      <c r="C1083" s="3" t="s">
        <v>1010</v>
      </c>
      <c r="D1083" s="3" t="s">
        <v>143</v>
      </c>
      <c r="E1083" s="3" t="s">
        <v>322</v>
      </c>
      <c r="F1083" s="1">
        <v>45895</v>
      </c>
      <c r="G1083" t="str">
        <f t="shared" si="17"/>
        <v>Aug -2025</v>
      </c>
      <c r="H1083" s="12"/>
    </row>
    <row r="1084" spans="1:8" x14ac:dyDescent="0.3">
      <c r="A1084" s="2">
        <v>900004268</v>
      </c>
      <c r="B1084" s="3" t="s">
        <v>473</v>
      </c>
      <c r="C1084" s="3" t="s">
        <v>1010</v>
      </c>
      <c r="D1084" s="3" t="s">
        <v>143</v>
      </c>
      <c r="E1084" s="3" t="s">
        <v>322</v>
      </c>
      <c r="F1084" s="1">
        <v>45895</v>
      </c>
      <c r="G1084" t="str">
        <f t="shared" si="17"/>
        <v>Aug -2025</v>
      </c>
      <c r="H1084" s="12"/>
    </row>
    <row r="1085" spans="1:8" x14ac:dyDescent="0.3">
      <c r="A1085" s="2">
        <v>900004269</v>
      </c>
      <c r="B1085" s="3" t="s">
        <v>470</v>
      </c>
      <c r="C1085" s="3" t="s">
        <v>1010</v>
      </c>
      <c r="D1085" s="3" t="s">
        <v>143</v>
      </c>
      <c r="E1085" s="3" t="s">
        <v>322</v>
      </c>
      <c r="F1085" s="1">
        <v>45895</v>
      </c>
      <c r="G1085" t="str">
        <f t="shared" si="17"/>
        <v>Aug -2025</v>
      </c>
      <c r="H1085" s="12"/>
    </row>
    <row r="1086" spans="1:8" x14ac:dyDescent="0.3">
      <c r="A1086" s="2">
        <v>946485</v>
      </c>
      <c r="B1086" s="3" t="s">
        <v>474</v>
      </c>
      <c r="C1086" s="3" t="s">
        <v>1010</v>
      </c>
      <c r="D1086" s="3" t="s">
        <v>209</v>
      </c>
      <c r="E1086" s="3" t="s">
        <v>375</v>
      </c>
      <c r="F1086" s="1">
        <v>45895</v>
      </c>
      <c r="G1086" t="str">
        <f t="shared" si="17"/>
        <v>Aug -2025</v>
      </c>
      <c r="H1086" s="12"/>
    </row>
    <row r="1087" spans="1:8" x14ac:dyDescent="0.3">
      <c r="A1087" s="2">
        <v>946486</v>
      </c>
      <c r="B1087" s="3" t="s">
        <v>474</v>
      </c>
      <c r="C1087" s="3" t="s">
        <v>1010</v>
      </c>
      <c r="D1087" s="3" t="s">
        <v>209</v>
      </c>
      <c r="E1087" s="3" t="s">
        <v>375</v>
      </c>
      <c r="F1087" s="1">
        <v>45895</v>
      </c>
      <c r="G1087" t="str">
        <f t="shared" si="17"/>
        <v>Aug -2025</v>
      </c>
      <c r="H1087" s="12"/>
    </row>
    <row r="1088" spans="1:8" x14ac:dyDescent="0.3">
      <c r="A1088" s="2">
        <v>946487</v>
      </c>
      <c r="B1088" s="3" t="s">
        <v>474</v>
      </c>
      <c r="C1088" s="3" t="s">
        <v>1010</v>
      </c>
      <c r="D1088" s="3" t="s">
        <v>209</v>
      </c>
      <c r="E1088" s="3" t="s">
        <v>375</v>
      </c>
      <c r="F1088" s="1">
        <v>45895</v>
      </c>
      <c r="G1088" t="str">
        <f t="shared" si="17"/>
        <v>Aug -2025</v>
      </c>
      <c r="H1088" s="12"/>
    </row>
    <row r="1089" spans="1:8" x14ac:dyDescent="0.3">
      <c r="A1089" s="2">
        <v>946490</v>
      </c>
      <c r="B1089" s="3" t="s">
        <v>474</v>
      </c>
      <c r="C1089" s="3" t="s">
        <v>1010</v>
      </c>
      <c r="D1089" s="3" t="s">
        <v>209</v>
      </c>
      <c r="E1089" s="3" t="s">
        <v>375</v>
      </c>
      <c r="F1089" s="1">
        <v>45895</v>
      </c>
      <c r="G1089" t="str">
        <f t="shared" si="17"/>
        <v>Aug -2025</v>
      </c>
      <c r="H1089" s="12"/>
    </row>
    <row r="1090" spans="1:8" x14ac:dyDescent="0.3">
      <c r="A1090" s="2">
        <v>945480</v>
      </c>
      <c r="B1090" s="3" t="s">
        <v>41</v>
      </c>
      <c r="C1090" s="3" t="s">
        <v>1010</v>
      </c>
      <c r="D1090" s="3" t="s">
        <v>10</v>
      </c>
      <c r="E1090" s="3" t="s">
        <v>211</v>
      </c>
      <c r="F1090" s="1">
        <v>45895</v>
      </c>
      <c r="G1090" t="str">
        <f t="shared" ref="G1090:G1153" si="18">TEXT(F1090,"mmm -YYYY")</f>
        <v>Aug -2025</v>
      </c>
      <c r="H1090" s="12"/>
    </row>
    <row r="1091" spans="1:8" x14ac:dyDescent="0.3">
      <c r="A1091" s="2">
        <v>945479</v>
      </c>
      <c r="B1091" s="3" t="s">
        <v>41</v>
      </c>
      <c r="C1091" s="3" t="s">
        <v>1010</v>
      </c>
      <c r="D1091" s="3" t="s">
        <v>10</v>
      </c>
      <c r="E1091" s="3" t="s">
        <v>211</v>
      </c>
      <c r="F1091" s="1">
        <v>45895</v>
      </c>
      <c r="G1091" t="str">
        <f t="shared" si="18"/>
        <v>Aug -2025</v>
      </c>
      <c r="H1091" s="12"/>
    </row>
    <row r="1092" spans="1:8" x14ac:dyDescent="0.3">
      <c r="A1092" s="2">
        <v>945522</v>
      </c>
      <c r="B1092" s="3" t="s">
        <v>41</v>
      </c>
      <c r="C1092" s="3" t="s">
        <v>1010</v>
      </c>
      <c r="D1092" s="3" t="s">
        <v>10</v>
      </c>
      <c r="E1092" s="3" t="s">
        <v>211</v>
      </c>
      <c r="F1092" s="1">
        <v>45895</v>
      </c>
      <c r="G1092" t="str">
        <f t="shared" si="18"/>
        <v>Aug -2025</v>
      </c>
      <c r="H1092" s="12"/>
    </row>
    <row r="1093" spans="1:8" x14ac:dyDescent="0.3">
      <c r="A1093" s="2">
        <v>938464</v>
      </c>
      <c r="B1093" s="3" t="s">
        <v>463</v>
      </c>
      <c r="C1093" s="3" t="s">
        <v>1010</v>
      </c>
      <c r="D1093" s="3" t="s">
        <v>1259</v>
      </c>
      <c r="E1093" s="3" t="s">
        <v>15</v>
      </c>
      <c r="F1093" s="1">
        <v>45895</v>
      </c>
      <c r="G1093" t="str">
        <f t="shared" si="18"/>
        <v>Aug -2025</v>
      </c>
      <c r="H1093" s="12"/>
    </row>
    <row r="1094" spans="1:8" x14ac:dyDescent="0.3">
      <c r="A1094" s="2">
        <v>948412</v>
      </c>
      <c r="B1094" s="3" t="s">
        <v>41</v>
      </c>
      <c r="C1094" s="3" t="s">
        <v>1010</v>
      </c>
      <c r="D1094" s="3" t="s">
        <v>10</v>
      </c>
      <c r="E1094" s="3" t="s">
        <v>211</v>
      </c>
      <c r="F1094" s="1">
        <v>45895</v>
      </c>
      <c r="G1094" t="str">
        <f t="shared" si="18"/>
        <v>Aug -2025</v>
      </c>
      <c r="H1094" s="12"/>
    </row>
    <row r="1095" spans="1:8" x14ac:dyDescent="0.3">
      <c r="A1095" s="2">
        <v>948502</v>
      </c>
      <c r="B1095" s="3" t="s">
        <v>41</v>
      </c>
      <c r="C1095" s="3" t="s">
        <v>1010</v>
      </c>
      <c r="D1095" s="3" t="s">
        <v>10</v>
      </c>
      <c r="E1095" s="3" t="s">
        <v>211</v>
      </c>
      <c r="F1095" s="1">
        <v>45895</v>
      </c>
      <c r="G1095" t="str">
        <f t="shared" si="18"/>
        <v>Aug -2025</v>
      </c>
      <c r="H1095" s="12"/>
    </row>
    <row r="1096" spans="1:8" x14ac:dyDescent="0.3">
      <c r="A1096" s="2">
        <v>948663</v>
      </c>
      <c r="B1096" s="3" t="s">
        <v>475</v>
      </c>
      <c r="C1096" s="3" t="s">
        <v>1010</v>
      </c>
      <c r="D1096" s="3" t="s">
        <v>209</v>
      </c>
      <c r="E1096" s="3" t="s">
        <v>225</v>
      </c>
      <c r="F1096" s="1">
        <v>45895</v>
      </c>
      <c r="G1096" t="str">
        <f t="shared" si="18"/>
        <v>Aug -2025</v>
      </c>
      <c r="H1096" s="12"/>
    </row>
    <row r="1097" spans="1:8" x14ac:dyDescent="0.3">
      <c r="A1097" s="2">
        <v>900004265</v>
      </c>
      <c r="B1097" s="3" t="s">
        <v>476</v>
      </c>
      <c r="C1097" s="3" t="s">
        <v>1010</v>
      </c>
      <c r="D1097" s="3" t="s">
        <v>143</v>
      </c>
      <c r="E1097" s="3" t="s">
        <v>322</v>
      </c>
      <c r="F1097" s="1">
        <v>45895</v>
      </c>
      <c r="G1097" t="str">
        <f t="shared" si="18"/>
        <v>Aug -2025</v>
      </c>
      <c r="H1097" s="12"/>
    </row>
    <row r="1098" spans="1:8" x14ac:dyDescent="0.3">
      <c r="A1098" s="2">
        <v>948664</v>
      </c>
      <c r="B1098" s="3" t="s">
        <v>477</v>
      </c>
      <c r="C1098" s="3" t="s">
        <v>1010</v>
      </c>
      <c r="D1098" s="3" t="s">
        <v>209</v>
      </c>
      <c r="E1098" s="3" t="s">
        <v>210</v>
      </c>
      <c r="F1098" s="1">
        <v>45895</v>
      </c>
      <c r="G1098" t="str">
        <f t="shared" si="18"/>
        <v>Aug -2025</v>
      </c>
      <c r="H1098" s="12"/>
    </row>
    <row r="1099" spans="1:8" x14ac:dyDescent="0.3">
      <c r="A1099" s="2">
        <v>100003556</v>
      </c>
      <c r="B1099" s="3" t="s">
        <v>955</v>
      </c>
      <c r="C1099" s="3" t="s">
        <v>1011</v>
      </c>
      <c r="D1099" s="3" t="s">
        <v>972</v>
      </c>
      <c r="E1099" s="3" t="s">
        <v>976</v>
      </c>
      <c r="F1099" s="1">
        <v>45895</v>
      </c>
      <c r="G1099" t="str">
        <f t="shared" si="18"/>
        <v>Aug -2025</v>
      </c>
      <c r="H1099" s="12"/>
    </row>
    <row r="1100" spans="1:8" x14ac:dyDescent="0.3">
      <c r="A1100" s="2">
        <v>100003630</v>
      </c>
      <c r="B1100" s="3" t="s">
        <v>956</v>
      </c>
      <c r="C1100" s="3" t="s">
        <v>1011</v>
      </c>
      <c r="D1100" s="3" t="s">
        <v>973</v>
      </c>
      <c r="E1100" s="3" t="s">
        <v>966</v>
      </c>
      <c r="F1100" s="1">
        <v>45895</v>
      </c>
      <c r="G1100" t="str">
        <f t="shared" si="18"/>
        <v>Aug -2025</v>
      </c>
      <c r="H1100" s="12"/>
    </row>
    <row r="1101" spans="1:8" x14ac:dyDescent="0.3">
      <c r="A1101" s="2">
        <v>946445</v>
      </c>
      <c r="B1101" s="3" t="s">
        <v>478</v>
      </c>
      <c r="C1101" s="3" t="s">
        <v>1010</v>
      </c>
      <c r="D1101" s="3" t="s">
        <v>1259</v>
      </c>
      <c r="E1101" s="3" t="s">
        <v>15</v>
      </c>
      <c r="F1101" s="1">
        <v>45896</v>
      </c>
      <c r="G1101" t="str">
        <f t="shared" si="18"/>
        <v>Aug -2025</v>
      </c>
      <c r="H1101" s="12"/>
    </row>
    <row r="1102" spans="1:8" x14ac:dyDescent="0.3">
      <c r="A1102" s="2">
        <v>906316</v>
      </c>
      <c r="B1102" s="3" t="s">
        <v>479</v>
      </c>
      <c r="C1102" s="3" t="s">
        <v>1010</v>
      </c>
      <c r="D1102" s="3" t="s">
        <v>10</v>
      </c>
      <c r="E1102" s="3" t="s">
        <v>338</v>
      </c>
      <c r="F1102" s="1">
        <v>45896</v>
      </c>
      <c r="G1102" t="str">
        <f t="shared" si="18"/>
        <v>Aug -2025</v>
      </c>
      <c r="H1102" s="12"/>
    </row>
    <row r="1103" spans="1:8" x14ac:dyDescent="0.3">
      <c r="A1103" s="2">
        <v>948889</v>
      </c>
      <c r="B1103" s="3" t="s">
        <v>356</v>
      </c>
      <c r="C1103" s="3" t="s">
        <v>1010</v>
      </c>
      <c r="D1103" s="3" t="s">
        <v>209</v>
      </c>
      <c r="E1103" s="3" t="s">
        <v>357</v>
      </c>
      <c r="F1103" s="1">
        <v>45896</v>
      </c>
      <c r="G1103" t="str">
        <f t="shared" si="18"/>
        <v>Aug -2025</v>
      </c>
      <c r="H1103" s="12"/>
    </row>
    <row r="1104" spans="1:8" x14ac:dyDescent="0.3">
      <c r="A1104" s="2">
        <v>200002308</v>
      </c>
      <c r="B1104" s="3" t="s">
        <v>480</v>
      </c>
      <c r="C1104" s="3" t="s">
        <v>1010</v>
      </c>
      <c r="D1104" s="3" t="s">
        <v>192</v>
      </c>
      <c r="E1104" s="3" t="s">
        <v>193</v>
      </c>
      <c r="F1104" s="1">
        <v>45896</v>
      </c>
      <c r="G1104" t="str">
        <f t="shared" si="18"/>
        <v>Aug -2025</v>
      </c>
      <c r="H1104" s="12"/>
    </row>
    <row r="1105" spans="1:8" x14ac:dyDescent="0.3">
      <c r="A1105" s="2">
        <v>946341</v>
      </c>
      <c r="B1105" s="3" t="s">
        <v>469</v>
      </c>
      <c r="C1105" s="3" t="s">
        <v>1010</v>
      </c>
      <c r="D1105" s="3" t="s">
        <v>1259</v>
      </c>
      <c r="E1105" s="3" t="s">
        <v>15</v>
      </c>
      <c r="F1105" s="1">
        <v>45896</v>
      </c>
      <c r="G1105" t="str">
        <f t="shared" si="18"/>
        <v>Aug -2025</v>
      </c>
      <c r="H1105" s="12"/>
    </row>
    <row r="1106" spans="1:8" x14ac:dyDescent="0.3">
      <c r="A1106" s="2">
        <v>948888</v>
      </c>
      <c r="B1106" s="3" t="s">
        <v>356</v>
      </c>
      <c r="C1106" s="3" t="s">
        <v>1010</v>
      </c>
      <c r="D1106" s="3" t="s">
        <v>209</v>
      </c>
      <c r="E1106" s="3" t="s">
        <v>357</v>
      </c>
      <c r="F1106" s="1">
        <v>45896</v>
      </c>
      <c r="G1106" t="str">
        <f t="shared" si="18"/>
        <v>Aug -2025</v>
      </c>
      <c r="H1106" s="12"/>
    </row>
    <row r="1107" spans="1:8" x14ac:dyDescent="0.3">
      <c r="A1107" s="2">
        <v>951075</v>
      </c>
      <c r="B1107" s="3" t="s">
        <v>481</v>
      </c>
      <c r="C1107" s="3" t="s">
        <v>1010</v>
      </c>
      <c r="D1107" s="3" t="s">
        <v>209</v>
      </c>
      <c r="E1107" s="3" t="s">
        <v>210</v>
      </c>
      <c r="F1107" s="1">
        <v>45896</v>
      </c>
      <c r="G1107" t="str">
        <f t="shared" si="18"/>
        <v>Aug -2025</v>
      </c>
      <c r="H1107" s="12"/>
    </row>
    <row r="1108" spans="1:8" x14ac:dyDescent="0.3">
      <c r="A1108" s="2">
        <v>200002312</v>
      </c>
      <c r="B1108" s="3" t="s">
        <v>482</v>
      </c>
      <c r="C1108" s="3" t="s">
        <v>1010</v>
      </c>
      <c r="D1108" s="3" t="s">
        <v>192</v>
      </c>
      <c r="E1108" s="3" t="s">
        <v>483</v>
      </c>
      <c r="F1108" s="1">
        <v>45896</v>
      </c>
      <c r="G1108" t="str">
        <f t="shared" si="18"/>
        <v>Aug -2025</v>
      </c>
      <c r="H1108" s="12"/>
    </row>
    <row r="1109" spans="1:8" x14ac:dyDescent="0.3">
      <c r="A1109" s="2">
        <v>200002315</v>
      </c>
      <c r="B1109" s="3" t="s">
        <v>484</v>
      </c>
      <c r="C1109" s="3" t="s">
        <v>1010</v>
      </c>
      <c r="D1109" s="3" t="s">
        <v>192</v>
      </c>
      <c r="E1109" s="3" t="s">
        <v>216</v>
      </c>
      <c r="F1109" s="1">
        <v>45896</v>
      </c>
      <c r="G1109" t="str">
        <f t="shared" si="18"/>
        <v>Aug -2025</v>
      </c>
      <c r="H1109" s="12"/>
    </row>
    <row r="1110" spans="1:8" x14ac:dyDescent="0.3">
      <c r="A1110" s="2">
        <v>900004238</v>
      </c>
      <c r="B1110" s="3" t="s">
        <v>485</v>
      </c>
      <c r="C1110" s="3" t="s">
        <v>1010</v>
      </c>
      <c r="D1110" s="3" t="s">
        <v>143</v>
      </c>
      <c r="E1110" s="3" t="s">
        <v>322</v>
      </c>
      <c r="F1110" s="1">
        <v>45896</v>
      </c>
      <c r="G1110" t="str">
        <f t="shared" si="18"/>
        <v>Aug -2025</v>
      </c>
      <c r="H1110" s="12"/>
    </row>
    <row r="1111" spans="1:8" x14ac:dyDescent="0.3">
      <c r="A1111" s="2">
        <v>900004313</v>
      </c>
      <c r="B1111" s="3" t="s">
        <v>486</v>
      </c>
      <c r="C1111" s="3" t="s">
        <v>1010</v>
      </c>
      <c r="D1111" s="3" t="s">
        <v>143</v>
      </c>
      <c r="E1111" s="3" t="s">
        <v>322</v>
      </c>
      <c r="F1111" s="1">
        <v>45896</v>
      </c>
      <c r="G1111" t="str">
        <f t="shared" si="18"/>
        <v>Aug -2025</v>
      </c>
      <c r="H1111" s="12"/>
    </row>
    <row r="1112" spans="1:8" x14ac:dyDescent="0.3">
      <c r="A1112" s="2">
        <v>900004314</v>
      </c>
      <c r="B1112" s="3" t="s">
        <v>487</v>
      </c>
      <c r="C1112" s="3" t="s">
        <v>1010</v>
      </c>
      <c r="D1112" s="3" t="s">
        <v>143</v>
      </c>
      <c r="E1112" s="3" t="s">
        <v>322</v>
      </c>
      <c r="F1112" s="1">
        <v>45896</v>
      </c>
      <c r="G1112" t="str">
        <f t="shared" si="18"/>
        <v>Aug -2025</v>
      </c>
      <c r="H1112" s="12"/>
    </row>
    <row r="1113" spans="1:8" x14ac:dyDescent="0.3">
      <c r="A1113" s="2">
        <v>938464</v>
      </c>
      <c r="B1113" s="3" t="s">
        <v>463</v>
      </c>
      <c r="C1113" s="3" t="s">
        <v>1010</v>
      </c>
      <c r="D1113" s="3" t="s">
        <v>1259</v>
      </c>
      <c r="E1113" s="3" t="s">
        <v>15</v>
      </c>
      <c r="F1113" s="1">
        <v>45896</v>
      </c>
      <c r="G1113" t="str">
        <f t="shared" si="18"/>
        <v>Aug -2025</v>
      </c>
      <c r="H1113" s="12"/>
    </row>
    <row r="1114" spans="1:8" x14ac:dyDescent="0.3">
      <c r="A1114" s="2">
        <v>100003639</v>
      </c>
      <c r="B1114" s="3" t="s">
        <v>957</v>
      </c>
      <c r="C1114" s="3" t="s">
        <v>1011</v>
      </c>
      <c r="D1114" s="3" t="s">
        <v>972</v>
      </c>
      <c r="E1114" s="3" t="s">
        <v>983</v>
      </c>
      <c r="F1114" s="1">
        <v>45896</v>
      </c>
      <c r="G1114" t="str">
        <f t="shared" si="18"/>
        <v>Aug -2025</v>
      </c>
      <c r="H1114" s="12"/>
    </row>
    <row r="1115" spans="1:8" x14ac:dyDescent="0.3">
      <c r="A1115" s="2">
        <v>100003670</v>
      </c>
      <c r="B1115" s="3" t="s">
        <v>958</v>
      </c>
      <c r="C1115" s="3" t="s">
        <v>1011</v>
      </c>
      <c r="D1115" s="3" t="s">
        <v>972</v>
      </c>
      <c r="E1115" s="3" t="s">
        <v>968</v>
      </c>
      <c r="F1115" s="1">
        <v>45896</v>
      </c>
      <c r="G1115" t="str">
        <f t="shared" si="18"/>
        <v>Aug -2025</v>
      </c>
      <c r="H1115" s="12"/>
    </row>
    <row r="1116" spans="1:8" x14ac:dyDescent="0.3">
      <c r="A1116" s="2">
        <v>100003618</v>
      </c>
      <c r="B1116" s="3" t="s">
        <v>959</v>
      </c>
      <c r="C1116" s="3" t="s">
        <v>1011</v>
      </c>
      <c r="D1116" s="3" t="s">
        <v>972</v>
      </c>
      <c r="E1116" s="3" t="s">
        <v>967</v>
      </c>
      <c r="F1116" s="1">
        <v>45896</v>
      </c>
      <c r="G1116" t="str">
        <f t="shared" si="18"/>
        <v>Aug -2025</v>
      </c>
      <c r="H1116" s="12"/>
    </row>
    <row r="1117" spans="1:8" x14ac:dyDescent="0.3">
      <c r="A1117" s="2">
        <v>200002231</v>
      </c>
      <c r="B1117" s="3" t="s">
        <v>488</v>
      </c>
      <c r="C1117" s="3" t="s">
        <v>1010</v>
      </c>
      <c r="D1117" s="3" t="s">
        <v>192</v>
      </c>
      <c r="E1117" s="3" t="s">
        <v>483</v>
      </c>
      <c r="F1117" s="1">
        <v>45897</v>
      </c>
      <c r="G1117" t="str">
        <f t="shared" si="18"/>
        <v>Aug -2025</v>
      </c>
      <c r="H1117" s="12"/>
    </row>
    <row r="1118" spans="1:8" x14ac:dyDescent="0.3">
      <c r="A1118" s="2">
        <v>200002341</v>
      </c>
      <c r="B1118" s="3" t="s">
        <v>489</v>
      </c>
      <c r="C1118" s="3" t="s">
        <v>1010</v>
      </c>
      <c r="D1118" s="3" t="s">
        <v>192</v>
      </c>
      <c r="E1118" s="3" t="s">
        <v>287</v>
      </c>
      <c r="F1118" s="1">
        <v>45897</v>
      </c>
      <c r="G1118" t="str">
        <f t="shared" si="18"/>
        <v>Aug -2025</v>
      </c>
      <c r="H1118" s="12"/>
    </row>
    <row r="1119" spans="1:8" x14ac:dyDescent="0.3">
      <c r="A1119" s="2">
        <v>200002251</v>
      </c>
      <c r="B1119" s="3" t="s">
        <v>490</v>
      </c>
      <c r="C1119" s="3" t="s">
        <v>1010</v>
      </c>
      <c r="D1119" s="3" t="s">
        <v>192</v>
      </c>
      <c r="E1119" s="3" t="s">
        <v>483</v>
      </c>
      <c r="F1119" s="1">
        <v>45897</v>
      </c>
      <c r="G1119" t="str">
        <f t="shared" si="18"/>
        <v>Aug -2025</v>
      </c>
      <c r="H1119" s="12"/>
    </row>
    <row r="1120" spans="1:8" x14ac:dyDescent="0.3">
      <c r="A1120" s="2">
        <v>200002340</v>
      </c>
      <c r="B1120" s="3" t="s">
        <v>491</v>
      </c>
      <c r="C1120" s="3" t="s">
        <v>1010</v>
      </c>
      <c r="D1120" s="3" t="s">
        <v>192</v>
      </c>
      <c r="E1120" s="3" t="s">
        <v>193</v>
      </c>
      <c r="F1120" s="1">
        <v>45897</v>
      </c>
      <c r="G1120" t="str">
        <f t="shared" si="18"/>
        <v>Aug -2025</v>
      </c>
      <c r="H1120" s="12"/>
    </row>
    <row r="1121" spans="1:8" x14ac:dyDescent="0.3">
      <c r="A1121" s="2">
        <v>200002334</v>
      </c>
      <c r="B1121" s="3" t="s">
        <v>492</v>
      </c>
      <c r="C1121" s="3" t="s">
        <v>1010</v>
      </c>
      <c r="D1121" s="3" t="s">
        <v>192</v>
      </c>
      <c r="E1121" s="3" t="s">
        <v>418</v>
      </c>
      <c r="F1121" s="1">
        <v>45897</v>
      </c>
      <c r="G1121" t="str">
        <f t="shared" si="18"/>
        <v>Aug -2025</v>
      </c>
      <c r="H1121" s="12"/>
    </row>
    <row r="1122" spans="1:8" x14ac:dyDescent="0.3">
      <c r="A1122" s="2">
        <v>200002351</v>
      </c>
      <c r="B1122" s="3" t="s">
        <v>493</v>
      </c>
      <c r="C1122" s="3" t="s">
        <v>1010</v>
      </c>
      <c r="D1122" s="3" t="s">
        <v>192</v>
      </c>
      <c r="E1122" s="3" t="s">
        <v>216</v>
      </c>
      <c r="F1122" s="1">
        <v>45897</v>
      </c>
      <c r="G1122" t="str">
        <f t="shared" si="18"/>
        <v>Aug -2025</v>
      </c>
      <c r="H1122" s="12"/>
    </row>
    <row r="1123" spans="1:8" x14ac:dyDescent="0.3">
      <c r="A1123" s="2">
        <v>900004289</v>
      </c>
      <c r="B1123" s="3" t="s">
        <v>306</v>
      </c>
      <c r="C1123" s="3" t="s">
        <v>1010</v>
      </c>
      <c r="D1123" s="3" t="s">
        <v>143</v>
      </c>
      <c r="E1123" s="3" t="s">
        <v>322</v>
      </c>
      <c r="F1123" s="1">
        <v>45897</v>
      </c>
      <c r="G1123" t="str">
        <f t="shared" si="18"/>
        <v>Aug -2025</v>
      </c>
      <c r="H1123" s="12"/>
    </row>
    <row r="1124" spans="1:8" x14ac:dyDescent="0.3">
      <c r="A1124" s="2">
        <v>954049</v>
      </c>
      <c r="B1124" s="3" t="s">
        <v>494</v>
      </c>
      <c r="C1124" s="3" t="s">
        <v>1010</v>
      </c>
      <c r="D1124" s="3" t="s">
        <v>209</v>
      </c>
      <c r="E1124" s="3" t="s">
        <v>210</v>
      </c>
      <c r="F1124" s="1">
        <v>45897</v>
      </c>
      <c r="G1124" t="str">
        <f t="shared" si="18"/>
        <v>Aug -2025</v>
      </c>
      <c r="H1124" s="12"/>
    </row>
    <row r="1125" spans="1:8" x14ac:dyDescent="0.3">
      <c r="A1125" s="2">
        <v>954047</v>
      </c>
      <c r="B1125" s="3" t="s">
        <v>494</v>
      </c>
      <c r="C1125" s="3" t="s">
        <v>1010</v>
      </c>
      <c r="D1125" s="3" t="s">
        <v>209</v>
      </c>
      <c r="E1125" s="3" t="s">
        <v>210</v>
      </c>
      <c r="F1125" s="1">
        <v>45897</v>
      </c>
      <c r="G1125" t="str">
        <f t="shared" si="18"/>
        <v>Aug -2025</v>
      </c>
      <c r="H1125" s="12"/>
    </row>
    <row r="1126" spans="1:8" x14ac:dyDescent="0.3">
      <c r="A1126" s="2">
        <v>950727</v>
      </c>
      <c r="B1126" s="3" t="s">
        <v>495</v>
      </c>
      <c r="C1126" s="3" t="s">
        <v>1010</v>
      </c>
      <c r="D1126" s="3" t="s">
        <v>143</v>
      </c>
      <c r="E1126" s="3" t="s">
        <v>338</v>
      </c>
      <c r="F1126" s="1">
        <v>45897</v>
      </c>
      <c r="G1126" t="str">
        <f t="shared" si="18"/>
        <v>Aug -2025</v>
      </c>
      <c r="H1126" s="12"/>
    </row>
    <row r="1127" spans="1:8" x14ac:dyDescent="0.3">
      <c r="A1127" s="2">
        <v>951644</v>
      </c>
      <c r="B1127" s="3" t="s">
        <v>496</v>
      </c>
      <c r="C1127" s="3" t="s">
        <v>1010</v>
      </c>
      <c r="D1127" s="3" t="s">
        <v>143</v>
      </c>
      <c r="E1127" s="3" t="s">
        <v>338</v>
      </c>
      <c r="F1127" s="1">
        <v>45897</v>
      </c>
      <c r="G1127" t="str">
        <f t="shared" si="18"/>
        <v>Aug -2025</v>
      </c>
      <c r="H1127" s="12"/>
    </row>
    <row r="1128" spans="1:8" x14ac:dyDescent="0.3">
      <c r="A1128" s="2">
        <v>954352</v>
      </c>
      <c r="B1128" s="3" t="s">
        <v>497</v>
      </c>
      <c r="C1128" s="3" t="s">
        <v>1010</v>
      </c>
      <c r="D1128" s="3" t="s">
        <v>143</v>
      </c>
      <c r="E1128" s="3" t="s">
        <v>225</v>
      </c>
      <c r="F1128" s="1">
        <v>45897</v>
      </c>
      <c r="G1128" t="str">
        <f t="shared" si="18"/>
        <v>Aug -2025</v>
      </c>
      <c r="H1128" s="12"/>
    </row>
    <row r="1129" spans="1:8" x14ac:dyDescent="0.3">
      <c r="A1129" s="2">
        <v>100003656</v>
      </c>
      <c r="B1129" s="3" t="s">
        <v>960</v>
      </c>
      <c r="C1129" s="3" t="s">
        <v>1011</v>
      </c>
      <c r="D1129" s="3" t="s">
        <v>972</v>
      </c>
      <c r="E1129" s="3" t="s">
        <v>988</v>
      </c>
      <c r="F1129" s="1">
        <v>45897</v>
      </c>
      <c r="G1129" t="str">
        <f t="shared" si="18"/>
        <v>Aug -2025</v>
      </c>
      <c r="H1129" s="12"/>
    </row>
    <row r="1130" spans="1:8" x14ac:dyDescent="0.3">
      <c r="A1130" s="2">
        <v>100003658</v>
      </c>
      <c r="B1130" s="3" t="s">
        <v>961</v>
      </c>
      <c r="C1130" s="3" t="s">
        <v>1011</v>
      </c>
      <c r="D1130" s="3" t="s">
        <v>972</v>
      </c>
      <c r="E1130" s="3" t="s">
        <v>976</v>
      </c>
      <c r="F1130" s="1">
        <v>45897</v>
      </c>
      <c r="G1130" t="str">
        <f t="shared" si="18"/>
        <v>Aug -2025</v>
      </c>
      <c r="H1130" s="12"/>
    </row>
    <row r="1131" spans="1:8" x14ac:dyDescent="0.3">
      <c r="A1131" s="2">
        <v>954540</v>
      </c>
      <c r="B1131" s="3" t="s">
        <v>47</v>
      </c>
      <c r="C1131" s="3" t="s">
        <v>1010</v>
      </c>
      <c r="D1131" s="3" t="s">
        <v>10</v>
      </c>
      <c r="E1131" s="3" t="s">
        <v>211</v>
      </c>
      <c r="F1131" s="1">
        <v>45902</v>
      </c>
      <c r="G1131" t="str">
        <f t="shared" si="18"/>
        <v>Sep -2025</v>
      </c>
      <c r="H1131" s="12"/>
    </row>
    <row r="1132" spans="1:8" x14ac:dyDescent="0.3">
      <c r="A1132" s="2">
        <v>954679</v>
      </c>
      <c r="B1132" s="3" t="s">
        <v>499</v>
      </c>
      <c r="C1132" s="3" t="s">
        <v>1010</v>
      </c>
      <c r="D1132" s="3" t="s">
        <v>209</v>
      </c>
      <c r="E1132" s="3" t="s">
        <v>228</v>
      </c>
      <c r="F1132" s="1">
        <v>45902</v>
      </c>
      <c r="G1132" t="str">
        <f t="shared" si="18"/>
        <v>Sep -2025</v>
      </c>
      <c r="H1132" s="12"/>
    </row>
    <row r="1133" spans="1:8" x14ac:dyDescent="0.3">
      <c r="A1133" s="2">
        <v>948412</v>
      </c>
      <c r="B1133" s="3" t="s">
        <v>41</v>
      </c>
      <c r="C1133" s="3" t="s">
        <v>1010</v>
      </c>
      <c r="D1133" s="3" t="s">
        <v>10</v>
      </c>
      <c r="E1133" s="3" t="s">
        <v>211</v>
      </c>
      <c r="F1133" s="1">
        <v>45902</v>
      </c>
      <c r="G1133" t="str">
        <f t="shared" si="18"/>
        <v>Sep -2025</v>
      </c>
      <c r="H1133" s="12"/>
    </row>
    <row r="1134" spans="1:8" x14ac:dyDescent="0.3">
      <c r="A1134" s="2">
        <v>948434</v>
      </c>
      <c r="B1134" s="3" t="s">
        <v>41</v>
      </c>
      <c r="C1134" s="3" t="s">
        <v>1010</v>
      </c>
      <c r="D1134" s="3" t="s">
        <v>10</v>
      </c>
      <c r="E1134" s="3" t="s">
        <v>211</v>
      </c>
      <c r="F1134" s="1">
        <v>45902</v>
      </c>
      <c r="G1134" t="str">
        <f t="shared" si="18"/>
        <v>Sep -2025</v>
      </c>
      <c r="H1134" s="12"/>
    </row>
    <row r="1135" spans="1:8" x14ac:dyDescent="0.3">
      <c r="A1135" s="2">
        <v>948475</v>
      </c>
      <c r="B1135" s="3" t="s">
        <v>41</v>
      </c>
      <c r="C1135" s="3" t="s">
        <v>1010</v>
      </c>
      <c r="D1135" s="3" t="s">
        <v>10</v>
      </c>
      <c r="E1135" s="3" t="s">
        <v>211</v>
      </c>
      <c r="F1135" s="1">
        <v>45902</v>
      </c>
      <c r="G1135" t="str">
        <f t="shared" si="18"/>
        <v>Sep -2025</v>
      </c>
      <c r="H1135" s="12"/>
    </row>
    <row r="1136" spans="1:8" x14ac:dyDescent="0.3">
      <c r="A1136" s="2">
        <v>900004345</v>
      </c>
      <c r="B1136" s="3" t="s">
        <v>500</v>
      </c>
      <c r="C1136" s="3" t="s">
        <v>1010</v>
      </c>
      <c r="D1136" s="3" t="s">
        <v>143</v>
      </c>
      <c r="E1136" s="3" t="s">
        <v>322</v>
      </c>
      <c r="F1136" s="1">
        <v>45902</v>
      </c>
      <c r="G1136" t="str">
        <f t="shared" si="18"/>
        <v>Sep -2025</v>
      </c>
      <c r="H1136" s="12"/>
    </row>
    <row r="1137" spans="1:8" x14ac:dyDescent="0.3">
      <c r="A1137" s="2">
        <v>955047</v>
      </c>
      <c r="B1137" s="3" t="s">
        <v>501</v>
      </c>
      <c r="C1137" s="3" t="s">
        <v>1010</v>
      </c>
      <c r="D1137" s="3" t="s">
        <v>209</v>
      </c>
      <c r="E1137" s="3" t="s">
        <v>375</v>
      </c>
      <c r="F1137" s="1">
        <v>45902</v>
      </c>
      <c r="G1137" t="str">
        <f t="shared" si="18"/>
        <v>Sep -2025</v>
      </c>
      <c r="H1137" s="12"/>
    </row>
    <row r="1138" spans="1:8" x14ac:dyDescent="0.3">
      <c r="A1138" s="2">
        <v>964327</v>
      </c>
      <c r="B1138" s="3" t="s">
        <v>502</v>
      </c>
      <c r="C1138" s="3" t="s">
        <v>1010</v>
      </c>
      <c r="D1138" s="3" t="s">
        <v>209</v>
      </c>
      <c r="E1138" s="3" t="s">
        <v>268</v>
      </c>
      <c r="F1138" s="1">
        <v>45902</v>
      </c>
      <c r="G1138" t="str">
        <f t="shared" si="18"/>
        <v>Sep -2025</v>
      </c>
      <c r="H1138" s="12"/>
    </row>
    <row r="1139" spans="1:8" x14ac:dyDescent="0.3">
      <c r="A1139" s="2">
        <v>954943</v>
      </c>
      <c r="B1139" s="3" t="s">
        <v>503</v>
      </c>
      <c r="C1139" s="3" t="s">
        <v>1010</v>
      </c>
      <c r="D1139" s="3" t="s">
        <v>209</v>
      </c>
      <c r="E1139" s="3" t="s">
        <v>375</v>
      </c>
      <c r="F1139" s="1">
        <v>45902</v>
      </c>
      <c r="G1139" t="str">
        <f t="shared" si="18"/>
        <v>Sep -2025</v>
      </c>
      <c r="H1139" s="12"/>
    </row>
    <row r="1140" spans="1:8" x14ac:dyDescent="0.3">
      <c r="A1140" s="2">
        <v>200002334</v>
      </c>
      <c r="B1140" s="3" t="s">
        <v>492</v>
      </c>
      <c r="C1140" s="3" t="s">
        <v>1010</v>
      </c>
      <c r="D1140" s="3" t="s">
        <v>192</v>
      </c>
      <c r="E1140" s="3" t="s">
        <v>418</v>
      </c>
      <c r="F1140" s="1">
        <v>45902</v>
      </c>
      <c r="G1140" t="str">
        <f t="shared" si="18"/>
        <v>Sep -2025</v>
      </c>
      <c r="H1140" s="12"/>
    </row>
    <row r="1141" spans="1:8" x14ac:dyDescent="0.3">
      <c r="A1141" s="2">
        <v>964440</v>
      </c>
      <c r="B1141" s="3" t="s">
        <v>502</v>
      </c>
      <c r="C1141" s="3" t="s">
        <v>1010</v>
      </c>
      <c r="D1141" s="3" t="s">
        <v>209</v>
      </c>
      <c r="E1141" s="3" t="s">
        <v>225</v>
      </c>
      <c r="F1141" s="1">
        <v>45902</v>
      </c>
      <c r="G1141" t="str">
        <f t="shared" si="18"/>
        <v>Sep -2025</v>
      </c>
      <c r="H1141" s="12"/>
    </row>
    <row r="1142" spans="1:8" x14ac:dyDescent="0.3">
      <c r="A1142" s="2">
        <v>964492</v>
      </c>
      <c r="B1142" s="3" t="s">
        <v>25</v>
      </c>
      <c r="C1142" s="3" t="s">
        <v>1010</v>
      </c>
      <c r="D1142" s="3" t="s">
        <v>10</v>
      </c>
      <c r="E1142" s="3" t="s">
        <v>338</v>
      </c>
      <c r="F1142" s="1">
        <v>45902</v>
      </c>
      <c r="G1142" t="str">
        <f t="shared" si="18"/>
        <v>Sep -2025</v>
      </c>
      <c r="H1142" s="12"/>
    </row>
    <row r="1143" spans="1:8" x14ac:dyDescent="0.3">
      <c r="A1143" s="2">
        <v>964712</v>
      </c>
      <c r="B1143" s="3" t="s">
        <v>504</v>
      </c>
      <c r="C1143" s="3" t="s">
        <v>1010</v>
      </c>
      <c r="D1143" s="3" t="s">
        <v>209</v>
      </c>
      <c r="E1143" s="3" t="s">
        <v>225</v>
      </c>
      <c r="F1143" s="1">
        <v>45902</v>
      </c>
      <c r="G1143" t="str">
        <f t="shared" si="18"/>
        <v>Sep -2025</v>
      </c>
      <c r="H1143" s="12"/>
    </row>
    <row r="1144" spans="1:8" x14ac:dyDescent="0.3">
      <c r="A1144" s="2">
        <v>200002345</v>
      </c>
      <c r="B1144" s="3" t="s">
        <v>191</v>
      </c>
      <c r="C1144" s="3" t="s">
        <v>1010</v>
      </c>
      <c r="D1144" s="3" t="s">
        <v>192</v>
      </c>
      <c r="E1144" s="3" t="s">
        <v>193</v>
      </c>
      <c r="F1144" s="1">
        <v>45902</v>
      </c>
      <c r="G1144" t="str">
        <f t="shared" si="18"/>
        <v>Sep -2025</v>
      </c>
      <c r="H1144" s="12"/>
    </row>
    <row r="1145" spans="1:8" x14ac:dyDescent="0.3">
      <c r="A1145" s="2">
        <v>964713</v>
      </c>
      <c r="B1145" s="3" t="s">
        <v>505</v>
      </c>
      <c r="C1145" s="3" t="s">
        <v>1010</v>
      </c>
      <c r="D1145" s="3" t="s">
        <v>209</v>
      </c>
      <c r="E1145" s="3" t="s">
        <v>225</v>
      </c>
      <c r="F1145" s="1">
        <v>45902</v>
      </c>
      <c r="G1145" t="str">
        <f t="shared" si="18"/>
        <v>Sep -2025</v>
      </c>
      <c r="H1145" s="12"/>
    </row>
    <row r="1146" spans="1:8" x14ac:dyDescent="0.3">
      <c r="A1146" s="2">
        <v>964639</v>
      </c>
      <c r="B1146" s="3" t="s">
        <v>506</v>
      </c>
      <c r="C1146" s="3" t="s">
        <v>1010</v>
      </c>
      <c r="D1146" s="3" t="s">
        <v>209</v>
      </c>
      <c r="E1146" s="3" t="s">
        <v>375</v>
      </c>
      <c r="F1146" s="1">
        <v>45902</v>
      </c>
      <c r="G1146" t="str">
        <f t="shared" si="18"/>
        <v>Sep -2025</v>
      </c>
      <c r="H1146" s="12"/>
    </row>
    <row r="1147" spans="1:8" x14ac:dyDescent="0.3">
      <c r="A1147" s="2">
        <v>100003656</v>
      </c>
      <c r="B1147" s="3" t="s">
        <v>960</v>
      </c>
      <c r="C1147" s="3" t="s">
        <v>1011</v>
      </c>
      <c r="D1147" s="3" t="s">
        <v>974</v>
      </c>
      <c r="E1147" s="3" t="s">
        <v>988</v>
      </c>
      <c r="F1147" s="1">
        <v>45902</v>
      </c>
      <c r="G1147" t="str">
        <f t="shared" si="18"/>
        <v>Sep -2025</v>
      </c>
      <c r="H1147" s="12"/>
    </row>
    <row r="1148" spans="1:8" x14ac:dyDescent="0.3">
      <c r="A1148" s="2">
        <v>100003608</v>
      </c>
      <c r="B1148" s="3" t="s">
        <v>962</v>
      </c>
      <c r="C1148" s="3" t="s">
        <v>1011</v>
      </c>
      <c r="D1148" s="3" t="s">
        <v>972</v>
      </c>
      <c r="E1148" s="3" t="s">
        <v>970</v>
      </c>
      <c r="F1148" s="1">
        <v>45902</v>
      </c>
      <c r="G1148" t="str">
        <f t="shared" si="18"/>
        <v>Sep -2025</v>
      </c>
      <c r="H1148" s="12"/>
    </row>
    <row r="1149" spans="1:8" x14ac:dyDescent="0.3">
      <c r="A1149" s="2">
        <v>948502</v>
      </c>
      <c r="B1149" s="3" t="s">
        <v>41</v>
      </c>
      <c r="C1149" s="3" t="s">
        <v>1010</v>
      </c>
      <c r="D1149" s="3" t="s">
        <v>10</v>
      </c>
      <c r="E1149" s="3" t="s">
        <v>211</v>
      </c>
      <c r="F1149" s="1">
        <v>45903</v>
      </c>
      <c r="G1149" t="str">
        <f t="shared" si="18"/>
        <v>Sep -2025</v>
      </c>
      <c r="H1149" s="12"/>
    </row>
    <row r="1150" spans="1:8" x14ac:dyDescent="0.3">
      <c r="A1150" s="2">
        <v>964916</v>
      </c>
      <c r="B1150" s="3" t="s">
        <v>324</v>
      </c>
      <c r="C1150" s="3" t="s">
        <v>1010</v>
      </c>
      <c r="D1150" s="3" t="s">
        <v>10</v>
      </c>
      <c r="E1150" s="3" t="s">
        <v>268</v>
      </c>
      <c r="F1150" s="1">
        <v>45903</v>
      </c>
      <c r="G1150" t="str">
        <f t="shared" si="18"/>
        <v>Sep -2025</v>
      </c>
      <c r="H1150" s="12"/>
    </row>
    <row r="1151" spans="1:8" x14ac:dyDescent="0.3">
      <c r="A1151" s="2">
        <v>965197</v>
      </c>
      <c r="B1151" s="3" t="s">
        <v>507</v>
      </c>
      <c r="C1151" s="3" t="s">
        <v>1010</v>
      </c>
      <c r="D1151" s="3" t="s">
        <v>209</v>
      </c>
      <c r="E1151" s="3" t="s">
        <v>375</v>
      </c>
      <c r="F1151" s="1">
        <v>45903</v>
      </c>
      <c r="G1151" t="str">
        <f t="shared" si="18"/>
        <v>Sep -2025</v>
      </c>
      <c r="H1151" s="12"/>
    </row>
    <row r="1152" spans="1:8" x14ac:dyDescent="0.3">
      <c r="A1152" s="2">
        <v>965198</v>
      </c>
      <c r="B1152" s="3" t="s">
        <v>508</v>
      </c>
      <c r="C1152" s="3" t="s">
        <v>1010</v>
      </c>
      <c r="D1152" s="3" t="s">
        <v>209</v>
      </c>
      <c r="E1152" s="3" t="s">
        <v>375</v>
      </c>
      <c r="F1152" s="1">
        <v>45903</v>
      </c>
      <c r="G1152" t="str">
        <f t="shared" si="18"/>
        <v>Sep -2025</v>
      </c>
      <c r="H1152" s="12"/>
    </row>
    <row r="1153" spans="1:8" x14ac:dyDescent="0.3">
      <c r="A1153" s="2">
        <v>964539</v>
      </c>
      <c r="B1153" s="3" t="s">
        <v>509</v>
      </c>
      <c r="C1153" s="3" t="s">
        <v>1010</v>
      </c>
      <c r="D1153" s="3" t="s">
        <v>10</v>
      </c>
      <c r="E1153" s="3" t="s">
        <v>268</v>
      </c>
      <c r="F1153" s="1">
        <v>45903</v>
      </c>
      <c r="G1153" t="str">
        <f t="shared" si="18"/>
        <v>Sep -2025</v>
      </c>
      <c r="H1153" s="12"/>
    </row>
    <row r="1154" spans="1:8" x14ac:dyDescent="0.3">
      <c r="A1154" s="2">
        <v>900004153</v>
      </c>
      <c r="B1154" s="3" t="s">
        <v>510</v>
      </c>
      <c r="C1154" s="3" t="s">
        <v>1010</v>
      </c>
      <c r="D1154" s="3" t="s">
        <v>143</v>
      </c>
      <c r="E1154" s="3" t="s">
        <v>322</v>
      </c>
      <c r="F1154" s="1">
        <v>45903</v>
      </c>
      <c r="G1154" t="str">
        <f t="shared" ref="G1154:G1217" si="19">TEXT(F1154,"mmm -YYYY")</f>
        <v>Sep -2025</v>
      </c>
      <c r="H1154" s="12"/>
    </row>
    <row r="1155" spans="1:8" x14ac:dyDescent="0.3">
      <c r="A1155" s="2">
        <v>954540</v>
      </c>
      <c r="B1155" s="3" t="s">
        <v>47</v>
      </c>
      <c r="C1155" s="3" t="s">
        <v>1010</v>
      </c>
      <c r="D1155" s="3" t="s">
        <v>10</v>
      </c>
      <c r="E1155" s="3" t="s">
        <v>211</v>
      </c>
      <c r="F1155" s="1">
        <v>45903</v>
      </c>
      <c r="G1155" t="str">
        <f t="shared" si="19"/>
        <v>Sep -2025</v>
      </c>
      <c r="H1155" s="12"/>
    </row>
    <row r="1156" spans="1:8" x14ac:dyDescent="0.3">
      <c r="A1156" s="2">
        <v>966899</v>
      </c>
      <c r="B1156" s="3" t="s">
        <v>511</v>
      </c>
      <c r="C1156" s="3" t="s">
        <v>1010</v>
      </c>
      <c r="D1156" s="3" t="s">
        <v>10</v>
      </c>
      <c r="E1156" s="3" t="s">
        <v>338</v>
      </c>
      <c r="F1156" s="1">
        <v>45903</v>
      </c>
      <c r="G1156" t="str">
        <f t="shared" si="19"/>
        <v>Sep -2025</v>
      </c>
      <c r="H1156" s="12"/>
    </row>
    <row r="1157" spans="1:8" x14ac:dyDescent="0.3">
      <c r="A1157" s="2">
        <v>967014</v>
      </c>
      <c r="B1157" s="3" t="s">
        <v>512</v>
      </c>
      <c r="C1157" s="3" t="s">
        <v>1010</v>
      </c>
      <c r="D1157" s="3" t="s">
        <v>10</v>
      </c>
      <c r="E1157" s="3" t="s">
        <v>338</v>
      </c>
      <c r="F1157" s="1">
        <v>45903</v>
      </c>
      <c r="G1157" t="str">
        <f t="shared" si="19"/>
        <v>Sep -2025</v>
      </c>
      <c r="H1157" s="12"/>
    </row>
    <row r="1158" spans="1:8" x14ac:dyDescent="0.3">
      <c r="A1158" s="2">
        <v>966948</v>
      </c>
      <c r="B1158" s="3" t="s">
        <v>513</v>
      </c>
      <c r="C1158" s="3" t="s">
        <v>1010</v>
      </c>
      <c r="D1158" s="3" t="s">
        <v>209</v>
      </c>
      <c r="E1158" s="3" t="s">
        <v>375</v>
      </c>
      <c r="F1158" s="1">
        <v>45903</v>
      </c>
      <c r="G1158" t="str">
        <f t="shared" si="19"/>
        <v>Sep -2025</v>
      </c>
      <c r="H1158" s="12"/>
    </row>
    <row r="1159" spans="1:8" x14ac:dyDescent="0.3">
      <c r="A1159" s="2">
        <v>967225</v>
      </c>
      <c r="B1159" s="3" t="s">
        <v>514</v>
      </c>
      <c r="C1159" s="3" t="s">
        <v>1010</v>
      </c>
      <c r="D1159" s="3" t="s">
        <v>1259</v>
      </c>
      <c r="E1159" s="3" t="s">
        <v>228</v>
      </c>
      <c r="F1159" s="1">
        <v>45903</v>
      </c>
      <c r="G1159" t="str">
        <f t="shared" si="19"/>
        <v>Sep -2025</v>
      </c>
      <c r="H1159" s="12"/>
    </row>
    <row r="1160" spans="1:8" x14ac:dyDescent="0.3">
      <c r="A1160" s="2">
        <v>967694</v>
      </c>
      <c r="B1160" s="3" t="s">
        <v>515</v>
      </c>
      <c r="C1160" s="3" t="s">
        <v>1010</v>
      </c>
      <c r="D1160" s="3" t="s">
        <v>209</v>
      </c>
      <c r="E1160" s="3" t="s">
        <v>375</v>
      </c>
      <c r="F1160" s="1">
        <v>45903</v>
      </c>
      <c r="G1160" t="str">
        <f t="shared" si="19"/>
        <v>Sep -2025</v>
      </c>
      <c r="H1160" s="12"/>
    </row>
    <row r="1161" spans="1:8" x14ac:dyDescent="0.3">
      <c r="A1161" s="2">
        <v>100003717</v>
      </c>
      <c r="B1161" s="3" t="s">
        <v>963</v>
      </c>
      <c r="C1161" s="3" t="s">
        <v>1011</v>
      </c>
      <c r="D1161" s="3" t="s">
        <v>972</v>
      </c>
      <c r="E1161" s="3" t="s">
        <v>970</v>
      </c>
      <c r="F1161" s="1">
        <v>45903</v>
      </c>
      <c r="G1161" t="str">
        <f t="shared" si="19"/>
        <v>Sep -2025</v>
      </c>
      <c r="H1161" s="12"/>
    </row>
    <row r="1162" spans="1:8" x14ac:dyDescent="0.3">
      <c r="A1162" s="2">
        <v>100003559</v>
      </c>
      <c r="B1162" s="3" t="s">
        <v>964</v>
      </c>
      <c r="C1162" s="3" t="s">
        <v>1011</v>
      </c>
      <c r="D1162" s="3" t="s">
        <v>972</v>
      </c>
      <c r="E1162" s="3" t="s">
        <v>981</v>
      </c>
      <c r="F1162" s="1">
        <v>45903</v>
      </c>
      <c r="G1162" t="str">
        <f t="shared" si="19"/>
        <v>Sep -2025</v>
      </c>
      <c r="H1162" s="12"/>
    </row>
    <row r="1163" spans="1:8" x14ac:dyDescent="0.3">
      <c r="A1163" s="2">
        <v>967014</v>
      </c>
      <c r="B1163" s="3" t="s">
        <v>512</v>
      </c>
      <c r="C1163" s="3" t="s">
        <v>1010</v>
      </c>
      <c r="D1163" s="3" t="s">
        <v>1020</v>
      </c>
      <c r="E1163" s="3" t="s">
        <v>338</v>
      </c>
      <c r="F1163" s="1">
        <v>45904</v>
      </c>
      <c r="G1163" t="str">
        <f t="shared" si="19"/>
        <v>Sep -2025</v>
      </c>
      <c r="H1163" s="12"/>
    </row>
    <row r="1164" spans="1:8" x14ac:dyDescent="0.3">
      <c r="A1164" s="2">
        <v>968960</v>
      </c>
      <c r="B1164" s="3" t="s">
        <v>1012</v>
      </c>
      <c r="C1164" s="3" t="s">
        <v>1010</v>
      </c>
      <c r="D1164" s="3" t="s">
        <v>1021</v>
      </c>
      <c r="E1164" s="3" t="s">
        <v>210</v>
      </c>
      <c r="F1164" s="1">
        <v>45904</v>
      </c>
      <c r="G1164" t="str">
        <f t="shared" si="19"/>
        <v>Sep -2025</v>
      </c>
      <c r="H1164" s="12"/>
    </row>
    <row r="1165" spans="1:8" x14ac:dyDescent="0.3">
      <c r="A1165" s="2">
        <v>969286</v>
      </c>
      <c r="B1165" s="3" t="s">
        <v>1013</v>
      </c>
      <c r="C1165" s="3" t="s">
        <v>1010</v>
      </c>
      <c r="D1165" s="3" t="s">
        <v>1021</v>
      </c>
      <c r="E1165" s="3" t="s">
        <v>210</v>
      </c>
      <c r="F1165" s="1">
        <v>45904</v>
      </c>
      <c r="G1165" t="str">
        <f t="shared" si="19"/>
        <v>Sep -2025</v>
      </c>
      <c r="H1165" s="12"/>
    </row>
    <row r="1166" spans="1:8" x14ac:dyDescent="0.3">
      <c r="A1166" s="2">
        <v>945339</v>
      </c>
      <c r="B1166" s="3" t="s">
        <v>1014</v>
      </c>
      <c r="C1166" s="3" t="s">
        <v>1010</v>
      </c>
      <c r="D1166" s="3" t="s">
        <v>1020</v>
      </c>
      <c r="E1166" s="3" t="s">
        <v>466</v>
      </c>
      <c r="F1166" s="1">
        <v>45904</v>
      </c>
      <c r="G1166" t="str">
        <f t="shared" si="19"/>
        <v>Sep -2025</v>
      </c>
      <c r="H1166" s="12"/>
    </row>
    <row r="1167" spans="1:8" x14ac:dyDescent="0.3">
      <c r="A1167" s="2">
        <v>968391</v>
      </c>
      <c r="B1167" s="3" t="s">
        <v>1015</v>
      </c>
      <c r="C1167" s="3" t="s">
        <v>1010</v>
      </c>
      <c r="D1167" s="3" t="s">
        <v>1021</v>
      </c>
      <c r="E1167" s="3" t="s">
        <v>375</v>
      </c>
      <c r="F1167" s="1">
        <v>45904</v>
      </c>
      <c r="G1167" t="str">
        <f t="shared" si="19"/>
        <v>Sep -2025</v>
      </c>
      <c r="H1167" s="12"/>
    </row>
    <row r="1168" spans="1:8" x14ac:dyDescent="0.3">
      <c r="A1168" s="2">
        <v>900004153</v>
      </c>
      <c r="B1168" s="3" t="s">
        <v>510</v>
      </c>
      <c r="C1168" s="3" t="s">
        <v>1010</v>
      </c>
      <c r="D1168" s="3" t="s">
        <v>1021</v>
      </c>
      <c r="E1168" s="3" t="s">
        <v>322</v>
      </c>
      <c r="F1168" s="1">
        <v>45904</v>
      </c>
      <c r="G1168" t="str">
        <f t="shared" si="19"/>
        <v>Sep -2025</v>
      </c>
      <c r="H1168" s="12"/>
    </row>
    <row r="1169" spans="1:8" x14ac:dyDescent="0.3">
      <c r="A1169" s="2">
        <v>967468</v>
      </c>
      <c r="B1169" s="3" t="s">
        <v>1016</v>
      </c>
      <c r="C1169" s="3" t="s">
        <v>1010</v>
      </c>
      <c r="D1169" s="3" t="s">
        <v>1021</v>
      </c>
      <c r="E1169" s="3" t="s">
        <v>225</v>
      </c>
      <c r="F1169" s="1">
        <v>45904</v>
      </c>
      <c r="G1169" t="str">
        <f t="shared" si="19"/>
        <v>Sep -2025</v>
      </c>
      <c r="H1169" s="12"/>
    </row>
    <row r="1170" spans="1:8" x14ac:dyDescent="0.3">
      <c r="A1170" s="2">
        <v>970021</v>
      </c>
      <c r="B1170" s="3" t="s">
        <v>47</v>
      </c>
      <c r="C1170" s="3" t="s">
        <v>1010</v>
      </c>
      <c r="D1170" s="3" t="s">
        <v>1020</v>
      </c>
      <c r="E1170" s="3" t="s">
        <v>211</v>
      </c>
      <c r="F1170" s="1">
        <v>45904</v>
      </c>
      <c r="G1170" t="str">
        <f t="shared" si="19"/>
        <v>Sep -2025</v>
      </c>
      <c r="H1170" s="12"/>
    </row>
    <row r="1171" spans="1:8" x14ac:dyDescent="0.3">
      <c r="A1171" s="2">
        <v>969817</v>
      </c>
      <c r="B1171" s="3" t="s">
        <v>47</v>
      </c>
      <c r="C1171" s="3" t="s">
        <v>1010</v>
      </c>
      <c r="D1171" s="3" t="s">
        <v>1020</v>
      </c>
      <c r="E1171" s="3" t="s">
        <v>211</v>
      </c>
      <c r="F1171" s="1">
        <v>45904</v>
      </c>
      <c r="G1171" t="str">
        <f t="shared" si="19"/>
        <v>Sep -2025</v>
      </c>
      <c r="H1171" s="12"/>
    </row>
    <row r="1172" spans="1:8" x14ac:dyDescent="0.3">
      <c r="A1172" s="2">
        <v>968219</v>
      </c>
      <c r="B1172" s="3" t="s">
        <v>1017</v>
      </c>
      <c r="C1172" s="3" t="s">
        <v>1010</v>
      </c>
      <c r="D1172" s="3" t="s">
        <v>1021</v>
      </c>
      <c r="E1172" s="3" t="s">
        <v>375</v>
      </c>
      <c r="F1172" s="1">
        <v>45904</v>
      </c>
      <c r="G1172" t="str">
        <f t="shared" si="19"/>
        <v>Sep -2025</v>
      </c>
      <c r="H1172" s="12"/>
    </row>
    <row r="1173" spans="1:8" x14ac:dyDescent="0.3">
      <c r="A1173" s="2">
        <v>969378</v>
      </c>
      <c r="B1173" s="3" t="s">
        <v>1018</v>
      </c>
      <c r="C1173" s="3" t="s">
        <v>1010</v>
      </c>
      <c r="D1173" s="3" t="s">
        <v>1020</v>
      </c>
      <c r="E1173" s="3" t="s">
        <v>228</v>
      </c>
      <c r="F1173" s="1">
        <v>45904</v>
      </c>
      <c r="G1173" t="str">
        <f t="shared" si="19"/>
        <v>Sep -2025</v>
      </c>
      <c r="H1173" s="12"/>
    </row>
    <row r="1174" spans="1:8" x14ac:dyDescent="0.3">
      <c r="A1174" s="2">
        <v>969491</v>
      </c>
      <c r="B1174" s="3" t="s">
        <v>1019</v>
      </c>
      <c r="C1174" s="3" t="s">
        <v>1010</v>
      </c>
      <c r="D1174" s="3" t="s">
        <v>1020</v>
      </c>
      <c r="E1174" s="3" t="s">
        <v>228</v>
      </c>
      <c r="F1174" s="1">
        <v>45904</v>
      </c>
      <c r="G1174" t="str">
        <f t="shared" si="19"/>
        <v>Sep -2025</v>
      </c>
      <c r="H1174" s="12"/>
    </row>
    <row r="1175" spans="1:8" x14ac:dyDescent="0.3">
      <c r="A1175" s="2">
        <v>100003308</v>
      </c>
      <c r="B1175" s="3" t="s">
        <v>1022</v>
      </c>
      <c r="C1175" s="3" t="s">
        <v>1011</v>
      </c>
      <c r="D1175" s="3" t="s">
        <v>972</v>
      </c>
      <c r="E1175" s="3" t="s">
        <v>981</v>
      </c>
      <c r="F1175" s="1">
        <v>45904</v>
      </c>
      <c r="G1175" t="str">
        <f t="shared" si="19"/>
        <v>Sep -2025</v>
      </c>
      <c r="H1175" s="12"/>
    </row>
    <row r="1176" spans="1:8" x14ac:dyDescent="0.3">
      <c r="A1176" s="2">
        <v>100003753</v>
      </c>
      <c r="B1176" s="3" t="s">
        <v>1023</v>
      </c>
      <c r="C1176" s="3" t="s">
        <v>1011</v>
      </c>
      <c r="D1176" s="3" t="s">
        <v>972</v>
      </c>
      <c r="E1176" s="3" t="s">
        <v>981</v>
      </c>
      <c r="F1176" s="1">
        <v>45904</v>
      </c>
      <c r="G1176" t="str">
        <f t="shared" si="19"/>
        <v>Sep -2025</v>
      </c>
      <c r="H1176" s="12"/>
    </row>
    <row r="1177" spans="1:8" x14ac:dyDescent="0.3">
      <c r="A1177" s="2">
        <v>100003704</v>
      </c>
      <c r="B1177" s="3" t="s">
        <v>1024</v>
      </c>
      <c r="C1177" s="3" t="s">
        <v>1011</v>
      </c>
      <c r="D1177" s="3" t="s">
        <v>972</v>
      </c>
      <c r="E1177" s="3" t="s">
        <v>978</v>
      </c>
      <c r="F1177" s="1">
        <v>45904</v>
      </c>
      <c r="G1177" t="str">
        <f t="shared" si="19"/>
        <v>Sep -2025</v>
      </c>
      <c r="H1177" s="12"/>
    </row>
    <row r="1178" spans="1:8" x14ac:dyDescent="0.3">
      <c r="A1178" s="2">
        <v>969378</v>
      </c>
      <c r="B1178" s="3" t="s">
        <v>1018</v>
      </c>
      <c r="C1178" s="3" t="s">
        <v>1010</v>
      </c>
      <c r="D1178" s="3" t="s">
        <v>1020</v>
      </c>
      <c r="E1178" s="3" t="s">
        <v>228</v>
      </c>
      <c r="F1178" s="1">
        <v>45905</v>
      </c>
      <c r="G1178" t="str">
        <f t="shared" si="19"/>
        <v>Sep -2025</v>
      </c>
      <c r="H1178" s="12"/>
    </row>
    <row r="1179" spans="1:8" x14ac:dyDescent="0.3">
      <c r="A1179" s="2">
        <v>969491</v>
      </c>
      <c r="B1179" s="3" t="s">
        <v>1019</v>
      </c>
      <c r="C1179" s="3" t="s">
        <v>1010</v>
      </c>
      <c r="D1179" s="3" t="s">
        <v>1020</v>
      </c>
      <c r="E1179" s="3" t="s">
        <v>228</v>
      </c>
      <c r="F1179" s="1">
        <v>45905</v>
      </c>
      <c r="G1179" t="str">
        <f t="shared" si="19"/>
        <v>Sep -2025</v>
      </c>
      <c r="H1179" s="12"/>
    </row>
    <row r="1180" spans="1:8" x14ac:dyDescent="0.3">
      <c r="A1180" s="2">
        <v>970359</v>
      </c>
      <c r="B1180" s="3" t="s">
        <v>1026</v>
      </c>
      <c r="C1180" s="3" t="s">
        <v>1010</v>
      </c>
      <c r="D1180" s="3" t="s">
        <v>1259</v>
      </c>
      <c r="E1180" s="3" t="s">
        <v>228</v>
      </c>
      <c r="F1180" s="1">
        <v>45905</v>
      </c>
      <c r="G1180" t="str">
        <f t="shared" si="19"/>
        <v>Sep -2025</v>
      </c>
      <c r="H1180" s="12"/>
    </row>
    <row r="1181" spans="1:8" x14ac:dyDescent="0.3">
      <c r="A1181" s="2">
        <v>970991</v>
      </c>
      <c r="B1181" s="3" t="s">
        <v>1027</v>
      </c>
      <c r="C1181" s="3" t="s">
        <v>1010</v>
      </c>
      <c r="D1181" s="3" t="s">
        <v>1259</v>
      </c>
      <c r="E1181" s="3" t="s">
        <v>228</v>
      </c>
      <c r="F1181" s="1">
        <v>45905</v>
      </c>
      <c r="G1181" t="str">
        <f t="shared" si="19"/>
        <v>Sep -2025</v>
      </c>
      <c r="H1181" s="12"/>
    </row>
    <row r="1182" spans="1:8" x14ac:dyDescent="0.3">
      <c r="A1182" s="2">
        <v>970994</v>
      </c>
      <c r="B1182" s="3" t="s">
        <v>1028</v>
      </c>
      <c r="C1182" s="3" t="s">
        <v>1010</v>
      </c>
      <c r="D1182" s="3" t="s">
        <v>1259</v>
      </c>
      <c r="E1182" s="3" t="s">
        <v>228</v>
      </c>
      <c r="F1182" s="1">
        <v>45905</v>
      </c>
      <c r="G1182" t="str">
        <f t="shared" si="19"/>
        <v>Sep -2025</v>
      </c>
      <c r="H1182" s="12"/>
    </row>
    <row r="1183" spans="1:8" x14ac:dyDescent="0.3">
      <c r="A1183" s="2">
        <v>972483</v>
      </c>
      <c r="B1183" s="3" t="s">
        <v>1029</v>
      </c>
      <c r="C1183" s="3" t="s">
        <v>1010</v>
      </c>
      <c r="D1183" s="3" t="s">
        <v>364</v>
      </c>
      <c r="E1183" s="3" t="s">
        <v>1034</v>
      </c>
      <c r="F1183" s="1">
        <v>45905</v>
      </c>
      <c r="G1183" t="str">
        <f t="shared" si="19"/>
        <v>Sep -2025</v>
      </c>
      <c r="H1183" s="12"/>
    </row>
    <row r="1184" spans="1:8" x14ac:dyDescent="0.3">
      <c r="A1184" s="2">
        <v>972528</v>
      </c>
      <c r="B1184" s="3" t="s">
        <v>1030</v>
      </c>
      <c r="C1184" s="3" t="s">
        <v>1010</v>
      </c>
      <c r="D1184" s="3" t="s">
        <v>1259</v>
      </c>
      <c r="E1184" s="3" t="s">
        <v>228</v>
      </c>
      <c r="F1184" s="1">
        <v>45905</v>
      </c>
      <c r="G1184" t="str">
        <f t="shared" si="19"/>
        <v>Sep -2025</v>
      </c>
      <c r="H1184" s="12"/>
    </row>
    <row r="1185" spans="1:8" x14ac:dyDescent="0.3">
      <c r="A1185" s="2">
        <v>973041</v>
      </c>
      <c r="B1185" s="3" t="s">
        <v>1031</v>
      </c>
      <c r="C1185" s="3" t="s">
        <v>1010</v>
      </c>
      <c r="D1185" s="3" t="s">
        <v>1259</v>
      </c>
      <c r="E1185" s="3" t="s">
        <v>228</v>
      </c>
      <c r="F1185" s="1">
        <v>45905</v>
      </c>
      <c r="G1185" t="str">
        <f t="shared" si="19"/>
        <v>Sep -2025</v>
      </c>
      <c r="H1185" s="12"/>
    </row>
    <row r="1186" spans="1:8" x14ac:dyDescent="0.3">
      <c r="A1186" s="2">
        <v>972702</v>
      </c>
      <c r="B1186" s="3" t="s">
        <v>1032</v>
      </c>
      <c r="C1186" s="3" t="s">
        <v>1010</v>
      </c>
      <c r="D1186" s="3" t="s">
        <v>1259</v>
      </c>
      <c r="E1186" s="3" t="s">
        <v>228</v>
      </c>
      <c r="F1186" s="1">
        <v>45905</v>
      </c>
      <c r="G1186" t="str">
        <f t="shared" si="19"/>
        <v>Sep -2025</v>
      </c>
      <c r="H1186" s="12"/>
    </row>
    <row r="1187" spans="1:8" x14ac:dyDescent="0.3">
      <c r="A1187" s="2">
        <v>973426</v>
      </c>
      <c r="B1187" s="3" t="s">
        <v>1033</v>
      </c>
      <c r="C1187" s="3" t="s">
        <v>1010</v>
      </c>
      <c r="D1187" s="3" t="s">
        <v>1259</v>
      </c>
      <c r="E1187" s="3" t="s">
        <v>228</v>
      </c>
      <c r="F1187" s="1">
        <v>45905</v>
      </c>
      <c r="G1187" t="str">
        <f t="shared" si="19"/>
        <v>Sep -2025</v>
      </c>
      <c r="H1187" s="12"/>
    </row>
    <row r="1188" spans="1:8" x14ac:dyDescent="0.3">
      <c r="A1188" s="2">
        <v>100003308</v>
      </c>
      <c r="B1188" s="3" t="s">
        <v>1022</v>
      </c>
      <c r="C1188" s="3" t="s">
        <v>1011</v>
      </c>
      <c r="D1188" s="3" t="s">
        <v>972</v>
      </c>
      <c r="E1188" s="3" t="s">
        <v>981</v>
      </c>
      <c r="F1188" s="1">
        <v>45905</v>
      </c>
      <c r="G1188" t="str">
        <f t="shared" si="19"/>
        <v>Sep -2025</v>
      </c>
      <c r="H1188" s="12"/>
    </row>
    <row r="1189" spans="1:8" x14ac:dyDescent="0.3">
      <c r="A1189" s="2">
        <v>100003736</v>
      </c>
      <c r="B1189" s="3" t="s">
        <v>1035</v>
      </c>
      <c r="C1189" s="3" t="s">
        <v>1011</v>
      </c>
      <c r="D1189" s="3" t="s">
        <v>972</v>
      </c>
      <c r="E1189" s="3" t="s">
        <v>967</v>
      </c>
      <c r="F1189" s="1">
        <v>45905</v>
      </c>
      <c r="G1189" t="str">
        <f t="shared" si="19"/>
        <v>Sep -2025</v>
      </c>
      <c r="H1189" s="12"/>
    </row>
    <row r="1190" spans="1:8" x14ac:dyDescent="0.3">
      <c r="A1190" s="2">
        <v>100003698</v>
      </c>
      <c r="B1190" s="3" t="s">
        <v>1036</v>
      </c>
      <c r="C1190" s="3" t="s">
        <v>1011</v>
      </c>
      <c r="D1190" s="3" t="s">
        <v>972</v>
      </c>
      <c r="E1190" s="3" t="s">
        <v>967</v>
      </c>
      <c r="F1190" s="1">
        <v>45905</v>
      </c>
      <c r="G1190" t="str">
        <f t="shared" si="19"/>
        <v>Sep -2025</v>
      </c>
      <c r="H1190" s="12"/>
    </row>
    <row r="1191" spans="1:8" x14ac:dyDescent="0.3">
      <c r="A1191" s="2">
        <v>973407</v>
      </c>
      <c r="B1191" s="3" t="s">
        <v>1054</v>
      </c>
      <c r="C1191" s="3" t="s">
        <v>1010</v>
      </c>
      <c r="D1191" s="3" t="s">
        <v>1259</v>
      </c>
      <c r="E1191" s="3" t="s">
        <v>228</v>
      </c>
      <c r="F1191" s="1">
        <v>45908</v>
      </c>
      <c r="G1191" t="str">
        <f t="shared" si="19"/>
        <v>Sep -2025</v>
      </c>
      <c r="H1191" s="12"/>
    </row>
    <row r="1192" spans="1:8" x14ac:dyDescent="0.3">
      <c r="A1192" s="2">
        <v>900004357</v>
      </c>
      <c r="B1192" s="3" t="s">
        <v>1055</v>
      </c>
      <c r="C1192" s="3" t="s">
        <v>1010</v>
      </c>
      <c r="D1192" s="3" t="s">
        <v>1021</v>
      </c>
      <c r="E1192" s="3" t="s">
        <v>322</v>
      </c>
      <c r="F1192" s="1">
        <v>45908</v>
      </c>
      <c r="G1192" t="str">
        <f t="shared" si="19"/>
        <v>Sep -2025</v>
      </c>
      <c r="H1192" s="12"/>
    </row>
    <row r="1193" spans="1:8" x14ac:dyDescent="0.3">
      <c r="A1193" s="2">
        <v>978492</v>
      </c>
      <c r="B1193" s="3" t="s">
        <v>1056</v>
      </c>
      <c r="C1193" s="3" t="s">
        <v>1010</v>
      </c>
      <c r="D1193" s="3" t="s">
        <v>1021</v>
      </c>
      <c r="E1193" s="3" t="s">
        <v>225</v>
      </c>
      <c r="F1193" s="1">
        <v>45908</v>
      </c>
      <c r="G1193" t="str">
        <f t="shared" si="19"/>
        <v>Sep -2025</v>
      </c>
      <c r="H1193" s="12"/>
    </row>
    <row r="1194" spans="1:8" x14ac:dyDescent="0.3">
      <c r="A1194" s="2">
        <v>970021</v>
      </c>
      <c r="B1194" s="3" t="s">
        <v>47</v>
      </c>
      <c r="C1194" s="3" t="s">
        <v>1010</v>
      </c>
      <c r="D1194" s="3" t="s">
        <v>1020</v>
      </c>
      <c r="E1194" s="3" t="s">
        <v>211</v>
      </c>
      <c r="F1194" s="1">
        <v>45908</v>
      </c>
      <c r="G1194" t="str">
        <f t="shared" si="19"/>
        <v>Sep -2025</v>
      </c>
      <c r="H1194" s="12"/>
    </row>
    <row r="1195" spans="1:8" x14ac:dyDescent="0.3">
      <c r="A1195" s="2">
        <v>969817</v>
      </c>
      <c r="B1195" s="3" t="s">
        <v>47</v>
      </c>
      <c r="C1195" s="3" t="s">
        <v>1010</v>
      </c>
      <c r="D1195" s="3" t="s">
        <v>1020</v>
      </c>
      <c r="E1195" s="3" t="s">
        <v>211</v>
      </c>
      <c r="F1195" s="1">
        <v>45908</v>
      </c>
      <c r="G1195" t="str">
        <f t="shared" si="19"/>
        <v>Sep -2025</v>
      </c>
      <c r="H1195" s="12"/>
    </row>
    <row r="1196" spans="1:8" x14ac:dyDescent="0.3">
      <c r="A1196" s="2">
        <v>978855</v>
      </c>
      <c r="B1196" s="3" t="s">
        <v>1057</v>
      </c>
      <c r="C1196" s="3" t="s">
        <v>1010</v>
      </c>
      <c r="D1196" s="3" t="s">
        <v>1021</v>
      </c>
      <c r="E1196" s="3" t="s">
        <v>375</v>
      </c>
      <c r="F1196" s="1">
        <v>45908</v>
      </c>
      <c r="G1196" t="str">
        <f t="shared" si="19"/>
        <v>Sep -2025</v>
      </c>
      <c r="H1196" s="12"/>
    </row>
    <row r="1197" spans="1:8" x14ac:dyDescent="0.3">
      <c r="A1197" s="2">
        <v>978903</v>
      </c>
      <c r="B1197" s="3" t="s">
        <v>1058</v>
      </c>
      <c r="C1197" s="3" t="s">
        <v>1010</v>
      </c>
      <c r="D1197" s="3" t="s">
        <v>1021</v>
      </c>
      <c r="E1197" s="3" t="s">
        <v>375</v>
      </c>
      <c r="F1197" s="1">
        <v>45908</v>
      </c>
      <c r="G1197" t="str">
        <f t="shared" si="19"/>
        <v>Sep -2025</v>
      </c>
      <c r="H1197" s="12"/>
    </row>
    <row r="1198" spans="1:8" x14ac:dyDescent="0.3">
      <c r="A1198" s="2">
        <v>978836</v>
      </c>
      <c r="B1198" s="3" t="s">
        <v>1059</v>
      </c>
      <c r="C1198" s="3" t="s">
        <v>1010</v>
      </c>
      <c r="D1198" s="3" t="s">
        <v>1021</v>
      </c>
      <c r="E1198" s="3" t="s">
        <v>196</v>
      </c>
      <c r="F1198" s="1">
        <v>45908</v>
      </c>
      <c r="G1198" t="str">
        <f t="shared" si="19"/>
        <v>Sep -2025</v>
      </c>
      <c r="H1198" s="12"/>
    </row>
    <row r="1199" spans="1:8" x14ac:dyDescent="0.3">
      <c r="A1199" s="2">
        <v>100003308</v>
      </c>
      <c r="B1199" s="3" t="s">
        <v>1022</v>
      </c>
      <c r="C1199" s="3" t="s">
        <v>1011</v>
      </c>
      <c r="D1199" s="3" t="s">
        <v>972</v>
      </c>
      <c r="E1199" s="3" t="s">
        <v>981</v>
      </c>
      <c r="F1199" s="1">
        <v>45908</v>
      </c>
      <c r="G1199" t="str">
        <f t="shared" si="19"/>
        <v>Sep -2025</v>
      </c>
      <c r="H1199" s="12"/>
    </row>
    <row r="1200" spans="1:8" x14ac:dyDescent="0.3">
      <c r="A1200" s="2">
        <v>981487</v>
      </c>
      <c r="B1200" s="3" t="s">
        <v>1060</v>
      </c>
      <c r="C1200" s="3" t="s">
        <v>1010</v>
      </c>
      <c r="D1200" s="3" t="s">
        <v>1020</v>
      </c>
      <c r="E1200" s="3" t="s">
        <v>228</v>
      </c>
      <c r="F1200" s="1">
        <v>45909</v>
      </c>
      <c r="G1200" t="str">
        <f t="shared" si="19"/>
        <v>Sep -2025</v>
      </c>
      <c r="H1200" s="12"/>
    </row>
    <row r="1201" spans="1:8" x14ac:dyDescent="0.3">
      <c r="A1201" s="2">
        <v>200002410</v>
      </c>
      <c r="B1201" s="3" t="s">
        <v>191</v>
      </c>
      <c r="C1201" s="3" t="s">
        <v>1010</v>
      </c>
      <c r="D1201" s="3" t="s">
        <v>192</v>
      </c>
      <c r="E1201" s="3" t="s">
        <v>193</v>
      </c>
      <c r="F1201" s="1">
        <v>45909</v>
      </c>
      <c r="G1201" t="str">
        <f t="shared" si="19"/>
        <v>Sep -2025</v>
      </c>
      <c r="H1201" s="12"/>
    </row>
    <row r="1202" spans="1:8" x14ac:dyDescent="0.3">
      <c r="A1202" s="2">
        <v>981526</v>
      </c>
      <c r="B1202" s="3" t="s">
        <v>41</v>
      </c>
      <c r="C1202" s="3" t="s">
        <v>1010</v>
      </c>
      <c r="D1202" s="3" t="s">
        <v>1020</v>
      </c>
      <c r="E1202" s="3" t="s">
        <v>211</v>
      </c>
      <c r="F1202" s="1">
        <v>45909</v>
      </c>
      <c r="G1202" t="str">
        <f t="shared" si="19"/>
        <v>Sep -2025</v>
      </c>
      <c r="H1202" s="12"/>
    </row>
    <row r="1203" spans="1:8" x14ac:dyDescent="0.3">
      <c r="A1203" s="2">
        <v>979295</v>
      </c>
      <c r="B1203" s="3" t="s">
        <v>1061</v>
      </c>
      <c r="C1203" s="3" t="s">
        <v>1010</v>
      </c>
      <c r="D1203" s="3" t="s">
        <v>209</v>
      </c>
      <c r="E1203" s="3" t="s">
        <v>228</v>
      </c>
      <c r="F1203" s="1">
        <v>45909</v>
      </c>
      <c r="G1203" t="str">
        <f t="shared" si="19"/>
        <v>Sep -2025</v>
      </c>
      <c r="H1203" s="12"/>
    </row>
    <row r="1204" spans="1:8" x14ac:dyDescent="0.3">
      <c r="A1204" s="2">
        <v>979254</v>
      </c>
      <c r="B1204" s="3" t="s">
        <v>1061</v>
      </c>
      <c r="C1204" s="3" t="s">
        <v>1010</v>
      </c>
      <c r="D1204" s="3" t="s">
        <v>209</v>
      </c>
      <c r="E1204" s="3" t="s">
        <v>228</v>
      </c>
      <c r="F1204" s="1">
        <v>45909</v>
      </c>
      <c r="G1204" t="str">
        <f t="shared" si="19"/>
        <v>Sep -2025</v>
      </c>
      <c r="H1204" s="12"/>
    </row>
    <row r="1205" spans="1:8" x14ac:dyDescent="0.3">
      <c r="A1205" s="2">
        <v>979072</v>
      </c>
      <c r="B1205" s="3" t="s">
        <v>1062</v>
      </c>
      <c r="C1205" s="3" t="s">
        <v>1010</v>
      </c>
      <c r="D1205" s="3" t="s">
        <v>364</v>
      </c>
      <c r="E1205" s="3" t="s">
        <v>15</v>
      </c>
      <c r="F1205" s="1">
        <v>45909</v>
      </c>
      <c r="G1205" t="str">
        <f t="shared" si="19"/>
        <v>Sep -2025</v>
      </c>
      <c r="H1205" s="12"/>
    </row>
    <row r="1206" spans="1:8" x14ac:dyDescent="0.3">
      <c r="A1206" s="2">
        <v>981520</v>
      </c>
      <c r="B1206" s="3" t="s">
        <v>1063</v>
      </c>
      <c r="C1206" s="3" t="s">
        <v>1010</v>
      </c>
      <c r="D1206" s="3" t="s">
        <v>227</v>
      </c>
      <c r="E1206" s="3" t="s">
        <v>453</v>
      </c>
      <c r="F1206" s="1">
        <v>45909</v>
      </c>
      <c r="G1206" t="str">
        <f t="shared" si="19"/>
        <v>Sep -2025</v>
      </c>
      <c r="H1206" s="12"/>
    </row>
    <row r="1207" spans="1:8" x14ac:dyDescent="0.3">
      <c r="A1207" s="2">
        <v>981564</v>
      </c>
      <c r="B1207" s="3" t="s">
        <v>1063</v>
      </c>
      <c r="C1207" s="3" t="s">
        <v>1010</v>
      </c>
      <c r="D1207" s="3" t="s">
        <v>227</v>
      </c>
      <c r="E1207" s="3" t="s">
        <v>453</v>
      </c>
      <c r="F1207" s="1">
        <v>45909</v>
      </c>
      <c r="G1207" t="str">
        <f t="shared" si="19"/>
        <v>Sep -2025</v>
      </c>
      <c r="H1207" s="12"/>
    </row>
    <row r="1208" spans="1:8" x14ac:dyDescent="0.3">
      <c r="A1208" s="2">
        <v>982606</v>
      </c>
      <c r="B1208" s="3" t="s">
        <v>1064</v>
      </c>
      <c r="C1208" s="3" t="s">
        <v>1010</v>
      </c>
      <c r="D1208" s="3" t="s">
        <v>364</v>
      </c>
      <c r="E1208" s="3" t="s">
        <v>15</v>
      </c>
      <c r="F1208" s="1">
        <v>45909</v>
      </c>
      <c r="G1208" t="str">
        <f t="shared" si="19"/>
        <v>Sep -2025</v>
      </c>
      <c r="H1208" s="12"/>
    </row>
    <row r="1209" spans="1:8" x14ac:dyDescent="0.3">
      <c r="A1209" s="2">
        <v>982517</v>
      </c>
      <c r="B1209" s="3" t="s">
        <v>1065</v>
      </c>
      <c r="C1209" s="3" t="s">
        <v>1010</v>
      </c>
      <c r="D1209" s="3" t="s">
        <v>364</v>
      </c>
      <c r="E1209" s="3" t="s">
        <v>15</v>
      </c>
      <c r="F1209" s="1">
        <v>45909</v>
      </c>
      <c r="G1209" t="str">
        <f t="shared" si="19"/>
        <v>Sep -2025</v>
      </c>
      <c r="H1209" s="12"/>
    </row>
    <row r="1210" spans="1:8" x14ac:dyDescent="0.3">
      <c r="A1210" s="2">
        <v>200002413</v>
      </c>
      <c r="B1210" s="3" t="s">
        <v>1066</v>
      </c>
      <c r="C1210" s="3" t="s">
        <v>1010</v>
      </c>
      <c r="D1210" s="3" t="s">
        <v>192</v>
      </c>
      <c r="E1210" s="3" t="s">
        <v>1069</v>
      </c>
      <c r="F1210" s="1">
        <v>45909</v>
      </c>
      <c r="G1210" t="str">
        <f t="shared" si="19"/>
        <v>Sep -2025</v>
      </c>
      <c r="H1210" s="12"/>
    </row>
    <row r="1211" spans="1:8" x14ac:dyDescent="0.3">
      <c r="A1211" s="2">
        <v>200002416</v>
      </c>
      <c r="B1211" s="3" t="s">
        <v>1067</v>
      </c>
      <c r="C1211" s="3" t="s">
        <v>1010</v>
      </c>
      <c r="D1211" s="3" t="s">
        <v>192</v>
      </c>
      <c r="E1211" s="3" t="s">
        <v>1069</v>
      </c>
      <c r="F1211" s="1">
        <v>45909</v>
      </c>
      <c r="G1211" t="str">
        <f t="shared" si="19"/>
        <v>Sep -2025</v>
      </c>
      <c r="H1211" s="12"/>
    </row>
    <row r="1212" spans="1:8" x14ac:dyDescent="0.3">
      <c r="A1212" s="2">
        <v>200002381</v>
      </c>
      <c r="B1212" s="3" t="s">
        <v>1068</v>
      </c>
      <c r="C1212" s="3" t="s">
        <v>1010</v>
      </c>
      <c r="D1212" s="3" t="s">
        <v>192</v>
      </c>
      <c r="E1212" s="3" t="s">
        <v>1070</v>
      </c>
      <c r="F1212" s="1">
        <v>45909</v>
      </c>
      <c r="G1212" t="str">
        <f t="shared" si="19"/>
        <v>Sep -2025</v>
      </c>
      <c r="H1212" s="12"/>
    </row>
    <row r="1213" spans="1:8" x14ac:dyDescent="0.3">
      <c r="A1213" s="2">
        <v>979296</v>
      </c>
      <c r="B1213" s="3" t="s">
        <v>25</v>
      </c>
      <c r="C1213" s="3" t="s">
        <v>1010</v>
      </c>
      <c r="D1213" s="3" t="s">
        <v>1020</v>
      </c>
      <c r="E1213" s="3" t="s">
        <v>338</v>
      </c>
      <c r="F1213" s="1">
        <v>45910</v>
      </c>
      <c r="G1213" t="str">
        <f t="shared" si="19"/>
        <v>Sep -2025</v>
      </c>
      <c r="H1213" s="12"/>
    </row>
    <row r="1214" spans="1:8" x14ac:dyDescent="0.3">
      <c r="A1214" s="2">
        <v>979361</v>
      </c>
      <c r="B1214" s="3" t="s">
        <v>25</v>
      </c>
      <c r="C1214" s="3" t="s">
        <v>1010</v>
      </c>
      <c r="D1214" s="3" t="s">
        <v>1020</v>
      </c>
      <c r="E1214" s="3" t="s">
        <v>338</v>
      </c>
      <c r="F1214" s="1">
        <v>45910</v>
      </c>
      <c r="G1214" t="str">
        <f t="shared" si="19"/>
        <v>Sep -2025</v>
      </c>
      <c r="H1214" s="12"/>
    </row>
    <row r="1215" spans="1:8" x14ac:dyDescent="0.3">
      <c r="A1215" s="2">
        <v>984361</v>
      </c>
      <c r="B1215" s="3" t="s">
        <v>1071</v>
      </c>
      <c r="C1215" s="3" t="s">
        <v>1010</v>
      </c>
      <c r="D1215" s="3" t="s">
        <v>209</v>
      </c>
      <c r="E1215" s="3" t="s">
        <v>196</v>
      </c>
      <c r="F1215" s="1">
        <v>45910</v>
      </c>
      <c r="G1215" t="str">
        <f t="shared" si="19"/>
        <v>Sep -2025</v>
      </c>
      <c r="H1215" s="12"/>
    </row>
    <row r="1216" spans="1:8" x14ac:dyDescent="0.3">
      <c r="A1216" s="2">
        <v>900003458</v>
      </c>
      <c r="B1216" s="3" t="s">
        <v>1072</v>
      </c>
      <c r="C1216" s="3" t="s">
        <v>1010</v>
      </c>
      <c r="D1216" s="3" t="s">
        <v>209</v>
      </c>
      <c r="E1216" s="3" t="s">
        <v>322</v>
      </c>
      <c r="F1216" s="1">
        <v>45910</v>
      </c>
      <c r="G1216" t="str">
        <f t="shared" si="19"/>
        <v>Sep -2025</v>
      </c>
      <c r="H1216" s="12"/>
    </row>
    <row r="1217" spans="1:8" x14ac:dyDescent="0.3">
      <c r="A1217" s="2">
        <v>900004152</v>
      </c>
      <c r="B1217" s="3" t="s">
        <v>462</v>
      </c>
      <c r="C1217" s="3" t="s">
        <v>1010</v>
      </c>
      <c r="D1217" s="3" t="s">
        <v>209</v>
      </c>
      <c r="E1217" s="3" t="s">
        <v>322</v>
      </c>
      <c r="F1217" s="1">
        <v>45910</v>
      </c>
      <c r="G1217" t="str">
        <f t="shared" si="19"/>
        <v>Sep -2025</v>
      </c>
      <c r="H1217" s="12"/>
    </row>
    <row r="1218" spans="1:8" x14ac:dyDescent="0.3">
      <c r="A1218" s="2">
        <v>200002416</v>
      </c>
      <c r="B1218" s="3" t="s">
        <v>1067</v>
      </c>
      <c r="C1218" s="3" t="s">
        <v>1010</v>
      </c>
      <c r="D1218" s="3" t="s">
        <v>192</v>
      </c>
      <c r="E1218" s="3" t="s">
        <v>1069</v>
      </c>
      <c r="F1218" s="1">
        <v>45910</v>
      </c>
      <c r="G1218" t="str">
        <f t="shared" ref="G1218:G1281" si="20">TEXT(F1218,"mmm -YYYY")</f>
        <v>Sep -2025</v>
      </c>
      <c r="H1218" s="12"/>
    </row>
    <row r="1219" spans="1:8" x14ac:dyDescent="0.3">
      <c r="A1219" s="2">
        <v>200002381</v>
      </c>
      <c r="B1219" s="3" t="s">
        <v>1068</v>
      </c>
      <c r="C1219" s="3" t="s">
        <v>1010</v>
      </c>
      <c r="D1219" s="3" t="s">
        <v>192</v>
      </c>
      <c r="E1219" s="3" t="s">
        <v>1070</v>
      </c>
      <c r="F1219" s="1">
        <v>45910</v>
      </c>
      <c r="G1219" t="str">
        <f t="shared" si="20"/>
        <v>Sep -2025</v>
      </c>
      <c r="H1219" s="12"/>
    </row>
    <row r="1220" spans="1:8" x14ac:dyDescent="0.3">
      <c r="A1220" s="2">
        <v>900003932</v>
      </c>
      <c r="B1220" s="3" t="s">
        <v>306</v>
      </c>
      <c r="C1220" s="3" t="s">
        <v>1010</v>
      </c>
      <c r="D1220" s="3" t="s">
        <v>143</v>
      </c>
      <c r="E1220" s="3" t="s">
        <v>322</v>
      </c>
      <c r="F1220" s="1">
        <v>45910</v>
      </c>
      <c r="G1220" t="str">
        <f t="shared" si="20"/>
        <v>Sep -2025</v>
      </c>
      <c r="H1220" s="12"/>
    </row>
    <row r="1221" spans="1:8" x14ac:dyDescent="0.3">
      <c r="A1221" s="2">
        <v>900003839</v>
      </c>
      <c r="B1221" s="3" t="s">
        <v>306</v>
      </c>
      <c r="C1221" s="3" t="s">
        <v>1010</v>
      </c>
      <c r="D1221" s="3" t="s">
        <v>143</v>
      </c>
      <c r="E1221" s="3" t="s">
        <v>322</v>
      </c>
      <c r="F1221" s="1">
        <v>45910</v>
      </c>
      <c r="G1221" t="str">
        <f t="shared" si="20"/>
        <v>Sep -2025</v>
      </c>
      <c r="H1221" s="12"/>
    </row>
    <row r="1222" spans="1:8" x14ac:dyDescent="0.3">
      <c r="A1222" s="2">
        <v>900003454</v>
      </c>
      <c r="B1222" s="3" t="s">
        <v>1073</v>
      </c>
      <c r="C1222" s="3" t="s">
        <v>1010</v>
      </c>
      <c r="D1222" s="3" t="s">
        <v>209</v>
      </c>
      <c r="E1222" s="3" t="s">
        <v>322</v>
      </c>
      <c r="F1222" s="1">
        <v>45910</v>
      </c>
      <c r="G1222" t="str">
        <f t="shared" si="20"/>
        <v>Sep -2025</v>
      </c>
      <c r="H1222" s="12"/>
    </row>
    <row r="1223" spans="1:8" x14ac:dyDescent="0.3">
      <c r="A1223" s="2">
        <v>984668</v>
      </c>
      <c r="B1223" s="3" t="s">
        <v>1074</v>
      </c>
      <c r="C1223" s="3" t="s">
        <v>1010</v>
      </c>
      <c r="D1223" s="3" t="s">
        <v>227</v>
      </c>
      <c r="E1223" s="3" t="s">
        <v>228</v>
      </c>
      <c r="F1223" s="1">
        <v>45910</v>
      </c>
      <c r="G1223" t="str">
        <f t="shared" si="20"/>
        <v>Sep -2025</v>
      </c>
      <c r="H1223" s="12"/>
    </row>
    <row r="1224" spans="1:8" x14ac:dyDescent="0.3">
      <c r="A1224" s="2">
        <v>984500</v>
      </c>
      <c r="B1224" s="3" t="s">
        <v>1075</v>
      </c>
      <c r="C1224" s="3" t="s">
        <v>1010</v>
      </c>
      <c r="D1224" s="3" t="s">
        <v>364</v>
      </c>
      <c r="E1224" s="3" t="s">
        <v>15</v>
      </c>
      <c r="F1224" s="1">
        <v>45910</v>
      </c>
      <c r="G1224" t="str">
        <f t="shared" si="20"/>
        <v>Sep -2025</v>
      </c>
      <c r="H1224" s="12"/>
    </row>
    <row r="1225" spans="1:8" x14ac:dyDescent="0.3">
      <c r="A1225" s="2">
        <v>984597</v>
      </c>
      <c r="B1225" s="3" t="s">
        <v>1076</v>
      </c>
      <c r="C1225" s="3" t="s">
        <v>1010</v>
      </c>
      <c r="D1225" s="3" t="s">
        <v>209</v>
      </c>
      <c r="E1225" s="3" t="s">
        <v>225</v>
      </c>
      <c r="F1225" s="1">
        <v>45910</v>
      </c>
      <c r="G1225" t="str">
        <f t="shared" si="20"/>
        <v>Sep -2025</v>
      </c>
      <c r="H1225" s="12"/>
    </row>
    <row r="1226" spans="1:8" x14ac:dyDescent="0.3">
      <c r="A1226" s="2">
        <v>972559</v>
      </c>
      <c r="B1226" s="3" t="s">
        <v>47</v>
      </c>
      <c r="C1226" s="3" t="s">
        <v>1010</v>
      </c>
      <c r="D1226" s="3" t="s">
        <v>1020</v>
      </c>
      <c r="E1226" s="3" t="s">
        <v>211</v>
      </c>
      <c r="F1226" s="1">
        <v>45910</v>
      </c>
      <c r="G1226" t="str">
        <f t="shared" si="20"/>
        <v>Sep -2025</v>
      </c>
      <c r="H1226" s="12"/>
    </row>
    <row r="1227" spans="1:8" x14ac:dyDescent="0.3">
      <c r="A1227" s="2">
        <v>972546</v>
      </c>
      <c r="B1227" s="3" t="s">
        <v>47</v>
      </c>
      <c r="C1227" s="3" t="s">
        <v>1010</v>
      </c>
      <c r="D1227" s="3" t="s">
        <v>1020</v>
      </c>
      <c r="E1227" s="3" t="s">
        <v>211</v>
      </c>
      <c r="F1227" s="1">
        <v>45910</v>
      </c>
      <c r="G1227" t="str">
        <f t="shared" si="20"/>
        <v>Sep -2025</v>
      </c>
      <c r="H1227" s="12"/>
    </row>
    <row r="1228" spans="1:8" x14ac:dyDescent="0.3">
      <c r="A1228" s="2">
        <v>981526</v>
      </c>
      <c r="B1228" s="3" t="s">
        <v>1077</v>
      </c>
      <c r="C1228" s="3" t="s">
        <v>1010</v>
      </c>
      <c r="D1228" s="3" t="s">
        <v>1020</v>
      </c>
      <c r="E1228" s="3" t="s">
        <v>211</v>
      </c>
      <c r="F1228" s="1">
        <v>45910</v>
      </c>
      <c r="G1228" t="str">
        <f t="shared" si="20"/>
        <v>Sep -2025</v>
      </c>
      <c r="H1228" s="12"/>
    </row>
    <row r="1229" spans="1:8" x14ac:dyDescent="0.3">
      <c r="A1229" s="2">
        <v>972560</v>
      </c>
      <c r="B1229" s="3" t="s">
        <v>47</v>
      </c>
      <c r="C1229" s="3" t="s">
        <v>1010</v>
      </c>
      <c r="D1229" s="3" t="s">
        <v>1020</v>
      </c>
      <c r="E1229" s="3" t="s">
        <v>211</v>
      </c>
      <c r="F1229" s="1">
        <v>45910</v>
      </c>
      <c r="G1229" t="str">
        <f t="shared" si="20"/>
        <v>Sep -2025</v>
      </c>
      <c r="H1229" s="12"/>
    </row>
    <row r="1230" spans="1:8" x14ac:dyDescent="0.3">
      <c r="A1230" s="2">
        <v>984902</v>
      </c>
      <c r="B1230" s="3" t="s">
        <v>1078</v>
      </c>
      <c r="C1230" s="3" t="s">
        <v>1010</v>
      </c>
      <c r="D1230" s="3" t="s">
        <v>1259</v>
      </c>
      <c r="E1230" s="3" t="s">
        <v>228</v>
      </c>
      <c r="F1230" s="1">
        <v>45910</v>
      </c>
      <c r="G1230" t="str">
        <f t="shared" si="20"/>
        <v>Sep -2025</v>
      </c>
      <c r="H1230" s="12"/>
    </row>
    <row r="1231" spans="1:8" x14ac:dyDescent="0.3">
      <c r="A1231" s="2">
        <v>985285</v>
      </c>
      <c r="B1231" s="3" t="s">
        <v>1079</v>
      </c>
      <c r="C1231" s="3" t="s">
        <v>1010</v>
      </c>
      <c r="D1231" s="3" t="s">
        <v>209</v>
      </c>
      <c r="E1231" s="3" t="s">
        <v>210</v>
      </c>
      <c r="F1231" s="1">
        <v>45910</v>
      </c>
      <c r="G1231" t="str">
        <f t="shared" si="20"/>
        <v>Sep -2025</v>
      </c>
      <c r="H1231" s="12"/>
    </row>
    <row r="1232" spans="1:8" x14ac:dyDescent="0.3">
      <c r="A1232" s="2">
        <v>985363</v>
      </c>
      <c r="B1232" s="3" t="s">
        <v>1080</v>
      </c>
      <c r="C1232" s="3" t="s">
        <v>1010</v>
      </c>
      <c r="D1232" s="3" t="s">
        <v>209</v>
      </c>
      <c r="E1232" s="3" t="s">
        <v>210</v>
      </c>
      <c r="F1232" s="1">
        <v>45910</v>
      </c>
      <c r="G1232" t="str">
        <f t="shared" si="20"/>
        <v>Sep -2025</v>
      </c>
      <c r="H1232" s="12"/>
    </row>
    <row r="1233" spans="1:8" x14ac:dyDescent="0.3">
      <c r="A1233" s="2">
        <v>985474</v>
      </c>
      <c r="B1233" s="3" t="s">
        <v>1081</v>
      </c>
      <c r="C1233" s="3" t="s">
        <v>1010</v>
      </c>
      <c r="D1233" s="3" t="s">
        <v>209</v>
      </c>
      <c r="E1233" s="3" t="s">
        <v>228</v>
      </c>
      <c r="F1233" s="1">
        <v>45911</v>
      </c>
      <c r="G1233" t="str">
        <f t="shared" si="20"/>
        <v>Sep -2025</v>
      </c>
      <c r="H1233" s="12"/>
    </row>
    <row r="1234" spans="1:8" x14ac:dyDescent="0.3">
      <c r="A1234" s="2">
        <v>985521</v>
      </c>
      <c r="B1234" s="3" t="s">
        <v>1081</v>
      </c>
      <c r="C1234" s="3" t="s">
        <v>1010</v>
      </c>
      <c r="D1234" s="3" t="s">
        <v>209</v>
      </c>
      <c r="E1234" s="3" t="s">
        <v>228</v>
      </c>
      <c r="F1234" s="1">
        <v>45911</v>
      </c>
      <c r="G1234" t="str">
        <f t="shared" si="20"/>
        <v>Sep -2025</v>
      </c>
      <c r="H1234" s="12"/>
    </row>
    <row r="1235" spans="1:8" x14ac:dyDescent="0.3">
      <c r="A1235" s="2">
        <v>985472</v>
      </c>
      <c r="B1235" s="3" t="s">
        <v>1082</v>
      </c>
      <c r="C1235" s="3" t="s">
        <v>1010</v>
      </c>
      <c r="D1235" s="3" t="s">
        <v>209</v>
      </c>
      <c r="E1235" s="3" t="s">
        <v>196</v>
      </c>
      <c r="F1235" s="1">
        <v>45911</v>
      </c>
      <c r="G1235" t="str">
        <f t="shared" si="20"/>
        <v>Sep -2025</v>
      </c>
      <c r="H1235" s="12"/>
    </row>
    <row r="1236" spans="1:8" x14ac:dyDescent="0.3">
      <c r="A1236" s="2">
        <v>985607</v>
      </c>
      <c r="B1236" s="3" t="s">
        <v>1083</v>
      </c>
      <c r="C1236" s="3" t="s">
        <v>1010</v>
      </c>
      <c r="D1236" s="3" t="s">
        <v>1259</v>
      </c>
      <c r="E1236" s="3" t="s">
        <v>228</v>
      </c>
      <c r="F1236" s="1">
        <v>45911</v>
      </c>
      <c r="G1236" t="str">
        <f t="shared" si="20"/>
        <v>Sep -2025</v>
      </c>
      <c r="H1236" s="12"/>
    </row>
    <row r="1237" spans="1:8" x14ac:dyDescent="0.3">
      <c r="A1237" s="2">
        <v>985400</v>
      </c>
      <c r="B1237" s="3" t="s">
        <v>1084</v>
      </c>
      <c r="C1237" s="3" t="s">
        <v>1010</v>
      </c>
      <c r="D1237" s="3" t="s">
        <v>1091</v>
      </c>
      <c r="E1237" s="3" t="s">
        <v>15</v>
      </c>
      <c r="F1237" s="1">
        <v>45911</v>
      </c>
      <c r="G1237" t="str">
        <f t="shared" si="20"/>
        <v>Sep -2025</v>
      </c>
      <c r="H1237" s="12"/>
    </row>
    <row r="1238" spans="1:8" x14ac:dyDescent="0.3">
      <c r="A1238" s="2">
        <v>987155</v>
      </c>
      <c r="B1238" s="3" t="s">
        <v>1085</v>
      </c>
      <c r="C1238" s="3" t="s">
        <v>1010</v>
      </c>
      <c r="D1238" s="3" t="s">
        <v>209</v>
      </c>
      <c r="E1238" s="3" t="s">
        <v>1092</v>
      </c>
      <c r="F1238" s="1">
        <v>45911</v>
      </c>
      <c r="G1238" t="str">
        <f t="shared" si="20"/>
        <v>Sep -2025</v>
      </c>
      <c r="H1238" s="12"/>
    </row>
    <row r="1239" spans="1:8" x14ac:dyDescent="0.3">
      <c r="A1239" s="2">
        <v>987227</v>
      </c>
      <c r="B1239" s="3" t="s">
        <v>1086</v>
      </c>
      <c r="C1239" s="3" t="s">
        <v>1010</v>
      </c>
      <c r="D1239" s="3" t="s">
        <v>364</v>
      </c>
      <c r="E1239" s="3" t="s">
        <v>15</v>
      </c>
      <c r="F1239" s="1">
        <v>45911</v>
      </c>
      <c r="G1239" t="str">
        <f t="shared" si="20"/>
        <v>Sep -2025</v>
      </c>
      <c r="H1239" s="12"/>
    </row>
    <row r="1240" spans="1:8" x14ac:dyDescent="0.3">
      <c r="A1240" s="2">
        <v>987203</v>
      </c>
      <c r="B1240" s="3" t="s">
        <v>1087</v>
      </c>
      <c r="C1240" s="3" t="s">
        <v>1010</v>
      </c>
      <c r="D1240" s="3" t="s">
        <v>364</v>
      </c>
      <c r="E1240" s="3" t="s">
        <v>15</v>
      </c>
      <c r="F1240" s="1">
        <v>45911</v>
      </c>
      <c r="G1240" t="str">
        <f t="shared" si="20"/>
        <v>Sep -2025</v>
      </c>
      <c r="H1240" s="12"/>
    </row>
    <row r="1241" spans="1:8" x14ac:dyDescent="0.3">
      <c r="A1241" s="2">
        <v>987257</v>
      </c>
      <c r="B1241" s="3" t="s">
        <v>41</v>
      </c>
      <c r="C1241" s="3" t="s">
        <v>1010</v>
      </c>
      <c r="D1241" s="3" t="s">
        <v>1020</v>
      </c>
      <c r="E1241" s="3" t="s">
        <v>211</v>
      </c>
      <c r="F1241" s="1">
        <v>45911</v>
      </c>
      <c r="G1241" t="str">
        <f t="shared" si="20"/>
        <v>Sep -2025</v>
      </c>
      <c r="H1241" s="12"/>
    </row>
    <row r="1242" spans="1:8" x14ac:dyDescent="0.3">
      <c r="A1242" s="2">
        <v>987310</v>
      </c>
      <c r="B1242" s="3" t="s">
        <v>1088</v>
      </c>
      <c r="C1242" s="3" t="s">
        <v>1010</v>
      </c>
      <c r="D1242" s="3" t="s">
        <v>1020</v>
      </c>
      <c r="E1242" s="3" t="s">
        <v>225</v>
      </c>
      <c r="F1242" s="1">
        <v>45911</v>
      </c>
      <c r="G1242" t="str">
        <f t="shared" si="20"/>
        <v>Sep -2025</v>
      </c>
      <c r="H1242" s="12"/>
    </row>
    <row r="1243" spans="1:8" x14ac:dyDescent="0.3">
      <c r="A1243" s="2">
        <v>987385</v>
      </c>
      <c r="B1243" s="3" t="s">
        <v>1088</v>
      </c>
      <c r="C1243" s="3" t="s">
        <v>1010</v>
      </c>
      <c r="D1243" s="3" t="s">
        <v>209</v>
      </c>
      <c r="E1243" s="3" t="s">
        <v>225</v>
      </c>
      <c r="F1243" s="1">
        <v>45911</v>
      </c>
      <c r="G1243" t="str">
        <f t="shared" si="20"/>
        <v>Sep -2025</v>
      </c>
      <c r="H1243" s="12"/>
    </row>
    <row r="1244" spans="1:8" x14ac:dyDescent="0.3">
      <c r="A1244" s="2">
        <v>987393</v>
      </c>
      <c r="B1244" s="3" t="s">
        <v>1088</v>
      </c>
      <c r="C1244" s="3" t="s">
        <v>1010</v>
      </c>
      <c r="D1244" s="3" t="s">
        <v>209</v>
      </c>
      <c r="E1244" s="3" t="s">
        <v>225</v>
      </c>
      <c r="F1244" s="1">
        <v>45911</v>
      </c>
      <c r="G1244" t="str">
        <f t="shared" si="20"/>
        <v>Sep -2025</v>
      </c>
      <c r="H1244" s="12"/>
    </row>
    <row r="1245" spans="1:8" x14ac:dyDescent="0.3">
      <c r="A1245" s="2">
        <v>987427</v>
      </c>
      <c r="B1245" s="3" t="s">
        <v>356</v>
      </c>
      <c r="C1245" s="3" t="s">
        <v>1010</v>
      </c>
      <c r="D1245" s="3" t="s">
        <v>209</v>
      </c>
      <c r="E1245" s="3" t="s">
        <v>357</v>
      </c>
      <c r="F1245" s="1">
        <v>45911</v>
      </c>
      <c r="G1245" t="str">
        <f t="shared" si="20"/>
        <v>Sep -2025</v>
      </c>
      <c r="H1245" s="12"/>
    </row>
    <row r="1246" spans="1:8" x14ac:dyDescent="0.3">
      <c r="A1246" s="2">
        <v>987848</v>
      </c>
      <c r="B1246" s="3" t="s">
        <v>1089</v>
      </c>
      <c r="C1246" s="3" t="s">
        <v>1010</v>
      </c>
      <c r="D1246" s="3" t="s">
        <v>209</v>
      </c>
      <c r="E1246" s="3" t="s">
        <v>210</v>
      </c>
      <c r="F1246" s="1">
        <v>45911</v>
      </c>
      <c r="G1246" t="str">
        <f t="shared" si="20"/>
        <v>Sep -2025</v>
      </c>
      <c r="H1246" s="12"/>
    </row>
    <row r="1247" spans="1:8" x14ac:dyDescent="0.3">
      <c r="A1247" s="2">
        <v>987254</v>
      </c>
      <c r="B1247" s="3" t="s">
        <v>1090</v>
      </c>
      <c r="C1247" s="3" t="s">
        <v>1010</v>
      </c>
      <c r="D1247" s="3" t="s">
        <v>364</v>
      </c>
      <c r="E1247" s="3" t="s">
        <v>15</v>
      </c>
      <c r="F1247" s="1">
        <v>45911</v>
      </c>
      <c r="G1247" t="str">
        <f t="shared" si="20"/>
        <v>Sep -2025</v>
      </c>
      <c r="H1247" s="12"/>
    </row>
    <row r="1248" spans="1:8" x14ac:dyDescent="0.3">
      <c r="A1248" s="2">
        <v>100003778</v>
      </c>
      <c r="B1248" s="3" t="s">
        <v>1093</v>
      </c>
      <c r="C1248" s="3" t="s">
        <v>1011</v>
      </c>
      <c r="D1248" s="3" t="s">
        <v>972</v>
      </c>
      <c r="E1248" s="3" t="s">
        <v>967</v>
      </c>
      <c r="F1248" s="1">
        <v>45911</v>
      </c>
      <c r="G1248" t="str">
        <f t="shared" si="20"/>
        <v>Sep -2025</v>
      </c>
      <c r="H1248" s="12"/>
    </row>
    <row r="1249" spans="1:8" x14ac:dyDescent="0.3">
      <c r="A1249" s="2">
        <v>987634</v>
      </c>
      <c r="B1249" s="3" t="s">
        <v>1094</v>
      </c>
      <c r="C1249" s="3" t="s">
        <v>1010</v>
      </c>
      <c r="D1249" s="3" t="s">
        <v>364</v>
      </c>
      <c r="E1249" s="3" t="s">
        <v>15</v>
      </c>
      <c r="F1249" s="1">
        <v>45912</v>
      </c>
      <c r="G1249" t="str">
        <f t="shared" si="20"/>
        <v>Sep -2025</v>
      </c>
      <c r="H1249" s="12"/>
    </row>
    <row r="1250" spans="1:8" x14ac:dyDescent="0.3">
      <c r="A1250" s="2">
        <v>987677</v>
      </c>
      <c r="B1250" s="3" t="s">
        <v>1095</v>
      </c>
      <c r="C1250" s="3" t="s">
        <v>1010</v>
      </c>
      <c r="D1250" s="3" t="s">
        <v>364</v>
      </c>
      <c r="E1250" s="3" t="s">
        <v>15</v>
      </c>
      <c r="F1250" s="1">
        <v>45912</v>
      </c>
      <c r="G1250" t="str">
        <f t="shared" si="20"/>
        <v>Sep -2025</v>
      </c>
      <c r="H1250" s="12"/>
    </row>
    <row r="1251" spans="1:8" x14ac:dyDescent="0.3">
      <c r="A1251" s="2">
        <v>987983</v>
      </c>
      <c r="B1251" s="3" t="s">
        <v>1096</v>
      </c>
      <c r="C1251" s="3" t="s">
        <v>1010</v>
      </c>
      <c r="D1251" s="3" t="s">
        <v>364</v>
      </c>
      <c r="E1251" s="3" t="s">
        <v>15</v>
      </c>
      <c r="F1251" s="1">
        <v>45912</v>
      </c>
      <c r="G1251" t="str">
        <f t="shared" si="20"/>
        <v>Sep -2025</v>
      </c>
      <c r="H1251" s="12"/>
    </row>
    <row r="1252" spans="1:8" x14ac:dyDescent="0.3">
      <c r="A1252" s="2">
        <v>987205</v>
      </c>
      <c r="B1252" s="3" t="s">
        <v>41</v>
      </c>
      <c r="C1252" s="3" t="s">
        <v>1010</v>
      </c>
      <c r="D1252" s="3" t="s">
        <v>1020</v>
      </c>
      <c r="E1252" s="3" t="s">
        <v>211</v>
      </c>
      <c r="F1252" s="1">
        <v>45912</v>
      </c>
      <c r="G1252" t="str">
        <f t="shared" si="20"/>
        <v>Sep -2025</v>
      </c>
      <c r="H1252" s="12"/>
    </row>
    <row r="1253" spans="1:8" x14ac:dyDescent="0.3">
      <c r="A1253" s="2">
        <v>987257</v>
      </c>
      <c r="B1253" s="3" t="s">
        <v>41</v>
      </c>
      <c r="C1253" s="3" t="s">
        <v>1010</v>
      </c>
      <c r="D1253" s="3" t="s">
        <v>1020</v>
      </c>
      <c r="E1253" s="3" t="s">
        <v>211</v>
      </c>
      <c r="F1253" s="1">
        <v>45912</v>
      </c>
      <c r="G1253" t="str">
        <f t="shared" si="20"/>
        <v>Sep -2025</v>
      </c>
      <c r="H1253" s="12"/>
    </row>
    <row r="1254" spans="1:8" x14ac:dyDescent="0.3">
      <c r="A1254" s="2">
        <v>989839</v>
      </c>
      <c r="B1254" s="3" t="s">
        <v>1097</v>
      </c>
      <c r="C1254" s="3" t="s">
        <v>1010</v>
      </c>
      <c r="D1254" s="3" t="s">
        <v>209</v>
      </c>
      <c r="E1254" s="3" t="s">
        <v>225</v>
      </c>
      <c r="F1254" s="1">
        <v>45912</v>
      </c>
      <c r="G1254" t="str">
        <f t="shared" si="20"/>
        <v>Sep -2025</v>
      </c>
      <c r="H1254" s="12"/>
    </row>
    <row r="1255" spans="1:8" x14ac:dyDescent="0.3">
      <c r="A1255" s="2">
        <v>989890</v>
      </c>
      <c r="B1255" s="3" t="s">
        <v>1097</v>
      </c>
      <c r="C1255" s="3" t="s">
        <v>1010</v>
      </c>
      <c r="D1255" s="3" t="s">
        <v>209</v>
      </c>
      <c r="E1255" s="3" t="s">
        <v>225</v>
      </c>
      <c r="F1255" s="1">
        <v>45912</v>
      </c>
      <c r="G1255" t="str">
        <f t="shared" si="20"/>
        <v>Sep -2025</v>
      </c>
      <c r="H1255" s="12"/>
    </row>
    <row r="1256" spans="1:8" x14ac:dyDescent="0.3">
      <c r="A1256" s="2">
        <v>989905</v>
      </c>
      <c r="B1256" s="3" t="s">
        <v>1097</v>
      </c>
      <c r="C1256" s="3" t="s">
        <v>1010</v>
      </c>
      <c r="D1256" s="3" t="s">
        <v>209</v>
      </c>
      <c r="E1256" s="3" t="s">
        <v>225</v>
      </c>
      <c r="F1256" s="1">
        <v>45912</v>
      </c>
      <c r="G1256" t="str">
        <f t="shared" si="20"/>
        <v>Sep -2025</v>
      </c>
      <c r="H1256" s="12"/>
    </row>
    <row r="1257" spans="1:8" x14ac:dyDescent="0.3">
      <c r="A1257" s="2">
        <v>989981</v>
      </c>
      <c r="B1257" s="3" t="s">
        <v>1097</v>
      </c>
      <c r="C1257" s="3" t="s">
        <v>1010</v>
      </c>
      <c r="D1257" s="3" t="s">
        <v>209</v>
      </c>
      <c r="E1257" s="3" t="s">
        <v>225</v>
      </c>
      <c r="F1257" s="1">
        <v>45912</v>
      </c>
      <c r="G1257" t="str">
        <f t="shared" si="20"/>
        <v>Sep -2025</v>
      </c>
      <c r="H1257" s="12"/>
    </row>
    <row r="1258" spans="1:8" x14ac:dyDescent="0.3">
      <c r="A1258" s="2">
        <v>989889</v>
      </c>
      <c r="B1258" s="3" t="s">
        <v>1097</v>
      </c>
      <c r="C1258" s="3" t="s">
        <v>1010</v>
      </c>
      <c r="D1258" s="3" t="s">
        <v>209</v>
      </c>
      <c r="E1258" s="3" t="s">
        <v>225</v>
      </c>
      <c r="F1258" s="1">
        <v>45912</v>
      </c>
      <c r="G1258" t="str">
        <f t="shared" si="20"/>
        <v>Sep -2025</v>
      </c>
      <c r="H1258" s="12"/>
    </row>
    <row r="1259" spans="1:8" x14ac:dyDescent="0.3">
      <c r="A1259" s="2">
        <v>989992</v>
      </c>
      <c r="B1259" s="3" t="s">
        <v>1097</v>
      </c>
      <c r="C1259" s="3" t="s">
        <v>1010</v>
      </c>
      <c r="D1259" s="3" t="s">
        <v>209</v>
      </c>
      <c r="E1259" s="3" t="s">
        <v>225</v>
      </c>
      <c r="F1259" s="1">
        <v>45912</v>
      </c>
      <c r="G1259" t="str">
        <f t="shared" si="20"/>
        <v>Sep -2025</v>
      </c>
      <c r="H1259" s="12"/>
    </row>
    <row r="1260" spans="1:8" x14ac:dyDescent="0.3">
      <c r="A1260" s="2">
        <v>989949</v>
      </c>
      <c r="B1260" s="3" t="s">
        <v>1097</v>
      </c>
      <c r="C1260" s="3" t="s">
        <v>1010</v>
      </c>
      <c r="D1260" s="3" t="s">
        <v>209</v>
      </c>
      <c r="E1260" s="3" t="s">
        <v>225</v>
      </c>
      <c r="F1260" s="1">
        <v>45912</v>
      </c>
      <c r="G1260" t="str">
        <f t="shared" si="20"/>
        <v>Sep -2025</v>
      </c>
      <c r="H1260" s="12"/>
    </row>
    <row r="1261" spans="1:8" x14ac:dyDescent="0.3">
      <c r="A1261" s="2">
        <v>990110</v>
      </c>
      <c r="B1261" s="3" t="s">
        <v>1098</v>
      </c>
      <c r="C1261" s="3" t="s">
        <v>1010</v>
      </c>
      <c r="D1261" s="3" t="s">
        <v>209</v>
      </c>
      <c r="E1261" s="3" t="s">
        <v>225</v>
      </c>
      <c r="F1261" s="1">
        <v>45912</v>
      </c>
      <c r="G1261" t="str">
        <f t="shared" si="20"/>
        <v>Sep -2025</v>
      </c>
      <c r="H1261" s="12"/>
    </row>
    <row r="1262" spans="1:8" x14ac:dyDescent="0.3">
      <c r="A1262" s="2">
        <v>989948</v>
      </c>
      <c r="B1262" s="3" t="s">
        <v>1097</v>
      </c>
      <c r="C1262" s="3" t="s">
        <v>1010</v>
      </c>
      <c r="D1262" s="3" t="s">
        <v>209</v>
      </c>
      <c r="E1262" s="3" t="s">
        <v>225</v>
      </c>
      <c r="F1262" s="1">
        <v>45912</v>
      </c>
      <c r="G1262" t="str">
        <f t="shared" si="20"/>
        <v>Sep -2025</v>
      </c>
      <c r="H1262" s="12"/>
    </row>
    <row r="1263" spans="1:8" x14ac:dyDescent="0.3">
      <c r="A1263" s="2">
        <v>100003846</v>
      </c>
      <c r="B1263" s="3" t="s">
        <v>1102</v>
      </c>
      <c r="C1263" s="3" t="s">
        <v>1011</v>
      </c>
      <c r="D1263" s="3" t="s">
        <v>972</v>
      </c>
      <c r="E1263" s="3" t="s">
        <v>1103</v>
      </c>
      <c r="F1263" s="1">
        <v>45912</v>
      </c>
      <c r="G1263" t="str">
        <f t="shared" si="20"/>
        <v>Sep -2025</v>
      </c>
      <c r="H1263" s="12"/>
    </row>
    <row r="1264" spans="1:8" x14ac:dyDescent="0.3">
      <c r="A1264" s="2">
        <v>100003892</v>
      </c>
      <c r="B1264" s="3" t="s">
        <v>1101</v>
      </c>
      <c r="C1264" s="3" t="s">
        <v>1011</v>
      </c>
      <c r="D1264" s="3" t="s">
        <v>972</v>
      </c>
      <c r="E1264" s="3" t="s">
        <v>1103</v>
      </c>
      <c r="F1264" s="1">
        <v>45912</v>
      </c>
      <c r="G1264" t="str">
        <f t="shared" si="20"/>
        <v>Sep -2025</v>
      </c>
      <c r="H1264" s="12"/>
    </row>
    <row r="1265" spans="1:8" x14ac:dyDescent="0.3">
      <c r="A1265" s="2">
        <v>100003848</v>
      </c>
      <c r="B1265" s="3" t="s">
        <v>1100</v>
      </c>
      <c r="C1265" s="3" t="s">
        <v>1011</v>
      </c>
      <c r="D1265" s="3" t="s">
        <v>972</v>
      </c>
      <c r="E1265" s="3" t="s">
        <v>1103</v>
      </c>
      <c r="F1265" s="1">
        <v>45912</v>
      </c>
      <c r="G1265" t="str">
        <f t="shared" si="20"/>
        <v>Sep -2025</v>
      </c>
      <c r="H1265" s="12"/>
    </row>
    <row r="1266" spans="1:8" x14ac:dyDescent="0.3">
      <c r="A1266" s="2">
        <v>990403</v>
      </c>
      <c r="B1266" s="3" t="s">
        <v>777</v>
      </c>
      <c r="C1266" s="3" t="s">
        <v>1011</v>
      </c>
      <c r="D1266" s="3" t="s">
        <v>972</v>
      </c>
      <c r="E1266" s="3" t="s">
        <v>965</v>
      </c>
      <c r="F1266" s="1">
        <v>45912</v>
      </c>
      <c r="G1266" t="str">
        <f t="shared" si="20"/>
        <v>Sep -2025</v>
      </c>
      <c r="H1266" s="12"/>
    </row>
    <row r="1267" spans="1:8" x14ac:dyDescent="0.3">
      <c r="A1267" s="2">
        <v>100003881</v>
      </c>
      <c r="B1267" s="3" t="s">
        <v>1099</v>
      </c>
      <c r="C1267" s="3" t="s">
        <v>1011</v>
      </c>
      <c r="D1267" s="3" t="s">
        <v>972</v>
      </c>
      <c r="E1267" s="3" t="s">
        <v>967</v>
      </c>
      <c r="F1267" s="1">
        <v>45912</v>
      </c>
      <c r="G1267" t="str">
        <f t="shared" si="20"/>
        <v>Sep -2025</v>
      </c>
      <c r="H1267" s="12"/>
    </row>
    <row r="1268" spans="1:8" x14ac:dyDescent="0.3">
      <c r="A1268" s="2">
        <v>966899</v>
      </c>
      <c r="B1268" s="3" t="s">
        <v>511</v>
      </c>
      <c r="C1268" s="3" t="s">
        <v>1010</v>
      </c>
      <c r="D1268" s="3" t="s">
        <v>1020</v>
      </c>
      <c r="E1268" s="3" t="s">
        <v>338</v>
      </c>
      <c r="F1268" s="1">
        <v>45915</v>
      </c>
      <c r="G1268" t="str">
        <f t="shared" si="20"/>
        <v>Sep -2025</v>
      </c>
      <c r="H1268" s="12"/>
    </row>
    <row r="1269" spans="1:8" x14ac:dyDescent="0.3">
      <c r="A1269" s="2">
        <v>987958</v>
      </c>
      <c r="B1269" s="3" t="s">
        <v>1104</v>
      </c>
      <c r="C1269" s="3" t="s">
        <v>1010</v>
      </c>
      <c r="D1269" s="3" t="s">
        <v>364</v>
      </c>
      <c r="E1269" s="3" t="s">
        <v>15</v>
      </c>
      <c r="F1269" s="1">
        <v>45915</v>
      </c>
      <c r="G1269" t="str">
        <f t="shared" si="20"/>
        <v>Sep -2025</v>
      </c>
      <c r="H1269" s="12"/>
    </row>
    <row r="1270" spans="1:8" x14ac:dyDescent="0.3">
      <c r="A1270" s="2">
        <v>990223</v>
      </c>
      <c r="B1270" s="3" t="s">
        <v>1105</v>
      </c>
      <c r="C1270" s="3" t="s">
        <v>1010</v>
      </c>
      <c r="D1270" s="3" t="s">
        <v>364</v>
      </c>
      <c r="E1270" s="3" t="s">
        <v>15</v>
      </c>
      <c r="F1270" s="1">
        <v>45915</v>
      </c>
      <c r="G1270" t="str">
        <f t="shared" si="20"/>
        <v>Sep -2025</v>
      </c>
      <c r="H1270" s="12"/>
    </row>
    <row r="1271" spans="1:8" x14ac:dyDescent="0.3">
      <c r="A1271" s="2">
        <v>987180</v>
      </c>
      <c r="B1271" s="3" t="s">
        <v>1106</v>
      </c>
      <c r="C1271" s="3" t="s">
        <v>1010</v>
      </c>
      <c r="D1271" s="3" t="s">
        <v>364</v>
      </c>
      <c r="E1271" s="3" t="s">
        <v>15</v>
      </c>
      <c r="F1271" s="1">
        <v>45915</v>
      </c>
      <c r="G1271" t="str">
        <f t="shared" si="20"/>
        <v>Sep -2025</v>
      </c>
      <c r="H1271" s="12"/>
    </row>
    <row r="1272" spans="1:8" x14ac:dyDescent="0.3">
      <c r="A1272" s="2">
        <v>990699</v>
      </c>
      <c r="B1272" s="3" t="s">
        <v>1107</v>
      </c>
      <c r="C1272" s="3" t="s">
        <v>1010</v>
      </c>
      <c r="D1272" s="3" t="s">
        <v>1259</v>
      </c>
      <c r="E1272" s="3" t="s">
        <v>228</v>
      </c>
      <c r="F1272" s="1">
        <v>45915</v>
      </c>
      <c r="G1272" t="str">
        <f t="shared" si="20"/>
        <v>Sep -2025</v>
      </c>
      <c r="H1272" s="12"/>
    </row>
    <row r="1273" spans="1:8" x14ac:dyDescent="0.3">
      <c r="A1273" s="2">
        <v>990073</v>
      </c>
      <c r="B1273" s="3" t="s">
        <v>1108</v>
      </c>
      <c r="C1273" s="3" t="s">
        <v>1010</v>
      </c>
      <c r="D1273" s="3" t="s">
        <v>227</v>
      </c>
      <c r="E1273" s="3" t="s">
        <v>228</v>
      </c>
      <c r="F1273" s="1">
        <v>45915</v>
      </c>
      <c r="G1273" t="str">
        <f t="shared" si="20"/>
        <v>Sep -2025</v>
      </c>
      <c r="H1273" s="12"/>
    </row>
    <row r="1274" spans="1:8" x14ac:dyDescent="0.3">
      <c r="A1274" s="2">
        <v>996210</v>
      </c>
      <c r="B1274" s="3" t="s">
        <v>1109</v>
      </c>
      <c r="C1274" s="3" t="s">
        <v>1010</v>
      </c>
      <c r="D1274" s="3" t="s">
        <v>364</v>
      </c>
      <c r="E1274" s="3" t="s">
        <v>15</v>
      </c>
      <c r="F1274" s="1">
        <v>45915</v>
      </c>
      <c r="G1274" t="str">
        <f t="shared" si="20"/>
        <v>Sep -2025</v>
      </c>
      <c r="H1274" s="12"/>
    </row>
    <row r="1275" spans="1:8" x14ac:dyDescent="0.3">
      <c r="A1275" s="2">
        <v>997134</v>
      </c>
      <c r="B1275" s="3" t="s">
        <v>1110</v>
      </c>
      <c r="C1275" s="3" t="s">
        <v>1010</v>
      </c>
      <c r="D1275" s="3" t="s">
        <v>1020</v>
      </c>
      <c r="E1275" s="3" t="s">
        <v>338</v>
      </c>
      <c r="F1275" s="1">
        <v>45915</v>
      </c>
      <c r="G1275" t="str">
        <f t="shared" si="20"/>
        <v>Sep -2025</v>
      </c>
      <c r="H1275" s="12"/>
    </row>
    <row r="1276" spans="1:8" x14ac:dyDescent="0.3">
      <c r="A1276" s="2">
        <v>996950</v>
      </c>
      <c r="B1276" s="3" t="s">
        <v>1110</v>
      </c>
      <c r="C1276" s="3" t="s">
        <v>1010</v>
      </c>
      <c r="D1276" s="3" t="s">
        <v>1020</v>
      </c>
      <c r="E1276" s="3" t="s">
        <v>338</v>
      </c>
      <c r="F1276" s="1">
        <v>45915</v>
      </c>
      <c r="G1276" t="str">
        <f t="shared" si="20"/>
        <v>Sep -2025</v>
      </c>
      <c r="H1276" s="12"/>
    </row>
    <row r="1277" spans="1:8" x14ac:dyDescent="0.3">
      <c r="A1277" s="2">
        <v>996292</v>
      </c>
      <c r="B1277" s="3" t="s">
        <v>1111</v>
      </c>
      <c r="C1277" s="3" t="s">
        <v>1010</v>
      </c>
      <c r="D1277" s="3" t="s">
        <v>364</v>
      </c>
      <c r="E1277" s="3" t="s">
        <v>15</v>
      </c>
      <c r="F1277" s="1">
        <v>45915</v>
      </c>
      <c r="G1277" t="str">
        <f t="shared" si="20"/>
        <v>Sep -2025</v>
      </c>
      <c r="H1277" s="12"/>
    </row>
    <row r="1278" spans="1:8" x14ac:dyDescent="0.3">
      <c r="A1278" s="2">
        <v>996296</v>
      </c>
      <c r="B1278" s="3" t="s">
        <v>1112</v>
      </c>
      <c r="C1278" s="3" t="s">
        <v>1010</v>
      </c>
      <c r="D1278" s="3" t="s">
        <v>364</v>
      </c>
      <c r="E1278" s="3" t="s">
        <v>15</v>
      </c>
      <c r="F1278" s="1">
        <v>45915</v>
      </c>
      <c r="G1278" t="str">
        <f t="shared" si="20"/>
        <v>Sep -2025</v>
      </c>
      <c r="H1278" s="12"/>
    </row>
    <row r="1279" spans="1:8" x14ac:dyDescent="0.3">
      <c r="A1279" s="2">
        <v>996492</v>
      </c>
      <c r="B1279" s="3" t="s">
        <v>1113</v>
      </c>
      <c r="C1279" s="3" t="s">
        <v>1011</v>
      </c>
      <c r="D1279" s="3" t="s">
        <v>972</v>
      </c>
      <c r="E1279" s="3" t="s">
        <v>965</v>
      </c>
      <c r="F1279" s="1">
        <v>45915</v>
      </c>
      <c r="G1279" t="str">
        <f t="shared" si="20"/>
        <v>Sep -2025</v>
      </c>
      <c r="H1279" s="12"/>
    </row>
    <row r="1280" spans="1:8" x14ac:dyDescent="0.3">
      <c r="A1280" s="2">
        <v>100003864</v>
      </c>
      <c r="B1280" s="3" t="s">
        <v>1114</v>
      </c>
      <c r="C1280" s="3" t="s">
        <v>1011</v>
      </c>
      <c r="D1280" s="3" t="s">
        <v>972</v>
      </c>
      <c r="E1280" s="3" t="s">
        <v>976</v>
      </c>
      <c r="F1280" s="1">
        <v>45915</v>
      </c>
      <c r="G1280" t="str">
        <f t="shared" si="20"/>
        <v>Sep -2025</v>
      </c>
      <c r="H1280" s="12"/>
    </row>
    <row r="1281" spans="1:8" x14ac:dyDescent="0.3">
      <c r="A1281" s="2">
        <v>100003867</v>
      </c>
      <c r="B1281" s="3" t="s">
        <v>1115</v>
      </c>
      <c r="C1281" s="3" t="s">
        <v>1011</v>
      </c>
      <c r="D1281" s="3" t="s">
        <v>972</v>
      </c>
      <c r="E1281" s="3" t="s">
        <v>976</v>
      </c>
      <c r="F1281" s="1">
        <v>45915</v>
      </c>
      <c r="G1281" t="str">
        <f t="shared" si="20"/>
        <v>Sep -2025</v>
      </c>
      <c r="H1281" s="12"/>
    </row>
    <row r="1282" spans="1:8" x14ac:dyDescent="0.3">
      <c r="A1282" s="2">
        <v>100003818</v>
      </c>
      <c r="B1282" s="3" t="s">
        <v>1116</v>
      </c>
      <c r="C1282" s="3" t="s">
        <v>1011</v>
      </c>
      <c r="D1282" s="3" t="s">
        <v>972</v>
      </c>
      <c r="E1282" s="3" t="s">
        <v>967</v>
      </c>
      <c r="F1282" s="1">
        <v>45916</v>
      </c>
      <c r="G1282" t="str">
        <f t="shared" ref="G1282:G1345" si="21">TEXT(F1282,"mmm -YYYY")</f>
        <v>Sep -2025</v>
      </c>
      <c r="H1282" s="12"/>
    </row>
    <row r="1283" spans="1:8" x14ac:dyDescent="0.3">
      <c r="A1283" s="2">
        <v>100003908</v>
      </c>
      <c r="B1283" s="3" t="s">
        <v>1117</v>
      </c>
      <c r="C1283" s="3" t="s">
        <v>1011</v>
      </c>
      <c r="D1283" s="3" t="s">
        <v>972</v>
      </c>
      <c r="E1283" s="3" t="s">
        <v>977</v>
      </c>
      <c r="F1283" s="1">
        <v>45916</v>
      </c>
      <c r="G1283" t="str">
        <f t="shared" si="21"/>
        <v>Sep -2025</v>
      </c>
      <c r="H1283" s="12"/>
    </row>
    <row r="1284" spans="1:8" x14ac:dyDescent="0.3">
      <c r="A1284" s="2">
        <v>997356</v>
      </c>
      <c r="B1284" s="3" t="s">
        <v>1118</v>
      </c>
      <c r="C1284" s="3" t="s">
        <v>1010</v>
      </c>
      <c r="D1284" s="3" t="s">
        <v>1259</v>
      </c>
      <c r="E1284" s="3" t="s">
        <v>228</v>
      </c>
      <c r="F1284" s="1">
        <v>45916</v>
      </c>
      <c r="G1284" t="str">
        <f t="shared" si="21"/>
        <v>Sep -2025</v>
      </c>
      <c r="H1284" s="12"/>
    </row>
    <row r="1285" spans="1:8" x14ac:dyDescent="0.3">
      <c r="A1285" s="2">
        <v>996904</v>
      </c>
      <c r="B1285" s="3" t="s">
        <v>1119</v>
      </c>
      <c r="C1285" s="3" t="s">
        <v>1010</v>
      </c>
      <c r="D1285" s="3" t="s">
        <v>364</v>
      </c>
      <c r="E1285" s="3" t="s">
        <v>15</v>
      </c>
      <c r="F1285" s="1">
        <v>45916</v>
      </c>
      <c r="G1285" t="str">
        <f t="shared" si="21"/>
        <v>Sep -2025</v>
      </c>
      <c r="H1285" s="12"/>
    </row>
    <row r="1286" spans="1:8" x14ac:dyDescent="0.3">
      <c r="A1286" s="2">
        <v>999416</v>
      </c>
      <c r="B1286" s="3" t="s">
        <v>41</v>
      </c>
      <c r="C1286" s="3" t="s">
        <v>1010</v>
      </c>
      <c r="D1286" s="3" t="s">
        <v>1020</v>
      </c>
      <c r="E1286" s="3" t="s">
        <v>211</v>
      </c>
      <c r="F1286" s="1">
        <v>45916</v>
      </c>
      <c r="G1286" t="str">
        <f t="shared" si="21"/>
        <v>Sep -2025</v>
      </c>
      <c r="H1286" s="12"/>
    </row>
    <row r="1287" spans="1:8" x14ac:dyDescent="0.3">
      <c r="A1287" s="2">
        <v>999417</v>
      </c>
      <c r="B1287" s="3" t="s">
        <v>41</v>
      </c>
      <c r="C1287" s="3" t="s">
        <v>1010</v>
      </c>
      <c r="D1287" s="3" t="s">
        <v>1020</v>
      </c>
      <c r="E1287" s="3" t="s">
        <v>211</v>
      </c>
      <c r="F1287" s="1">
        <v>45916</v>
      </c>
      <c r="G1287" t="str">
        <f t="shared" si="21"/>
        <v>Sep -2025</v>
      </c>
      <c r="H1287" s="12"/>
    </row>
    <row r="1288" spans="1:8" x14ac:dyDescent="0.3">
      <c r="A1288" s="2">
        <v>999427</v>
      </c>
      <c r="B1288" s="3" t="s">
        <v>41</v>
      </c>
      <c r="C1288" s="3" t="s">
        <v>1010</v>
      </c>
      <c r="D1288" s="3" t="s">
        <v>1020</v>
      </c>
      <c r="E1288" s="3" t="s">
        <v>211</v>
      </c>
      <c r="F1288" s="1">
        <v>45916</v>
      </c>
      <c r="G1288" t="str">
        <f t="shared" si="21"/>
        <v>Sep -2025</v>
      </c>
      <c r="H1288" s="12"/>
    </row>
    <row r="1289" spans="1:8" x14ac:dyDescent="0.3">
      <c r="A1289" s="2">
        <v>999396</v>
      </c>
      <c r="B1289" s="3" t="s">
        <v>41</v>
      </c>
      <c r="C1289" s="3" t="s">
        <v>1010</v>
      </c>
      <c r="D1289" s="3" t="s">
        <v>1020</v>
      </c>
      <c r="E1289" s="3" t="s">
        <v>211</v>
      </c>
      <c r="F1289" s="1">
        <v>45916</v>
      </c>
      <c r="G1289" t="str">
        <f t="shared" si="21"/>
        <v>Sep -2025</v>
      </c>
      <c r="H1289" s="12"/>
    </row>
    <row r="1290" spans="1:8" x14ac:dyDescent="0.3">
      <c r="A1290" s="2">
        <v>999527</v>
      </c>
      <c r="B1290" s="3" t="s">
        <v>653</v>
      </c>
      <c r="C1290" s="3" t="s">
        <v>1010</v>
      </c>
      <c r="D1290" s="3" t="s">
        <v>209</v>
      </c>
      <c r="E1290" s="3" t="s">
        <v>357</v>
      </c>
      <c r="F1290" s="1">
        <v>45916</v>
      </c>
      <c r="G1290" t="str">
        <f t="shared" si="21"/>
        <v>Sep -2025</v>
      </c>
      <c r="H1290" s="12"/>
    </row>
    <row r="1291" spans="1:8" x14ac:dyDescent="0.3">
      <c r="A1291" s="2">
        <v>997134</v>
      </c>
      <c r="B1291" s="3" t="s">
        <v>511</v>
      </c>
      <c r="C1291" s="3" t="s">
        <v>1010</v>
      </c>
      <c r="D1291" s="3" t="s">
        <v>1020</v>
      </c>
      <c r="E1291" s="3" t="s">
        <v>338</v>
      </c>
      <c r="F1291" s="1">
        <v>45916</v>
      </c>
      <c r="G1291" t="str">
        <f t="shared" si="21"/>
        <v>Sep -2025</v>
      </c>
      <c r="H1291" s="12"/>
    </row>
    <row r="1292" spans="1:8" x14ac:dyDescent="0.3">
      <c r="A1292" s="2">
        <v>999428</v>
      </c>
      <c r="B1292" s="3" t="s">
        <v>754</v>
      </c>
      <c r="C1292" s="3" t="s">
        <v>1010</v>
      </c>
      <c r="D1292" s="3" t="s">
        <v>1020</v>
      </c>
      <c r="E1292" s="3" t="s">
        <v>338</v>
      </c>
      <c r="F1292" s="1">
        <v>45916</v>
      </c>
      <c r="G1292" t="str">
        <f t="shared" si="21"/>
        <v>Sep -2025</v>
      </c>
      <c r="H1292" s="12"/>
    </row>
    <row r="1293" spans="1:8" x14ac:dyDescent="0.3">
      <c r="A1293" s="2">
        <v>900004490</v>
      </c>
      <c r="B1293" s="3" t="s">
        <v>1120</v>
      </c>
      <c r="C1293" s="3" t="s">
        <v>1010</v>
      </c>
      <c r="D1293" s="3" t="s">
        <v>143</v>
      </c>
      <c r="E1293" s="3" t="s">
        <v>322</v>
      </c>
      <c r="F1293" s="1">
        <v>45916</v>
      </c>
      <c r="G1293" t="str">
        <f t="shared" si="21"/>
        <v>Sep -2025</v>
      </c>
      <c r="H1293" s="12"/>
    </row>
    <row r="1294" spans="1:8" x14ac:dyDescent="0.3">
      <c r="A1294" s="2">
        <v>999396</v>
      </c>
      <c r="B1294" s="3" t="s">
        <v>41</v>
      </c>
      <c r="C1294" s="3" t="s">
        <v>1010</v>
      </c>
      <c r="D1294" s="3" t="s">
        <v>1020</v>
      </c>
      <c r="E1294" s="3" t="s">
        <v>211</v>
      </c>
      <c r="F1294" s="1">
        <v>45916</v>
      </c>
      <c r="G1294" t="str">
        <f t="shared" si="21"/>
        <v>Sep -2025</v>
      </c>
      <c r="H1294" s="12"/>
    </row>
    <row r="1295" spans="1:8" x14ac:dyDescent="0.3">
      <c r="A1295" s="2">
        <v>997097</v>
      </c>
      <c r="B1295" s="3" t="s">
        <v>301</v>
      </c>
      <c r="C1295" s="3" t="s">
        <v>1010</v>
      </c>
      <c r="D1295" s="3" t="s">
        <v>1020</v>
      </c>
      <c r="E1295" s="3" t="s">
        <v>268</v>
      </c>
      <c r="F1295" s="1">
        <v>45916</v>
      </c>
      <c r="G1295" t="str">
        <f t="shared" si="21"/>
        <v>Sep -2025</v>
      </c>
      <c r="H1295" s="12"/>
    </row>
    <row r="1296" spans="1:8" x14ac:dyDescent="0.3">
      <c r="A1296" s="2">
        <v>996542</v>
      </c>
      <c r="B1296" s="3" t="s">
        <v>1121</v>
      </c>
      <c r="C1296" s="3" t="s">
        <v>1010</v>
      </c>
      <c r="D1296" s="3" t="s">
        <v>1020</v>
      </c>
      <c r="E1296" s="3" t="s">
        <v>435</v>
      </c>
      <c r="F1296" s="1">
        <v>45916</v>
      </c>
      <c r="G1296" t="str">
        <f t="shared" si="21"/>
        <v>Sep -2025</v>
      </c>
      <c r="H1296" s="12"/>
    </row>
    <row r="1297" spans="1:8" x14ac:dyDescent="0.3">
      <c r="A1297" s="2">
        <v>999840</v>
      </c>
      <c r="B1297" s="3" t="s">
        <v>1122</v>
      </c>
      <c r="C1297" s="3" t="s">
        <v>1010</v>
      </c>
      <c r="D1297" s="3" t="s">
        <v>1259</v>
      </c>
      <c r="E1297" s="3" t="s">
        <v>228</v>
      </c>
      <c r="F1297" s="1">
        <v>45916</v>
      </c>
      <c r="G1297" t="str">
        <f t="shared" si="21"/>
        <v>Sep -2025</v>
      </c>
      <c r="H1297" s="12"/>
    </row>
    <row r="1298" spans="1:8" x14ac:dyDescent="0.3">
      <c r="A1298" s="2">
        <v>1000437</v>
      </c>
      <c r="B1298" s="3" t="s">
        <v>1130</v>
      </c>
      <c r="C1298" s="3" t="s">
        <v>1010</v>
      </c>
      <c r="D1298" s="3" t="s">
        <v>209</v>
      </c>
      <c r="E1298" s="3" t="s">
        <v>375</v>
      </c>
      <c r="F1298" s="1">
        <v>45917</v>
      </c>
      <c r="G1298" t="str">
        <f t="shared" si="21"/>
        <v>Sep -2025</v>
      </c>
      <c r="H1298" s="12"/>
    </row>
    <row r="1299" spans="1:8" x14ac:dyDescent="0.3">
      <c r="A1299" s="2">
        <v>1000673</v>
      </c>
      <c r="B1299" s="3" t="s">
        <v>1123</v>
      </c>
      <c r="C1299" s="3" t="s">
        <v>1010</v>
      </c>
      <c r="D1299" s="3" t="s">
        <v>209</v>
      </c>
      <c r="E1299" s="3" t="s">
        <v>375</v>
      </c>
      <c r="F1299" s="1">
        <v>45917</v>
      </c>
      <c r="G1299" t="str">
        <f t="shared" si="21"/>
        <v>Sep -2025</v>
      </c>
      <c r="H1299" s="12"/>
    </row>
    <row r="1300" spans="1:8" x14ac:dyDescent="0.3">
      <c r="A1300" s="2">
        <v>1002010</v>
      </c>
      <c r="B1300" s="3" t="s">
        <v>1124</v>
      </c>
      <c r="C1300" s="3" t="s">
        <v>1010</v>
      </c>
      <c r="D1300" s="3" t="s">
        <v>1020</v>
      </c>
      <c r="E1300" s="3" t="s">
        <v>435</v>
      </c>
      <c r="F1300" s="1">
        <v>45917</v>
      </c>
      <c r="G1300" t="str">
        <f t="shared" si="21"/>
        <v>Sep -2025</v>
      </c>
      <c r="H1300" s="12"/>
    </row>
    <row r="1301" spans="1:8" x14ac:dyDescent="0.3">
      <c r="A1301" s="2">
        <v>1002121</v>
      </c>
      <c r="B1301" s="3" t="s">
        <v>41</v>
      </c>
      <c r="C1301" s="3" t="s">
        <v>1010</v>
      </c>
      <c r="D1301" s="3" t="s">
        <v>1020</v>
      </c>
      <c r="E1301" s="3" t="s">
        <v>211</v>
      </c>
      <c r="F1301" s="1">
        <v>45917</v>
      </c>
      <c r="G1301" t="str">
        <f t="shared" si="21"/>
        <v>Sep -2025</v>
      </c>
      <c r="H1301" s="12"/>
    </row>
    <row r="1302" spans="1:8" x14ac:dyDescent="0.3">
      <c r="A1302" s="2">
        <v>1002177</v>
      </c>
      <c r="B1302" s="3" t="s">
        <v>1125</v>
      </c>
      <c r="C1302" s="3" t="s">
        <v>1010</v>
      </c>
      <c r="D1302" s="3" t="s">
        <v>364</v>
      </c>
      <c r="E1302" s="3" t="s">
        <v>15</v>
      </c>
      <c r="F1302" s="1">
        <v>45917</v>
      </c>
      <c r="G1302" t="str">
        <f t="shared" si="21"/>
        <v>Sep -2025</v>
      </c>
      <c r="H1302" s="12"/>
    </row>
    <row r="1303" spans="1:8" x14ac:dyDescent="0.3">
      <c r="A1303" s="2">
        <v>1002345</v>
      </c>
      <c r="B1303" s="3" t="s">
        <v>1126</v>
      </c>
      <c r="C1303" s="3" t="s">
        <v>1010</v>
      </c>
      <c r="D1303" s="3" t="s">
        <v>364</v>
      </c>
      <c r="E1303" s="3" t="s">
        <v>15</v>
      </c>
      <c r="F1303" s="1">
        <v>45917</v>
      </c>
      <c r="G1303" t="str">
        <f t="shared" si="21"/>
        <v>Sep -2025</v>
      </c>
      <c r="H1303" s="12"/>
    </row>
    <row r="1304" spans="1:8" x14ac:dyDescent="0.3">
      <c r="A1304" s="2">
        <v>999417</v>
      </c>
      <c r="B1304" s="3" t="s">
        <v>41</v>
      </c>
      <c r="C1304" s="3" t="s">
        <v>1010</v>
      </c>
      <c r="D1304" s="3" t="s">
        <v>1020</v>
      </c>
      <c r="E1304" s="3" t="s">
        <v>211</v>
      </c>
      <c r="F1304" s="1">
        <v>45917</v>
      </c>
      <c r="G1304" t="str">
        <f t="shared" si="21"/>
        <v>Sep -2025</v>
      </c>
      <c r="H1304" s="12"/>
    </row>
    <row r="1305" spans="1:8" x14ac:dyDescent="0.3">
      <c r="A1305" s="2">
        <v>999427</v>
      </c>
      <c r="B1305" s="3" t="s">
        <v>41</v>
      </c>
      <c r="C1305" s="3" t="s">
        <v>1010</v>
      </c>
      <c r="D1305" s="3" t="s">
        <v>1020</v>
      </c>
      <c r="E1305" s="3" t="s">
        <v>211</v>
      </c>
      <c r="F1305" s="1">
        <v>45917</v>
      </c>
      <c r="G1305" t="str">
        <f t="shared" si="21"/>
        <v>Sep -2025</v>
      </c>
      <c r="H1305" s="12"/>
    </row>
    <row r="1306" spans="1:8" x14ac:dyDescent="0.3">
      <c r="A1306" s="2">
        <v>1002121</v>
      </c>
      <c r="B1306" s="3" t="s">
        <v>41</v>
      </c>
      <c r="C1306" s="3" t="s">
        <v>1010</v>
      </c>
      <c r="D1306" s="3" t="s">
        <v>1020</v>
      </c>
      <c r="E1306" s="3" t="s">
        <v>211</v>
      </c>
      <c r="F1306" s="1">
        <v>45917</v>
      </c>
      <c r="G1306" t="str">
        <f t="shared" si="21"/>
        <v>Sep -2025</v>
      </c>
      <c r="H1306" s="12"/>
    </row>
    <row r="1307" spans="1:8" x14ac:dyDescent="0.3">
      <c r="A1307" s="2">
        <v>1002509</v>
      </c>
      <c r="B1307" s="3" t="s">
        <v>1127</v>
      </c>
      <c r="C1307" s="3" t="s">
        <v>1010</v>
      </c>
      <c r="D1307" s="3" t="s">
        <v>209</v>
      </c>
      <c r="E1307" s="3" t="s">
        <v>375</v>
      </c>
      <c r="F1307" s="1">
        <v>45917</v>
      </c>
      <c r="G1307" t="str">
        <f t="shared" si="21"/>
        <v>Sep -2025</v>
      </c>
      <c r="H1307" s="12"/>
    </row>
    <row r="1308" spans="1:8" x14ac:dyDescent="0.3">
      <c r="A1308" s="2">
        <v>1000199</v>
      </c>
      <c r="B1308" s="3" t="s">
        <v>1014</v>
      </c>
      <c r="C1308" s="3" t="s">
        <v>1010</v>
      </c>
      <c r="D1308" s="3" t="s">
        <v>1020</v>
      </c>
      <c r="E1308" s="3" t="s">
        <v>466</v>
      </c>
      <c r="F1308" s="1">
        <v>45917</v>
      </c>
      <c r="G1308" t="str">
        <f t="shared" si="21"/>
        <v>Sep -2025</v>
      </c>
      <c r="H1308" s="12"/>
    </row>
    <row r="1309" spans="1:8" x14ac:dyDescent="0.3">
      <c r="A1309" s="2">
        <v>1002618</v>
      </c>
      <c r="B1309" s="3" t="s">
        <v>1128</v>
      </c>
      <c r="C1309" s="3" t="s">
        <v>1010</v>
      </c>
      <c r="D1309" s="3" t="s">
        <v>1259</v>
      </c>
      <c r="E1309" s="3" t="s">
        <v>228</v>
      </c>
      <c r="F1309" s="1">
        <v>45917</v>
      </c>
      <c r="G1309" t="str">
        <f t="shared" si="21"/>
        <v>Sep -2025</v>
      </c>
      <c r="H1309" s="12"/>
    </row>
    <row r="1310" spans="1:8" x14ac:dyDescent="0.3">
      <c r="A1310" s="2">
        <v>1002645</v>
      </c>
      <c r="B1310" s="3" t="s">
        <v>1129</v>
      </c>
      <c r="C1310" s="3" t="s">
        <v>1010</v>
      </c>
      <c r="D1310" s="3" t="s">
        <v>1259</v>
      </c>
      <c r="E1310" s="3" t="s">
        <v>228</v>
      </c>
      <c r="F1310" s="1">
        <v>45917</v>
      </c>
      <c r="G1310" t="str">
        <f t="shared" si="21"/>
        <v>Sep -2025</v>
      </c>
      <c r="H1310" s="12"/>
    </row>
    <row r="1311" spans="1:8" x14ac:dyDescent="0.3">
      <c r="A1311" s="2">
        <v>100003877</v>
      </c>
      <c r="B1311" s="3" t="s">
        <v>1131</v>
      </c>
      <c r="C1311" s="3" t="s">
        <v>1011</v>
      </c>
      <c r="D1311" s="3" t="s">
        <v>972</v>
      </c>
      <c r="E1311" s="3" t="s">
        <v>983</v>
      </c>
      <c r="F1311" s="1">
        <v>45917</v>
      </c>
      <c r="G1311" t="str">
        <f t="shared" si="21"/>
        <v>Sep -2025</v>
      </c>
      <c r="H1311" s="12"/>
    </row>
    <row r="1312" spans="1:8" x14ac:dyDescent="0.3">
      <c r="A1312" s="2">
        <v>100003830</v>
      </c>
      <c r="B1312" s="3" t="s">
        <v>1132</v>
      </c>
      <c r="C1312" s="3" t="s">
        <v>1011</v>
      </c>
      <c r="D1312" s="3" t="s">
        <v>972</v>
      </c>
      <c r="E1312" s="3" t="s">
        <v>979</v>
      </c>
      <c r="F1312" s="1">
        <v>45917</v>
      </c>
      <c r="G1312" t="str">
        <f t="shared" si="21"/>
        <v>Sep -2025</v>
      </c>
      <c r="H1312" s="12"/>
    </row>
    <row r="1313" spans="1:8" x14ac:dyDescent="0.3">
      <c r="A1313" s="2">
        <v>100003903</v>
      </c>
      <c r="B1313" s="3" t="s">
        <v>1133</v>
      </c>
      <c r="C1313" s="3" t="s">
        <v>1011</v>
      </c>
      <c r="D1313" s="3" t="s">
        <v>972</v>
      </c>
      <c r="E1313" s="3" t="s">
        <v>979</v>
      </c>
      <c r="F1313" s="1">
        <v>45917</v>
      </c>
      <c r="G1313" t="str">
        <f t="shared" si="21"/>
        <v>Sep -2025</v>
      </c>
      <c r="H1313" s="12"/>
    </row>
    <row r="1314" spans="1:8" x14ac:dyDescent="0.3">
      <c r="A1314" s="2">
        <v>100003838</v>
      </c>
      <c r="B1314" s="3" t="s">
        <v>1134</v>
      </c>
      <c r="C1314" s="3" t="s">
        <v>1011</v>
      </c>
      <c r="D1314" s="3" t="s">
        <v>972</v>
      </c>
      <c r="E1314" s="3" t="s">
        <v>979</v>
      </c>
      <c r="F1314" s="1">
        <v>45917</v>
      </c>
      <c r="G1314" t="str">
        <f t="shared" si="21"/>
        <v>Sep -2025</v>
      </c>
      <c r="H1314" s="12"/>
    </row>
    <row r="1315" spans="1:8" x14ac:dyDescent="0.3">
      <c r="A1315" s="2">
        <v>100003912</v>
      </c>
      <c r="B1315" s="3" t="s">
        <v>1135</v>
      </c>
      <c r="C1315" s="3" t="s">
        <v>1011</v>
      </c>
      <c r="D1315" s="3" t="s">
        <v>972</v>
      </c>
      <c r="E1315" s="3" t="s">
        <v>976</v>
      </c>
      <c r="F1315" s="1">
        <v>45917</v>
      </c>
      <c r="G1315" t="str">
        <f t="shared" si="21"/>
        <v>Sep -2025</v>
      </c>
      <c r="H1315" s="12"/>
    </row>
    <row r="1316" spans="1:8" x14ac:dyDescent="0.3">
      <c r="A1316" s="2">
        <v>100003940</v>
      </c>
      <c r="B1316" s="3" t="s">
        <v>1136</v>
      </c>
      <c r="C1316" s="3" t="s">
        <v>1011</v>
      </c>
      <c r="D1316" s="3" t="s">
        <v>972</v>
      </c>
      <c r="E1316" s="3" t="s">
        <v>979</v>
      </c>
      <c r="F1316" s="1">
        <v>45917</v>
      </c>
      <c r="G1316" t="str">
        <f t="shared" si="21"/>
        <v>Sep -2025</v>
      </c>
      <c r="H1316" s="12"/>
    </row>
    <row r="1317" spans="1:8" x14ac:dyDescent="0.3">
      <c r="A1317" s="2">
        <v>100003835</v>
      </c>
      <c r="B1317" s="3" t="s">
        <v>1137</v>
      </c>
      <c r="C1317" s="3" t="s">
        <v>1011</v>
      </c>
      <c r="D1317" s="3" t="s">
        <v>972</v>
      </c>
      <c r="E1317" s="3" t="s">
        <v>979</v>
      </c>
      <c r="F1317" s="1">
        <v>45917</v>
      </c>
      <c r="G1317" t="str">
        <f t="shared" si="21"/>
        <v>Sep -2025</v>
      </c>
      <c r="H1317" s="12"/>
    </row>
    <row r="1318" spans="1:8" x14ac:dyDescent="0.3">
      <c r="A1318" s="2">
        <v>100003933</v>
      </c>
      <c r="B1318" s="3" t="s">
        <v>1138</v>
      </c>
      <c r="C1318" s="3" t="s">
        <v>1011</v>
      </c>
      <c r="D1318" s="3" t="s">
        <v>972</v>
      </c>
      <c r="E1318" s="3" t="s">
        <v>984</v>
      </c>
      <c r="F1318" s="1">
        <v>45918</v>
      </c>
      <c r="G1318" t="str">
        <f t="shared" si="21"/>
        <v>Sep -2025</v>
      </c>
      <c r="H1318" s="12"/>
    </row>
    <row r="1319" spans="1:8" x14ac:dyDescent="0.3">
      <c r="A1319" s="2">
        <v>100003923</v>
      </c>
      <c r="B1319" s="3" t="s">
        <v>1139</v>
      </c>
      <c r="C1319" s="3" t="s">
        <v>1011</v>
      </c>
      <c r="D1319" s="3" t="s">
        <v>972</v>
      </c>
      <c r="E1319" s="3" t="s">
        <v>978</v>
      </c>
      <c r="F1319" s="1">
        <v>45918</v>
      </c>
      <c r="G1319" t="str">
        <f t="shared" si="21"/>
        <v>Sep -2025</v>
      </c>
      <c r="H1319" s="12"/>
    </row>
    <row r="1320" spans="1:8" x14ac:dyDescent="0.3">
      <c r="A1320" s="2">
        <v>100003941</v>
      </c>
      <c r="B1320" s="3" t="s">
        <v>1140</v>
      </c>
      <c r="C1320" s="3" t="s">
        <v>1011</v>
      </c>
      <c r="D1320" s="3" t="s">
        <v>972</v>
      </c>
      <c r="E1320" s="3" t="s">
        <v>979</v>
      </c>
      <c r="F1320" s="1">
        <v>45918</v>
      </c>
      <c r="G1320" t="str">
        <f t="shared" si="21"/>
        <v>Sep -2025</v>
      </c>
      <c r="H1320" s="12"/>
    </row>
    <row r="1321" spans="1:8" x14ac:dyDescent="0.3">
      <c r="A1321" s="2">
        <v>1002753</v>
      </c>
      <c r="B1321" s="3" t="s">
        <v>1141</v>
      </c>
      <c r="C1321" s="3" t="s">
        <v>1010</v>
      </c>
      <c r="D1321" s="3" t="s">
        <v>1020</v>
      </c>
      <c r="E1321" s="3" t="s">
        <v>435</v>
      </c>
      <c r="F1321" s="1">
        <v>45918</v>
      </c>
      <c r="G1321" t="str">
        <f t="shared" si="21"/>
        <v>Sep -2025</v>
      </c>
      <c r="H1321" s="12"/>
    </row>
    <row r="1322" spans="1:8" x14ac:dyDescent="0.3">
      <c r="A1322" s="2">
        <v>1002757</v>
      </c>
      <c r="B1322" s="3" t="s">
        <v>1142</v>
      </c>
      <c r="C1322" s="3" t="s">
        <v>1010</v>
      </c>
      <c r="D1322" s="3" t="s">
        <v>1020</v>
      </c>
      <c r="E1322" s="3" t="s">
        <v>435</v>
      </c>
      <c r="F1322" s="1">
        <v>45918</v>
      </c>
      <c r="G1322" t="str">
        <f t="shared" si="21"/>
        <v>Sep -2025</v>
      </c>
      <c r="H1322" s="12"/>
    </row>
    <row r="1323" spans="1:8" x14ac:dyDescent="0.3">
      <c r="A1323" s="2">
        <v>1003209</v>
      </c>
      <c r="B1323" s="3" t="s">
        <v>1143</v>
      </c>
      <c r="C1323" s="3" t="s">
        <v>1010</v>
      </c>
      <c r="D1323" s="3" t="s">
        <v>209</v>
      </c>
      <c r="E1323" s="3" t="s">
        <v>375</v>
      </c>
      <c r="F1323" s="1">
        <v>45918</v>
      </c>
      <c r="G1323" t="str">
        <f t="shared" si="21"/>
        <v>Sep -2025</v>
      </c>
      <c r="H1323" s="12"/>
    </row>
    <row r="1324" spans="1:8" x14ac:dyDescent="0.3">
      <c r="A1324" s="2">
        <v>1002767</v>
      </c>
      <c r="B1324" s="3" t="s">
        <v>1144</v>
      </c>
      <c r="C1324" s="3" t="s">
        <v>1010</v>
      </c>
      <c r="D1324" s="3" t="s">
        <v>364</v>
      </c>
      <c r="E1324" s="3" t="s">
        <v>15</v>
      </c>
      <c r="F1324" s="1">
        <v>45918</v>
      </c>
      <c r="G1324" t="str">
        <f t="shared" si="21"/>
        <v>Sep -2025</v>
      </c>
      <c r="H1324" s="12"/>
    </row>
    <row r="1325" spans="1:8" x14ac:dyDescent="0.3">
      <c r="A1325" s="2">
        <v>1003102</v>
      </c>
      <c r="B1325" s="3" t="s">
        <v>1145</v>
      </c>
      <c r="C1325" s="3" t="s">
        <v>1010</v>
      </c>
      <c r="D1325" s="3" t="s">
        <v>1259</v>
      </c>
      <c r="E1325" s="3" t="s">
        <v>228</v>
      </c>
      <c r="F1325" s="1">
        <v>45918</v>
      </c>
      <c r="G1325" t="str">
        <f t="shared" si="21"/>
        <v>Sep -2025</v>
      </c>
      <c r="H1325" s="12"/>
    </row>
    <row r="1326" spans="1:8" x14ac:dyDescent="0.3">
      <c r="A1326" s="2">
        <v>1003132</v>
      </c>
      <c r="B1326" s="3" t="s">
        <v>1146</v>
      </c>
      <c r="C1326" s="3" t="s">
        <v>1010</v>
      </c>
      <c r="D1326" s="3" t="s">
        <v>1259</v>
      </c>
      <c r="E1326" s="3" t="s">
        <v>228</v>
      </c>
      <c r="F1326" s="1">
        <v>45918</v>
      </c>
      <c r="G1326" t="str">
        <f t="shared" si="21"/>
        <v>Sep -2025</v>
      </c>
      <c r="H1326" s="12"/>
    </row>
    <row r="1327" spans="1:8" x14ac:dyDescent="0.3">
      <c r="A1327" s="2">
        <v>1003240</v>
      </c>
      <c r="B1327" s="3" t="s">
        <v>1147</v>
      </c>
      <c r="C1327" s="3" t="s">
        <v>1010</v>
      </c>
      <c r="D1327" s="3" t="s">
        <v>1259</v>
      </c>
      <c r="E1327" s="3" t="s">
        <v>228</v>
      </c>
      <c r="F1327" s="1">
        <v>45918</v>
      </c>
      <c r="G1327" t="str">
        <f t="shared" si="21"/>
        <v>Sep -2025</v>
      </c>
      <c r="H1327" s="12"/>
    </row>
    <row r="1328" spans="1:8" x14ac:dyDescent="0.3">
      <c r="A1328" s="2">
        <v>1003300</v>
      </c>
      <c r="B1328" s="3" t="s">
        <v>1148</v>
      </c>
      <c r="C1328" s="3" t="s">
        <v>1010</v>
      </c>
      <c r="D1328" s="3" t="s">
        <v>1259</v>
      </c>
      <c r="E1328" s="3" t="s">
        <v>228</v>
      </c>
      <c r="F1328" s="1">
        <v>45918</v>
      </c>
      <c r="G1328" t="str">
        <f t="shared" si="21"/>
        <v>Sep -2025</v>
      </c>
      <c r="H1328" s="12"/>
    </row>
    <row r="1329" spans="1:8" x14ac:dyDescent="0.3">
      <c r="A1329" s="2">
        <v>900004496</v>
      </c>
      <c r="B1329" s="3" t="s">
        <v>1149</v>
      </c>
      <c r="C1329" s="3" t="s">
        <v>1010</v>
      </c>
      <c r="D1329" s="3" t="s">
        <v>143</v>
      </c>
      <c r="E1329" s="3" t="s">
        <v>322</v>
      </c>
      <c r="F1329" s="1">
        <v>45918</v>
      </c>
      <c r="G1329" t="str">
        <f t="shared" si="21"/>
        <v>Sep -2025</v>
      </c>
      <c r="H1329" s="12"/>
    </row>
    <row r="1330" spans="1:8" x14ac:dyDescent="0.3">
      <c r="A1330" s="2">
        <v>1004824</v>
      </c>
      <c r="B1330" s="3" t="s">
        <v>1150</v>
      </c>
      <c r="C1330" s="3" t="s">
        <v>1010</v>
      </c>
      <c r="D1330" s="3" t="s">
        <v>364</v>
      </c>
      <c r="E1330" s="3" t="s">
        <v>15</v>
      </c>
      <c r="F1330" s="1">
        <v>45918</v>
      </c>
      <c r="G1330" t="str">
        <f t="shared" si="21"/>
        <v>Sep -2025</v>
      </c>
      <c r="H1330" s="12"/>
    </row>
    <row r="1331" spans="1:8" x14ac:dyDescent="0.3">
      <c r="A1331" s="2">
        <v>1004979</v>
      </c>
      <c r="B1331" s="3" t="s">
        <v>1151</v>
      </c>
      <c r="C1331" s="3" t="s">
        <v>1010</v>
      </c>
      <c r="D1331" s="3" t="s">
        <v>1020</v>
      </c>
      <c r="E1331" s="3" t="s">
        <v>210</v>
      </c>
      <c r="F1331" s="1">
        <v>45918</v>
      </c>
      <c r="G1331" t="str">
        <f t="shared" si="21"/>
        <v>Sep -2025</v>
      </c>
      <c r="H1331" s="12"/>
    </row>
    <row r="1332" spans="1:8" x14ac:dyDescent="0.3">
      <c r="A1332" s="2">
        <v>1004877</v>
      </c>
      <c r="B1332" s="3" t="s">
        <v>1152</v>
      </c>
      <c r="C1332" s="3" t="s">
        <v>1010</v>
      </c>
      <c r="D1332" s="3" t="s">
        <v>364</v>
      </c>
      <c r="E1332" s="3" t="s">
        <v>15</v>
      </c>
      <c r="F1332" s="1">
        <v>45919</v>
      </c>
      <c r="G1332" t="str">
        <f t="shared" si="21"/>
        <v>Sep -2025</v>
      </c>
      <c r="H1332" s="12"/>
    </row>
    <row r="1333" spans="1:8" x14ac:dyDescent="0.3">
      <c r="A1333" s="2">
        <v>1003209</v>
      </c>
      <c r="B1333" s="3" t="s">
        <v>1143</v>
      </c>
      <c r="C1333" s="3" t="s">
        <v>1010</v>
      </c>
      <c r="D1333" s="3" t="s">
        <v>209</v>
      </c>
      <c r="E1333" s="3" t="s">
        <v>375</v>
      </c>
      <c r="F1333" s="1">
        <v>45919</v>
      </c>
      <c r="G1333" t="str">
        <f t="shared" si="21"/>
        <v>Sep -2025</v>
      </c>
      <c r="H1333" s="12"/>
    </row>
    <row r="1334" spans="1:8" x14ac:dyDescent="0.3">
      <c r="A1334" s="2">
        <v>1008107</v>
      </c>
      <c r="B1334" s="3" t="s">
        <v>1153</v>
      </c>
      <c r="C1334" s="3" t="s">
        <v>1010</v>
      </c>
      <c r="D1334" s="3" t="s">
        <v>364</v>
      </c>
      <c r="E1334" s="3" t="s">
        <v>15</v>
      </c>
      <c r="F1334" s="1">
        <v>45919</v>
      </c>
      <c r="G1334" t="str">
        <f t="shared" si="21"/>
        <v>Sep -2025</v>
      </c>
      <c r="H1334" s="12"/>
    </row>
    <row r="1335" spans="1:8" x14ac:dyDescent="0.3">
      <c r="A1335" s="2">
        <v>1008132</v>
      </c>
      <c r="B1335" s="3" t="s">
        <v>1154</v>
      </c>
      <c r="C1335" s="3" t="s">
        <v>1010</v>
      </c>
      <c r="D1335" s="3" t="s">
        <v>364</v>
      </c>
      <c r="E1335" s="3" t="s">
        <v>15</v>
      </c>
      <c r="F1335" s="1">
        <v>45919</v>
      </c>
      <c r="G1335" t="str">
        <f t="shared" si="21"/>
        <v>Sep -2025</v>
      </c>
      <c r="H1335" s="12"/>
    </row>
    <row r="1336" spans="1:8" x14ac:dyDescent="0.3">
      <c r="A1336" s="2">
        <v>1008138</v>
      </c>
      <c r="B1336" s="3" t="s">
        <v>1155</v>
      </c>
      <c r="C1336" s="3" t="s">
        <v>1010</v>
      </c>
      <c r="D1336" s="3" t="s">
        <v>364</v>
      </c>
      <c r="E1336" s="3" t="s">
        <v>15</v>
      </c>
      <c r="F1336" s="1">
        <v>45919</v>
      </c>
      <c r="G1336" t="str">
        <f t="shared" si="21"/>
        <v>Sep -2025</v>
      </c>
      <c r="H1336" s="12"/>
    </row>
    <row r="1337" spans="1:8" x14ac:dyDescent="0.3">
      <c r="A1337" s="2">
        <v>1008152</v>
      </c>
      <c r="B1337" s="3" t="s">
        <v>1156</v>
      </c>
      <c r="C1337" s="3" t="s">
        <v>1010</v>
      </c>
      <c r="D1337" s="3" t="s">
        <v>364</v>
      </c>
      <c r="E1337" s="3" t="s">
        <v>15</v>
      </c>
      <c r="F1337" s="1">
        <v>45919</v>
      </c>
      <c r="G1337" t="str">
        <f t="shared" si="21"/>
        <v>Sep -2025</v>
      </c>
      <c r="H1337" s="12"/>
    </row>
    <row r="1338" spans="1:8" x14ac:dyDescent="0.3">
      <c r="A1338" s="2">
        <v>1008253</v>
      </c>
      <c r="B1338" s="3" t="s">
        <v>1157</v>
      </c>
      <c r="C1338" s="3" t="s">
        <v>1010</v>
      </c>
      <c r="D1338" s="3" t="s">
        <v>227</v>
      </c>
      <c r="E1338" s="3" t="s">
        <v>228</v>
      </c>
      <c r="F1338" s="1">
        <v>45919</v>
      </c>
      <c r="G1338" t="str">
        <f t="shared" si="21"/>
        <v>Sep -2025</v>
      </c>
      <c r="H1338" s="12"/>
    </row>
    <row r="1339" spans="1:8" x14ac:dyDescent="0.3">
      <c r="A1339" s="2">
        <v>1008249</v>
      </c>
      <c r="B1339" s="3" t="s">
        <v>1158</v>
      </c>
      <c r="C1339" s="3" t="s">
        <v>1010</v>
      </c>
      <c r="D1339" s="3" t="s">
        <v>227</v>
      </c>
      <c r="E1339" s="3" t="s">
        <v>228</v>
      </c>
      <c r="F1339" s="1">
        <v>45919</v>
      </c>
      <c r="G1339" t="str">
        <f t="shared" si="21"/>
        <v>Sep -2025</v>
      </c>
      <c r="H1339" s="12"/>
    </row>
    <row r="1340" spans="1:8" x14ac:dyDescent="0.3">
      <c r="A1340" s="2">
        <v>1008318</v>
      </c>
      <c r="B1340" s="3" t="s">
        <v>1158</v>
      </c>
      <c r="C1340" s="3" t="s">
        <v>1010</v>
      </c>
      <c r="D1340" s="3" t="s">
        <v>227</v>
      </c>
      <c r="E1340" s="3" t="s">
        <v>228</v>
      </c>
      <c r="F1340" s="1">
        <v>45919</v>
      </c>
      <c r="G1340" t="str">
        <f t="shared" si="21"/>
        <v>Sep -2025</v>
      </c>
      <c r="H1340" s="12"/>
    </row>
    <row r="1341" spans="1:8" x14ac:dyDescent="0.3">
      <c r="A1341" s="2">
        <v>1008357</v>
      </c>
      <c r="B1341" s="3" t="s">
        <v>1159</v>
      </c>
      <c r="C1341" s="3" t="s">
        <v>1010</v>
      </c>
      <c r="D1341" s="3" t="s">
        <v>1259</v>
      </c>
      <c r="E1341" s="3" t="s">
        <v>228</v>
      </c>
      <c r="F1341" s="1">
        <v>45919</v>
      </c>
      <c r="G1341" t="str">
        <f t="shared" si="21"/>
        <v>Sep -2025</v>
      </c>
      <c r="H1341" s="12"/>
    </row>
    <row r="1342" spans="1:8" x14ac:dyDescent="0.3">
      <c r="A1342" s="2">
        <v>1008374</v>
      </c>
      <c r="B1342" s="3" t="s">
        <v>1158</v>
      </c>
      <c r="C1342" s="3" t="s">
        <v>1010</v>
      </c>
      <c r="D1342" s="3" t="s">
        <v>227</v>
      </c>
      <c r="E1342" s="3" t="s">
        <v>228</v>
      </c>
      <c r="F1342" s="1">
        <v>45919</v>
      </c>
      <c r="G1342" t="str">
        <f t="shared" si="21"/>
        <v>Sep -2025</v>
      </c>
      <c r="H1342" s="12"/>
    </row>
    <row r="1343" spans="1:8" x14ac:dyDescent="0.3">
      <c r="A1343" s="2">
        <v>1008361</v>
      </c>
      <c r="B1343" s="3" t="s">
        <v>1158</v>
      </c>
      <c r="C1343" s="3" t="s">
        <v>1010</v>
      </c>
      <c r="D1343" s="3" t="s">
        <v>227</v>
      </c>
      <c r="E1343" s="3" t="s">
        <v>228</v>
      </c>
      <c r="F1343" s="1">
        <v>45919</v>
      </c>
      <c r="G1343" t="str">
        <f t="shared" si="21"/>
        <v>Sep -2025</v>
      </c>
      <c r="H1343" s="12"/>
    </row>
    <row r="1344" spans="1:8" x14ac:dyDescent="0.3">
      <c r="A1344" s="2">
        <v>100003923</v>
      </c>
      <c r="B1344" s="3" t="s">
        <v>1139</v>
      </c>
      <c r="C1344" s="3" t="s">
        <v>1011</v>
      </c>
      <c r="D1344" s="3" t="s">
        <v>972</v>
      </c>
      <c r="E1344" s="3" t="s">
        <v>978</v>
      </c>
      <c r="F1344" s="1">
        <v>45919</v>
      </c>
      <c r="G1344" t="str">
        <f t="shared" si="21"/>
        <v>Sep -2025</v>
      </c>
      <c r="H1344" s="12"/>
    </row>
    <row r="1345" spans="1:8" x14ac:dyDescent="0.3">
      <c r="A1345" s="2">
        <v>100003915</v>
      </c>
      <c r="B1345" s="3" t="s">
        <v>1160</v>
      </c>
      <c r="C1345" s="3" t="s">
        <v>1011</v>
      </c>
      <c r="D1345" s="3" t="s">
        <v>972</v>
      </c>
      <c r="E1345" s="3" t="s">
        <v>970</v>
      </c>
      <c r="F1345" s="1">
        <v>45919</v>
      </c>
      <c r="G1345" t="str">
        <f t="shared" si="21"/>
        <v>Sep -2025</v>
      </c>
      <c r="H1345" s="12"/>
    </row>
    <row r="1346" spans="1:8" x14ac:dyDescent="0.3">
      <c r="A1346" s="2">
        <v>100003947</v>
      </c>
      <c r="B1346" s="3" t="s">
        <v>1161</v>
      </c>
      <c r="C1346" s="3" t="s">
        <v>1011</v>
      </c>
      <c r="D1346" s="3" t="s">
        <v>972</v>
      </c>
      <c r="E1346" s="3" t="s">
        <v>979</v>
      </c>
      <c r="F1346" s="1">
        <v>45919</v>
      </c>
      <c r="G1346" t="str">
        <f t="shared" ref="G1346:G1409" si="22">TEXT(F1346,"mmm -YYYY")</f>
        <v>Sep -2025</v>
      </c>
      <c r="H1346" s="12"/>
    </row>
    <row r="1347" spans="1:8" x14ac:dyDescent="0.3">
      <c r="A1347" s="2">
        <v>1008357</v>
      </c>
      <c r="B1347" s="3" t="s">
        <v>1159</v>
      </c>
      <c r="C1347" s="3" t="s">
        <v>1010</v>
      </c>
      <c r="D1347" s="3" t="s">
        <v>1259</v>
      </c>
      <c r="E1347" s="3" t="s">
        <v>228</v>
      </c>
      <c r="F1347" s="1">
        <v>45922</v>
      </c>
      <c r="G1347" t="str">
        <f t="shared" si="22"/>
        <v>Sep -2025</v>
      </c>
      <c r="H1347" s="12"/>
    </row>
    <row r="1348" spans="1:8" x14ac:dyDescent="0.3">
      <c r="A1348" s="2">
        <v>1008376</v>
      </c>
      <c r="B1348" s="3" t="s">
        <v>1158</v>
      </c>
      <c r="C1348" s="3" t="s">
        <v>1010</v>
      </c>
      <c r="D1348" s="3" t="s">
        <v>227</v>
      </c>
      <c r="E1348" s="3" t="s">
        <v>228</v>
      </c>
      <c r="F1348" s="1">
        <v>45922</v>
      </c>
      <c r="G1348" t="str">
        <f t="shared" si="22"/>
        <v>Sep -2025</v>
      </c>
      <c r="H1348" s="12"/>
    </row>
    <row r="1349" spans="1:8" x14ac:dyDescent="0.3">
      <c r="A1349" s="2">
        <v>1008393</v>
      </c>
      <c r="B1349" s="3" t="s">
        <v>1158</v>
      </c>
      <c r="C1349" s="3" t="s">
        <v>1010</v>
      </c>
      <c r="D1349" s="3" t="s">
        <v>227</v>
      </c>
      <c r="E1349" s="3" t="s">
        <v>228</v>
      </c>
      <c r="F1349" s="1">
        <v>45922</v>
      </c>
      <c r="G1349" t="str">
        <f t="shared" si="22"/>
        <v>Sep -2025</v>
      </c>
      <c r="H1349" s="12"/>
    </row>
    <row r="1350" spans="1:8" x14ac:dyDescent="0.3">
      <c r="A1350" s="2">
        <v>1008403</v>
      </c>
      <c r="B1350" s="3" t="s">
        <v>1158</v>
      </c>
      <c r="C1350" s="3" t="s">
        <v>1010</v>
      </c>
      <c r="D1350" s="3" t="s">
        <v>227</v>
      </c>
      <c r="E1350" s="3" t="s">
        <v>228</v>
      </c>
      <c r="F1350" s="1">
        <v>45922</v>
      </c>
      <c r="G1350" t="str">
        <f t="shared" si="22"/>
        <v>Sep -2025</v>
      </c>
      <c r="H1350" s="12"/>
    </row>
    <row r="1351" spans="1:8" x14ac:dyDescent="0.3">
      <c r="A1351" s="2">
        <v>1012200</v>
      </c>
      <c r="B1351" s="3" t="s">
        <v>1162</v>
      </c>
      <c r="C1351" s="3" t="s">
        <v>1010</v>
      </c>
      <c r="D1351" s="3" t="s">
        <v>1259</v>
      </c>
      <c r="E1351" s="3" t="s">
        <v>228</v>
      </c>
      <c r="F1351" s="1">
        <v>45922</v>
      </c>
      <c r="G1351" t="str">
        <f t="shared" si="22"/>
        <v>Sep -2025</v>
      </c>
      <c r="H1351" s="12"/>
    </row>
    <row r="1352" spans="1:8" x14ac:dyDescent="0.3">
      <c r="A1352" s="2">
        <v>1012242</v>
      </c>
      <c r="B1352" s="3" t="s">
        <v>1163</v>
      </c>
      <c r="C1352" s="3" t="s">
        <v>1010</v>
      </c>
      <c r="D1352" s="3" t="s">
        <v>1259</v>
      </c>
      <c r="E1352" s="3" t="s">
        <v>228</v>
      </c>
      <c r="F1352" s="1">
        <v>45922</v>
      </c>
      <c r="G1352" t="str">
        <f t="shared" si="22"/>
        <v>Sep -2025</v>
      </c>
      <c r="H1352" s="12"/>
    </row>
    <row r="1353" spans="1:8" x14ac:dyDescent="0.3">
      <c r="A1353" s="2">
        <v>155441</v>
      </c>
      <c r="B1353" s="3" t="s">
        <v>1164</v>
      </c>
      <c r="C1353" s="3" t="s">
        <v>1010</v>
      </c>
      <c r="D1353" s="3" t="s">
        <v>1172</v>
      </c>
      <c r="E1353" s="3" t="s">
        <v>1172</v>
      </c>
      <c r="F1353" s="1">
        <v>45922</v>
      </c>
      <c r="G1353" t="str">
        <f t="shared" si="22"/>
        <v>Sep -2025</v>
      </c>
      <c r="H1353" s="12"/>
    </row>
    <row r="1354" spans="1:8" x14ac:dyDescent="0.3">
      <c r="A1354" s="2">
        <v>150764</v>
      </c>
      <c r="B1354" s="3" t="s">
        <v>1165</v>
      </c>
      <c r="C1354" s="3" t="s">
        <v>1010</v>
      </c>
      <c r="D1354" s="3" t="s">
        <v>1172</v>
      </c>
      <c r="E1354" s="3" t="s">
        <v>1172</v>
      </c>
      <c r="F1354" s="1">
        <v>45922</v>
      </c>
      <c r="G1354" t="str">
        <f t="shared" si="22"/>
        <v>Sep -2025</v>
      </c>
      <c r="H1354" s="12"/>
    </row>
    <row r="1355" spans="1:8" x14ac:dyDescent="0.3">
      <c r="A1355" s="2">
        <v>135692</v>
      </c>
      <c r="B1355" s="3" t="s">
        <v>1166</v>
      </c>
      <c r="C1355" s="3" t="s">
        <v>1010</v>
      </c>
      <c r="D1355" s="3" t="s">
        <v>1172</v>
      </c>
      <c r="E1355" s="3" t="s">
        <v>1172</v>
      </c>
      <c r="F1355" s="1">
        <v>45922</v>
      </c>
      <c r="G1355" t="str">
        <f t="shared" si="22"/>
        <v>Sep -2025</v>
      </c>
      <c r="H1355" s="12"/>
    </row>
    <row r="1356" spans="1:8" x14ac:dyDescent="0.3">
      <c r="A1356" s="2">
        <v>144906</v>
      </c>
      <c r="B1356" s="3" t="s">
        <v>1167</v>
      </c>
      <c r="C1356" s="3" t="s">
        <v>1010</v>
      </c>
      <c r="D1356" s="3" t="s">
        <v>1172</v>
      </c>
      <c r="E1356" s="3" t="s">
        <v>1172</v>
      </c>
      <c r="F1356" s="1">
        <v>45922</v>
      </c>
      <c r="G1356" t="str">
        <f t="shared" si="22"/>
        <v>Sep -2025</v>
      </c>
      <c r="H1356" s="12"/>
    </row>
    <row r="1357" spans="1:8" x14ac:dyDescent="0.3">
      <c r="A1357" s="2">
        <v>1012347</v>
      </c>
      <c r="B1357" s="3" t="s">
        <v>1168</v>
      </c>
      <c r="C1357" s="3" t="s">
        <v>1010</v>
      </c>
      <c r="D1357" s="3" t="s">
        <v>364</v>
      </c>
      <c r="E1357" s="3" t="s">
        <v>15</v>
      </c>
      <c r="F1357" s="1">
        <v>45922</v>
      </c>
      <c r="G1357" t="str">
        <f t="shared" si="22"/>
        <v>Sep -2025</v>
      </c>
      <c r="H1357" s="12"/>
    </row>
    <row r="1358" spans="1:8" x14ac:dyDescent="0.3">
      <c r="A1358" s="2">
        <v>1012400</v>
      </c>
      <c r="B1358" s="3" t="s">
        <v>1169</v>
      </c>
      <c r="C1358" s="3" t="s">
        <v>1010</v>
      </c>
      <c r="D1358" s="3" t="s">
        <v>364</v>
      </c>
      <c r="E1358" s="3" t="s">
        <v>15</v>
      </c>
      <c r="F1358" s="1">
        <v>45922</v>
      </c>
      <c r="G1358" t="str">
        <f t="shared" si="22"/>
        <v>Sep -2025</v>
      </c>
      <c r="H1358" s="12"/>
    </row>
    <row r="1359" spans="1:8" x14ac:dyDescent="0.3">
      <c r="A1359" s="2">
        <v>1012439</v>
      </c>
      <c r="B1359" s="3" t="s">
        <v>1170</v>
      </c>
      <c r="C1359" s="3" t="s">
        <v>1010</v>
      </c>
      <c r="D1359" s="3" t="s">
        <v>1259</v>
      </c>
      <c r="E1359" s="3" t="s">
        <v>228</v>
      </c>
      <c r="F1359" s="1">
        <v>45922</v>
      </c>
      <c r="G1359" t="str">
        <f t="shared" si="22"/>
        <v>Sep -2025</v>
      </c>
      <c r="H1359" s="12"/>
    </row>
    <row r="1360" spans="1:8" x14ac:dyDescent="0.3">
      <c r="A1360" s="2">
        <v>1012861</v>
      </c>
      <c r="B1360" s="3" t="s">
        <v>1171</v>
      </c>
      <c r="C1360" s="3" t="s">
        <v>1010</v>
      </c>
      <c r="D1360" s="3" t="s">
        <v>1259</v>
      </c>
      <c r="E1360" s="3" t="s">
        <v>228</v>
      </c>
      <c r="F1360" s="1">
        <v>45922</v>
      </c>
      <c r="G1360" t="str">
        <f t="shared" si="22"/>
        <v>Sep -2025</v>
      </c>
      <c r="H1360" s="12"/>
    </row>
    <row r="1361" spans="1:8" x14ac:dyDescent="0.3">
      <c r="A1361" s="2">
        <v>1012730</v>
      </c>
      <c r="B1361" s="3" t="s">
        <v>1173</v>
      </c>
      <c r="C1361" s="3" t="s">
        <v>1010</v>
      </c>
      <c r="D1361" s="3" t="s">
        <v>364</v>
      </c>
      <c r="E1361" s="3" t="s">
        <v>15</v>
      </c>
      <c r="F1361" s="1">
        <v>45923</v>
      </c>
      <c r="G1361" t="str">
        <f t="shared" si="22"/>
        <v>Sep -2025</v>
      </c>
      <c r="H1361" s="12"/>
    </row>
    <row r="1362" spans="1:8" x14ac:dyDescent="0.3">
      <c r="A1362" s="2">
        <v>1012864</v>
      </c>
      <c r="B1362" s="3" t="s">
        <v>1174</v>
      </c>
      <c r="C1362" s="3" t="s">
        <v>1010</v>
      </c>
      <c r="D1362" s="3" t="s">
        <v>364</v>
      </c>
      <c r="E1362" s="3" t="s">
        <v>15</v>
      </c>
      <c r="F1362" s="1">
        <v>45923</v>
      </c>
      <c r="G1362" t="str">
        <f t="shared" si="22"/>
        <v>Sep -2025</v>
      </c>
      <c r="H1362" s="12"/>
    </row>
    <row r="1363" spans="1:8" x14ac:dyDescent="0.3">
      <c r="A1363" s="2">
        <v>1012861</v>
      </c>
      <c r="B1363" s="3" t="s">
        <v>1171</v>
      </c>
      <c r="C1363" s="3" t="s">
        <v>1010</v>
      </c>
      <c r="D1363" s="3" t="s">
        <v>1259</v>
      </c>
      <c r="E1363" s="3" t="s">
        <v>228</v>
      </c>
      <c r="F1363" s="1">
        <v>45923</v>
      </c>
      <c r="G1363" t="str">
        <f t="shared" si="22"/>
        <v>Sep -2025</v>
      </c>
      <c r="H1363" s="12"/>
    </row>
    <row r="1364" spans="1:8" x14ac:dyDescent="0.3">
      <c r="A1364" s="2">
        <v>1012990</v>
      </c>
      <c r="B1364" s="3" t="s">
        <v>1175</v>
      </c>
      <c r="C1364" s="3" t="s">
        <v>1010</v>
      </c>
      <c r="D1364" s="3" t="s">
        <v>364</v>
      </c>
      <c r="E1364" s="3" t="s">
        <v>15</v>
      </c>
      <c r="F1364" s="1">
        <v>45923</v>
      </c>
      <c r="G1364" t="str">
        <f t="shared" si="22"/>
        <v>Sep -2025</v>
      </c>
      <c r="H1364" s="12"/>
    </row>
    <row r="1365" spans="1:8" x14ac:dyDescent="0.3">
      <c r="A1365" s="2">
        <v>1012993</v>
      </c>
      <c r="B1365" s="3" t="s">
        <v>1176</v>
      </c>
      <c r="C1365" s="3" t="s">
        <v>1010</v>
      </c>
      <c r="D1365" s="3" t="s">
        <v>1259</v>
      </c>
      <c r="E1365" s="3" t="s">
        <v>228</v>
      </c>
      <c r="F1365" s="1">
        <v>45923</v>
      </c>
      <c r="G1365" t="str">
        <f t="shared" si="22"/>
        <v>Sep -2025</v>
      </c>
      <c r="H1365" s="12"/>
    </row>
    <row r="1366" spans="1:8" x14ac:dyDescent="0.3">
      <c r="A1366" s="2">
        <v>1014566</v>
      </c>
      <c r="B1366" s="3" t="s">
        <v>1177</v>
      </c>
      <c r="C1366" s="3" t="s">
        <v>1010</v>
      </c>
      <c r="D1366" s="3" t="s">
        <v>1259</v>
      </c>
      <c r="E1366" s="3" t="s">
        <v>228</v>
      </c>
      <c r="F1366" s="1">
        <v>45923</v>
      </c>
      <c r="G1366" t="str">
        <f t="shared" si="22"/>
        <v>Sep -2025</v>
      </c>
      <c r="H1366" s="12"/>
    </row>
    <row r="1367" spans="1:8" x14ac:dyDescent="0.3">
      <c r="A1367" s="2">
        <v>1014528</v>
      </c>
      <c r="B1367" s="3" t="s">
        <v>1178</v>
      </c>
      <c r="C1367" s="3" t="s">
        <v>1010</v>
      </c>
      <c r="D1367" s="3" t="s">
        <v>1259</v>
      </c>
      <c r="E1367" s="3" t="s">
        <v>228</v>
      </c>
      <c r="F1367" s="1">
        <v>45923</v>
      </c>
      <c r="G1367" t="str">
        <f t="shared" si="22"/>
        <v>Sep -2025</v>
      </c>
      <c r="H1367" s="12"/>
    </row>
    <row r="1368" spans="1:8" x14ac:dyDescent="0.3">
      <c r="A1368" s="2">
        <v>900004630</v>
      </c>
      <c r="B1368" s="3" t="s">
        <v>1179</v>
      </c>
      <c r="C1368" s="3" t="s">
        <v>1010</v>
      </c>
      <c r="D1368" s="3" t="s">
        <v>209</v>
      </c>
      <c r="E1368" s="3" t="s">
        <v>322</v>
      </c>
      <c r="F1368" s="1">
        <v>45923</v>
      </c>
      <c r="G1368" t="str">
        <f t="shared" si="22"/>
        <v>Sep -2025</v>
      </c>
      <c r="H1368" s="12"/>
    </row>
    <row r="1369" spans="1:8" x14ac:dyDescent="0.3">
      <c r="A1369" s="2">
        <v>155444</v>
      </c>
      <c r="B1369" s="3" t="s">
        <v>1180</v>
      </c>
      <c r="C1369" s="3" t="s">
        <v>1010</v>
      </c>
      <c r="D1369" s="3" t="s">
        <v>1172</v>
      </c>
      <c r="E1369" s="3" t="s">
        <v>1172</v>
      </c>
      <c r="F1369" s="1">
        <v>45923</v>
      </c>
      <c r="G1369" t="str">
        <f t="shared" si="22"/>
        <v>Sep -2025</v>
      </c>
      <c r="H1369" s="12"/>
    </row>
    <row r="1370" spans="1:8" x14ac:dyDescent="0.3">
      <c r="A1370" s="2">
        <v>156085</v>
      </c>
      <c r="B1370" s="3" t="s">
        <v>1181</v>
      </c>
      <c r="C1370" s="3" t="s">
        <v>1010</v>
      </c>
      <c r="D1370" s="3" t="s">
        <v>1172</v>
      </c>
      <c r="E1370" s="3" t="s">
        <v>1172</v>
      </c>
      <c r="F1370" s="1">
        <v>45923</v>
      </c>
      <c r="G1370" t="str">
        <f t="shared" si="22"/>
        <v>Sep -2025</v>
      </c>
      <c r="H1370" s="12"/>
    </row>
    <row r="1371" spans="1:8" x14ac:dyDescent="0.3">
      <c r="A1371" s="2">
        <v>156113</v>
      </c>
      <c r="B1371" s="3" t="s">
        <v>1182</v>
      </c>
      <c r="C1371" s="3" t="s">
        <v>1010</v>
      </c>
      <c r="D1371" s="3" t="s">
        <v>1172</v>
      </c>
      <c r="E1371" s="3" t="s">
        <v>1172</v>
      </c>
      <c r="F1371" s="1">
        <v>45923</v>
      </c>
      <c r="G1371" t="str">
        <f t="shared" si="22"/>
        <v>Sep -2025</v>
      </c>
      <c r="H1371" s="12"/>
    </row>
    <row r="1372" spans="1:8" x14ac:dyDescent="0.3">
      <c r="A1372" s="2">
        <v>125903</v>
      </c>
      <c r="B1372" s="3" t="s">
        <v>1183</v>
      </c>
      <c r="C1372" s="3" t="s">
        <v>1010</v>
      </c>
      <c r="D1372" s="3" t="s">
        <v>1172</v>
      </c>
      <c r="E1372" s="3" t="s">
        <v>1172</v>
      </c>
      <c r="F1372" s="1">
        <v>45923</v>
      </c>
      <c r="G1372" t="str">
        <f t="shared" si="22"/>
        <v>Sep -2025</v>
      </c>
      <c r="H1372" s="12"/>
    </row>
    <row r="1373" spans="1:8" x14ac:dyDescent="0.3">
      <c r="A1373" s="2">
        <v>150764</v>
      </c>
      <c r="B1373" s="3" t="s">
        <v>1184</v>
      </c>
      <c r="C1373" s="3" t="s">
        <v>1010</v>
      </c>
      <c r="D1373" s="3" t="s">
        <v>1172</v>
      </c>
      <c r="E1373" s="3" t="s">
        <v>1172</v>
      </c>
      <c r="F1373" s="1">
        <v>45923</v>
      </c>
      <c r="G1373" t="str">
        <f t="shared" si="22"/>
        <v>Sep -2025</v>
      </c>
      <c r="H1373" s="12"/>
    </row>
    <row r="1374" spans="1:8" x14ac:dyDescent="0.3">
      <c r="A1374" s="2">
        <v>150621</v>
      </c>
      <c r="B1374" s="3" t="s">
        <v>1185</v>
      </c>
      <c r="C1374" s="3" t="s">
        <v>1010</v>
      </c>
      <c r="D1374" s="3" t="s">
        <v>1172</v>
      </c>
      <c r="E1374" s="3" t="s">
        <v>1172</v>
      </c>
      <c r="F1374" s="1">
        <v>45923</v>
      </c>
      <c r="G1374" t="str">
        <f t="shared" si="22"/>
        <v>Sep -2025</v>
      </c>
      <c r="H1374" s="12"/>
    </row>
    <row r="1375" spans="1:8" x14ac:dyDescent="0.3">
      <c r="A1375" s="2">
        <v>133426</v>
      </c>
      <c r="B1375" s="3" t="s">
        <v>1186</v>
      </c>
      <c r="C1375" s="3" t="s">
        <v>1010</v>
      </c>
      <c r="D1375" s="3" t="s">
        <v>1172</v>
      </c>
      <c r="E1375" s="3" t="s">
        <v>1172</v>
      </c>
      <c r="F1375" s="1">
        <v>45923</v>
      </c>
      <c r="G1375" t="str">
        <f t="shared" si="22"/>
        <v>Sep -2025</v>
      </c>
      <c r="H1375" s="12"/>
    </row>
    <row r="1376" spans="1:8" x14ac:dyDescent="0.3">
      <c r="A1376" s="2">
        <v>129694</v>
      </c>
      <c r="B1376" s="3" t="s">
        <v>1187</v>
      </c>
      <c r="C1376" s="3" t="s">
        <v>1010</v>
      </c>
      <c r="D1376" s="3" t="s">
        <v>1172</v>
      </c>
      <c r="E1376" s="3" t="s">
        <v>1172</v>
      </c>
      <c r="F1376" s="1">
        <v>45923</v>
      </c>
      <c r="G1376" t="str">
        <f t="shared" si="22"/>
        <v>Sep -2025</v>
      </c>
      <c r="H1376" s="12"/>
    </row>
    <row r="1377" spans="1:8" x14ac:dyDescent="0.3">
      <c r="A1377" s="2">
        <v>129714</v>
      </c>
      <c r="B1377" s="3" t="s">
        <v>1188</v>
      </c>
      <c r="C1377" s="3" t="s">
        <v>1010</v>
      </c>
      <c r="D1377" s="3" t="s">
        <v>1172</v>
      </c>
      <c r="E1377" s="3" t="s">
        <v>1172</v>
      </c>
      <c r="F1377" s="1">
        <v>45923</v>
      </c>
      <c r="G1377" t="str">
        <f t="shared" si="22"/>
        <v>Sep -2025</v>
      </c>
      <c r="H1377" s="12"/>
    </row>
    <row r="1378" spans="1:8" x14ac:dyDescent="0.3">
      <c r="A1378" s="2">
        <v>100004010</v>
      </c>
      <c r="B1378" s="3" t="s">
        <v>1189</v>
      </c>
      <c r="C1378" s="3" t="s">
        <v>1011</v>
      </c>
      <c r="D1378" s="3" t="s">
        <v>972</v>
      </c>
      <c r="E1378" s="3" t="s">
        <v>967</v>
      </c>
      <c r="F1378" s="1">
        <v>45923</v>
      </c>
      <c r="G1378" t="str">
        <f t="shared" si="22"/>
        <v>Sep -2025</v>
      </c>
      <c r="H1378" s="12"/>
    </row>
    <row r="1379" spans="1:8" x14ac:dyDescent="0.3">
      <c r="A1379" s="2">
        <v>100003840</v>
      </c>
      <c r="B1379" s="3" t="s">
        <v>1190</v>
      </c>
      <c r="C1379" s="3" t="s">
        <v>1011</v>
      </c>
      <c r="D1379" s="3" t="s">
        <v>972</v>
      </c>
      <c r="E1379" s="3" t="s">
        <v>979</v>
      </c>
      <c r="F1379" s="1">
        <v>45924</v>
      </c>
      <c r="G1379" t="str">
        <f t="shared" si="22"/>
        <v>Sep -2025</v>
      </c>
      <c r="H1379" s="12"/>
    </row>
    <row r="1380" spans="1:8" x14ac:dyDescent="0.3">
      <c r="A1380" s="2">
        <v>100003841</v>
      </c>
      <c r="B1380" s="3" t="s">
        <v>1191</v>
      </c>
      <c r="C1380" s="3" t="s">
        <v>1011</v>
      </c>
      <c r="D1380" s="3" t="s">
        <v>972</v>
      </c>
      <c r="E1380" s="3" t="s">
        <v>979</v>
      </c>
      <c r="F1380" s="1">
        <v>45924</v>
      </c>
      <c r="G1380" t="str">
        <f t="shared" si="22"/>
        <v>Sep -2025</v>
      </c>
      <c r="H1380" s="12"/>
    </row>
    <row r="1381" spans="1:8" x14ac:dyDescent="0.3">
      <c r="A1381" s="2">
        <v>100003993</v>
      </c>
      <c r="B1381" s="3" t="s">
        <v>1192</v>
      </c>
      <c r="C1381" s="3" t="s">
        <v>1011</v>
      </c>
      <c r="D1381" s="3" t="s">
        <v>972</v>
      </c>
      <c r="E1381" s="3" t="s">
        <v>977</v>
      </c>
      <c r="F1381" s="1">
        <v>45924</v>
      </c>
      <c r="G1381" t="str">
        <f t="shared" si="22"/>
        <v>Sep -2025</v>
      </c>
      <c r="H1381" s="12"/>
    </row>
    <row r="1382" spans="1:8" x14ac:dyDescent="0.3">
      <c r="A1382" s="2">
        <v>100004010</v>
      </c>
      <c r="B1382" s="3" t="s">
        <v>1189</v>
      </c>
      <c r="C1382" s="3" t="s">
        <v>1011</v>
      </c>
      <c r="D1382" s="3" t="s">
        <v>972</v>
      </c>
      <c r="E1382" s="3" t="s">
        <v>967</v>
      </c>
      <c r="F1382" s="1">
        <v>45924</v>
      </c>
      <c r="G1382" t="str">
        <f t="shared" si="22"/>
        <v>Sep -2025</v>
      </c>
      <c r="H1382" s="12"/>
    </row>
    <row r="1383" spans="1:8" x14ac:dyDescent="0.3">
      <c r="A1383" s="2">
        <v>100004022</v>
      </c>
      <c r="B1383" s="3" t="s">
        <v>1193</v>
      </c>
      <c r="C1383" s="3" t="s">
        <v>1011</v>
      </c>
      <c r="D1383" s="3" t="s">
        <v>972</v>
      </c>
      <c r="E1383" s="3" t="s">
        <v>967</v>
      </c>
      <c r="F1383" s="1">
        <v>45924</v>
      </c>
      <c r="G1383" t="str">
        <f t="shared" si="22"/>
        <v>Sep -2025</v>
      </c>
      <c r="H1383" s="12"/>
    </row>
    <row r="1384" spans="1:8" x14ac:dyDescent="0.3">
      <c r="A1384" s="2">
        <v>100004030</v>
      </c>
      <c r="B1384" s="3" t="s">
        <v>1194</v>
      </c>
      <c r="C1384" s="3" t="s">
        <v>1011</v>
      </c>
      <c r="D1384" s="3" t="s">
        <v>972</v>
      </c>
      <c r="E1384" s="3" t="s">
        <v>970</v>
      </c>
      <c r="F1384" s="1">
        <v>45924</v>
      </c>
      <c r="G1384" t="str">
        <f t="shared" si="22"/>
        <v>Sep -2025</v>
      </c>
      <c r="H1384" s="12"/>
    </row>
    <row r="1385" spans="1:8" x14ac:dyDescent="0.3">
      <c r="A1385" s="2">
        <v>900004630</v>
      </c>
      <c r="B1385" s="3" t="s">
        <v>1179</v>
      </c>
      <c r="C1385" s="3" t="s">
        <v>1011</v>
      </c>
      <c r="D1385" s="3" t="s">
        <v>973</v>
      </c>
      <c r="E1385" s="3" t="s">
        <v>322</v>
      </c>
      <c r="F1385" s="1">
        <v>45924</v>
      </c>
      <c r="G1385" t="str">
        <f t="shared" si="22"/>
        <v>Sep -2025</v>
      </c>
      <c r="H1385" s="12"/>
    </row>
    <row r="1386" spans="1:8" x14ac:dyDescent="0.3">
      <c r="A1386" s="2">
        <v>100004006</v>
      </c>
      <c r="B1386" s="3" t="s">
        <v>1195</v>
      </c>
      <c r="C1386" s="3" t="s">
        <v>1011</v>
      </c>
      <c r="D1386" s="3" t="s">
        <v>972</v>
      </c>
      <c r="E1386" s="3" t="s">
        <v>984</v>
      </c>
      <c r="F1386" s="1">
        <v>45924</v>
      </c>
      <c r="G1386" t="str">
        <f t="shared" si="22"/>
        <v>Sep -2025</v>
      </c>
      <c r="H1386" s="12"/>
    </row>
    <row r="1387" spans="1:8" x14ac:dyDescent="0.3">
      <c r="A1387" s="2">
        <v>100004024</v>
      </c>
      <c r="B1387" s="3" t="s">
        <v>1196</v>
      </c>
      <c r="C1387" s="3" t="s">
        <v>1011</v>
      </c>
      <c r="D1387" s="3" t="s">
        <v>972</v>
      </c>
      <c r="E1387" s="3" t="s">
        <v>970</v>
      </c>
      <c r="F1387" s="1">
        <v>45924</v>
      </c>
      <c r="G1387" t="str">
        <f t="shared" si="22"/>
        <v>Sep -2025</v>
      </c>
      <c r="H1387" s="12"/>
    </row>
    <row r="1388" spans="1:8" x14ac:dyDescent="0.3">
      <c r="A1388" s="2">
        <v>1015299</v>
      </c>
      <c r="B1388" s="3" t="s">
        <v>1197</v>
      </c>
      <c r="C1388" s="3" t="s">
        <v>1010</v>
      </c>
      <c r="D1388" s="3" t="s">
        <v>1259</v>
      </c>
      <c r="E1388" s="3" t="s">
        <v>228</v>
      </c>
      <c r="F1388" s="1">
        <v>45924</v>
      </c>
      <c r="G1388" t="str">
        <f t="shared" si="22"/>
        <v>Sep -2025</v>
      </c>
      <c r="H1388" s="12"/>
    </row>
    <row r="1389" spans="1:8" x14ac:dyDescent="0.3">
      <c r="A1389" s="2">
        <v>1012997</v>
      </c>
      <c r="B1389" s="3" t="s">
        <v>1198</v>
      </c>
      <c r="C1389" s="3" t="s">
        <v>1010</v>
      </c>
      <c r="D1389" s="3" t="s">
        <v>364</v>
      </c>
      <c r="E1389" s="3" t="s">
        <v>15</v>
      </c>
      <c r="F1389" s="1">
        <v>45924</v>
      </c>
      <c r="G1389" t="str">
        <f t="shared" si="22"/>
        <v>Sep -2025</v>
      </c>
      <c r="H1389" s="12"/>
    </row>
    <row r="1390" spans="1:8" x14ac:dyDescent="0.3">
      <c r="A1390" s="2">
        <v>1015483</v>
      </c>
      <c r="B1390" s="3" t="s">
        <v>1199</v>
      </c>
      <c r="C1390" s="3" t="s">
        <v>1010</v>
      </c>
      <c r="D1390" s="3" t="s">
        <v>1259</v>
      </c>
      <c r="E1390" s="3" t="s">
        <v>228</v>
      </c>
      <c r="F1390" s="1">
        <v>45924</v>
      </c>
      <c r="G1390" t="str">
        <f t="shared" si="22"/>
        <v>Sep -2025</v>
      </c>
      <c r="H1390" s="12"/>
    </row>
    <row r="1391" spans="1:8" x14ac:dyDescent="0.3">
      <c r="A1391" s="2">
        <v>1015485</v>
      </c>
      <c r="B1391" s="3" t="s">
        <v>1200</v>
      </c>
      <c r="C1391" s="3" t="s">
        <v>1010</v>
      </c>
      <c r="D1391" s="3" t="s">
        <v>1259</v>
      </c>
      <c r="E1391" s="3" t="s">
        <v>228</v>
      </c>
      <c r="F1391" s="1">
        <v>45925</v>
      </c>
      <c r="G1391" t="str">
        <f t="shared" si="22"/>
        <v>Sep -2025</v>
      </c>
      <c r="H1391" s="12"/>
    </row>
    <row r="1392" spans="1:8" x14ac:dyDescent="0.3">
      <c r="A1392" s="2">
        <v>1018328</v>
      </c>
      <c r="B1392" s="3" t="s">
        <v>1201</v>
      </c>
      <c r="C1392" s="3" t="s">
        <v>1010</v>
      </c>
      <c r="D1392" s="3" t="s">
        <v>1259</v>
      </c>
      <c r="E1392" s="3" t="s">
        <v>228</v>
      </c>
      <c r="F1392" s="1">
        <v>45925</v>
      </c>
      <c r="G1392" t="str">
        <f t="shared" si="22"/>
        <v>Sep -2025</v>
      </c>
      <c r="H1392" s="12"/>
    </row>
    <row r="1393" spans="1:8" x14ac:dyDescent="0.3">
      <c r="A1393" s="2">
        <v>1017984</v>
      </c>
      <c r="B1393" s="3" t="s">
        <v>356</v>
      </c>
      <c r="C1393" s="3" t="s">
        <v>1010</v>
      </c>
      <c r="D1393" s="3" t="s">
        <v>209</v>
      </c>
      <c r="E1393" s="3" t="s">
        <v>357</v>
      </c>
      <c r="F1393" s="1">
        <v>45925</v>
      </c>
      <c r="G1393" t="str">
        <f t="shared" si="22"/>
        <v>Sep -2025</v>
      </c>
      <c r="H1393" s="12"/>
    </row>
    <row r="1394" spans="1:8" x14ac:dyDescent="0.3">
      <c r="A1394" s="2">
        <v>1020495</v>
      </c>
      <c r="B1394" s="3" t="s">
        <v>1202</v>
      </c>
      <c r="C1394" s="3" t="s">
        <v>1010</v>
      </c>
      <c r="D1394" s="3" t="s">
        <v>1259</v>
      </c>
      <c r="E1394" s="3" t="s">
        <v>228</v>
      </c>
      <c r="F1394" s="1">
        <v>45925</v>
      </c>
      <c r="G1394" t="str">
        <f t="shared" si="22"/>
        <v>Sep -2025</v>
      </c>
      <c r="H1394" s="12"/>
    </row>
    <row r="1395" spans="1:8" x14ac:dyDescent="0.3">
      <c r="A1395" s="2">
        <v>1020424</v>
      </c>
      <c r="B1395" s="3" t="s">
        <v>1203</v>
      </c>
      <c r="C1395" s="3" t="s">
        <v>1010</v>
      </c>
      <c r="D1395" s="3" t="s">
        <v>364</v>
      </c>
      <c r="E1395" s="3" t="s">
        <v>15</v>
      </c>
      <c r="F1395" s="1">
        <v>45925</v>
      </c>
      <c r="G1395" t="str">
        <f t="shared" si="22"/>
        <v>Sep -2025</v>
      </c>
      <c r="H1395" s="12"/>
    </row>
    <row r="1396" spans="1:8" x14ac:dyDescent="0.3">
      <c r="A1396" s="2">
        <v>1020438</v>
      </c>
      <c r="B1396" s="3" t="s">
        <v>1204</v>
      </c>
      <c r="C1396" s="3" t="s">
        <v>1010</v>
      </c>
      <c r="D1396" s="3" t="s">
        <v>364</v>
      </c>
      <c r="E1396" s="3" t="s">
        <v>15</v>
      </c>
      <c r="F1396" s="1">
        <v>45925</v>
      </c>
      <c r="G1396" t="str">
        <f t="shared" si="22"/>
        <v>Sep -2025</v>
      </c>
      <c r="H1396" s="12"/>
    </row>
    <row r="1397" spans="1:8" x14ac:dyDescent="0.3">
      <c r="A1397" s="2">
        <v>10233102</v>
      </c>
      <c r="B1397" s="3" t="s">
        <v>1205</v>
      </c>
      <c r="C1397" s="3" t="s">
        <v>1010</v>
      </c>
      <c r="D1397" s="3" t="s">
        <v>209</v>
      </c>
      <c r="E1397" s="3" t="s">
        <v>228</v>
      </c>
      <c r="F1397" s="1">
        <v>45925</v>
      </c>
      <c r="G1397" t="str">
        <f t="shared" si="22"/>
        <v>Sep -2025</v>
      </c>
      <c r="H1397" s="12"/>
    </row>
    <row r="1398" spans="1:8" x14ac:dyDescent="0.3">
      <c r="A1398" s="2">
        <v>156121</v>
      </c>
      <c r="B1398" s="3" t="s">
        <v>1206</v>
      </c>
      <c r="C1398" s="3" t="s">
        <v>1010</v>
      </c>
      <c r="D1398" s="3" t="s">
        <v>1172</v>
      </c>
      <c r="E1398" s="3" t="s">
        <v>1172</v>
      </c>
      <c r="F1398" s="1">
        <v>45925</v>
      </c>
      <c r="G1398" t="str">
        <f t="shared" si="22"/>
        <v>Sep -2025</v>
      </c>
      <c r="H1398" s="12"/>
    </row>
    <row r="1399" spans="1:8" x14ac:dyDescent="0.3">
      <c r="A1399" s="2">
        <v>156121</v>
      </c>
      <c r="B1399" s="3" t="s">
        <v>1207</v>
      </c>
      <c r="C1399" s="3" t="s">
        <v>1010</v>
      </c>
      <c r="D1399" s="3" t="s">
        <v>1172</v>
      </c>
      <c r="E1399" s="3" t="s">
        <v>1172</v>
      </c>
      <c r="F1399" s="1">
        <v>45925</v>
      </c>
      <c r="G1399" t="str">
        <f t="shared" si="22"/>
        <v>Sep -2025</v>
      </c>
      <c r="H1399" s="12"/>
    </row>
    <row r="1400" spans="1:8" x14ac:dyDescent="0.3">
      <c r="A1400" s="2">
        <v>139297</v>
      </c>
      <c r="B1400" s="3" t="s">
        <v>1208</v>
      </c>
      <c r="C1400" s="3" t="s">
        <v>1010</v>
      </c>
      <c r="D1400" s="3" t="s">
        <v>1172</v>
      </c>
      <c r="E1400" s="3" t="s">
        <v>1172</v>
      </c>
      <c r="F1400" s="1">
        <v>45925</v>
      </c>
      <c r="G1400" t="str">
        <f t="shared" si="22"/>
        <v>Sep -2025</v>
      </c>
      <c r="H1400" s="12"/>
    </row>
    <row r="1401" spans="1:8" x14ac:dyDescent="0.3">
      <c r="A1401" s="2">
        <v>136925</v>
      </c>
      <c r="B1401" s="3" t="s">
        <v>1209</v>
      </c>
      <c r="C1401" s="3" t="s">
        <v>1010</v>
      </c>
      <c r="D1401" s="3" t="s">
        <v>1172</v>
      </c>
      <c r="E1401" s="3" t="s">
        <v>1172</v>
      </c>
      <c r="F1401" s="1">
        <v>45925</v>
      </c>
      <c r="G1401" t="str">
        <f t="shared" si="22"/>
        <v>Sep -2025</v>
      </c>
      <c r="H1401" s="12"/>
    </row>
    <row r="1402" spans="1:8" x14ac:dyDescent="0.3">
      <c r="A1402" s="2">
        <v>136925</v>
      </c>
      <c r="B1402" s="3" t="s">
        <v>1210</v>
      </c>
      <c r="C1402" s="3" t="s">
        <v>1010</v>
      </c>
      <c r="D1402" s="3" t="s">
        <v>1172</v>
      </c>
      <c r="E1402" s="3" t="s">
        <v>1172</v>
      </c>
      <c r="F1402" s="1">
        <v>45925</v>
      </c>
      <c r="G1402" t="str">
        <f t="shared" si="22"/>
        <v>Sep -2025</v>
      </c>
      <c r="H1402" s="12"/>
    </row>
    <row r="1403" spans="1:8" x14ac:dyDescent="0.3">
      <c r="A1403" s="2">
        <v>149772</v>
      </c>
      <c r="B1403" s="3" t="s">
        <v>1211</v>
      </c>
      <c r="C1403" s="3" t="s">
        <v>1010</v>
      </c>
      <c r="D1403" s="3" t="s">
        <v>1172</v>
      </c>
      <c r="E1403" s="3" t="s">
        <v>1172</v>
      </c>
      <c r="F1403" s="1">
        <v>45925</v>
      </c>
      <c r="G1403" t="str">
        <f t="shared" si="22"/>
        <v>Sep -2025</v>
      </c>
      <c r="H1403" s="12"/>
    </row>
    <row r="1404" spans="1:8" x14ac:dyDescent="0.3">
      <c r="A1404" s="2">
        <v>149772</v>
      </c>
      <c r="B1404" s="3" t="s">
        <v>1212</v>
      </c>
      <c r="C1404" s="3" t="s">
        <v>1010</v>
      </c>
      <c r="D1404" s="3" t="s">
        <v>1172</v>
      </c>
      <c r="E1404" s="3" t="s">
        <v>1172</v>
      </c>
      <c r="F1404" s="1">
        <v>45925</v>
      </c>
      <c r="G1404" t="str">
        <f t="shared" si="22"/>
        <v>Sep -2025</v>
      </c>
      <c r="H1404" s="12"/>
    </row>
    <row r="1405" spans="1:8" x14ac:dyDescent="0.3">
      <c r="A1405" s="2">
        <v>129769</v>
      </c>
      <c r="B1405" s="3" t="s">
        <v>1213</v>
      </c>
      <c r="C1405" s="3" t="s">
        <v>1011</v>
      </c>
      <c r="D1405" s="3" t="s">
        <v>1172</v>
      </c>
      <c r="E1405" s="3" t="s">
        <v>1172</v>
      </c>
      <c r="F1405" s="1">
        <v>45925</v>
      </c>
      <c r="G1405" t="str">
        <f t="shared" si="22"/>
        <v>Sep -2025</v>
      </c>
      <c r="H1405" s="12"/>
    </row>
    <row r="1406" spans="1:8" x14ac:dyDescent="0.3">
      <c r="A1406" s="2">
        <v>100003923</v>
      </c>
      <c r="B1406" s="3" t="s">
        <v>1139</v>
      </c>
      <c r="C1406" s="3" t="s">
        <v>1011</v>
      </c>
      <c r="D1406" s="3" t="s">
        <v>972</v>
      </c>
      <c r="E1406" s="3" t="s">
        <v>978</v>
      </c>
      <c r="F1406" s="1">
        <v>45925</v>
      </c>
      <c r="G1406" t="str">
        <f t="shared" si="22"/>
        <v>Sep -2025</v>
      </c>
      <c r="H1406" s="12"/>
    </row>
    <row r="1407" spans="1:8" x14ac:dyDescent="0.3">
      <c r="A1407" s="2">
        <v>100004024</v>
      </c>
      <c r="B1407" s="3" t="s">
        <v>1196</v>
      </c>
      <c r="C1407" s="3" t="s">
        <v>1011</v>
      </c>
      <c r="D1407" s="3" t="s">
        <v>972</v>
      </c>
      <c r="E1407" s="3" t="s">
        <v>970</v>
      </c>
      <c r="F1407" s="1">
        <v>45925</v>
      </c>
      <c r="G1407" t="str">
        <f t="shared" si="22"/>
        <v>Sep -2025</v>
      </c>
      <c r="H1407" s="12"/>
    </row>
    <row r="1408" spans="1:8" x14ac:dyDescent="0.3">
      <c r="A1408" s="2">
        <v>100004040</v>
      </c>
      <c r="B1408" s="3" t="s">
        <v>1214</v>
      </c>
      <c r="C1408" s="3" t="s">
        <v>1011</v>
      </c>
      <c r="D1408" s="3" t="s">
        <v>972</v>
      </c>
      <c r="E1408" s="3" t="s">
        <v>979</v>
      </c>
      <c r="F1408" s="1">
        <v>45925</v>
      </c>
      <c r="G1408" t="str">
        <f t="shared" si="22"/>
        <v>Sep -2025</v>
      </c>
      <c r="H1408" s="12"/>
    </row>
    <row r="1409" spans="1:8" x14ac:dyDescent="0.3">
      <c r="A1409" s="2">
        <v>100003842</v>
      </c>
      <c r="B1409" s="3" t="s">
        <v>1215</v>
      </c>
      <c r="C1409" s="3" t="s">
        <v>1011</v>
      </c>
      <c r="D1409" s="3" t="s">
        <v>972</v>
      </c>
      <c r="E1409" s="3" t="s">
        <v>979</v>
      </c>
      <c r="F1409" s="1">
        <v>45925</v>
      </c>
      <c r="G1409" t="str">
        <f t="shared" si="22"/>
        <v>Sep -2025</v>
      </c>
      <c r="H1409" s="12"/>
    </row>
    <row r="1410" spans="1:8" x14ac:dyDescent="0.3">
      <c r="A1410" s="2">
        <v>100004007</v>
      </c>
      <c r="B1410" s="3" t="s">
        <v>1216</v>
      </c>
      <c r="C1410" s="3" t="s">
        <v>1011</v>
      </c>
      <c r="D1410" s="3" t="s">
        <v>972</v>
      </c>
      <c r="E1410" s="3" t="s">
        <v>968</v>
      </c>
      <c r="F1410" s="1">
        <v>45925</v>
      </c>
      <c r="G1410" t="str">
        <f t="shared" ref="G1410:G1473" si="23">TEXT(F1410,"mmm -YYYY")</f>
        <v>Sep -2025</v>
      </c>
      <c r="H1410" s="12"/>
    </row>
    <row r="1411" spans="1:8" x14ac:dyDescent="0.3">
      <c r="A1411" s="2">
        <v>1021025</v>
      </c>
      <c r="B1411" s="3" t="s">
        <v>1217</v>
      </c>
      <c r="C1411" s="3" t="s">
        <v>1010</v>
      </c>
      <c r="D1411" s="3" t="s">
        <v>209</v>
      </c>
      <c r="E1411" s="3" t="s">
        <v>375</v>
      </c>
      <c r="F1411" s="1">
        <v>45926</v>
      </c>
      <c r="G1411" t="str">
        <f t="shared" si="23"/>
        <v>Sep -2025</v>
      </c>
      <c r="H1411" s="12"/>
    </row>
    <row r="1412" spans="1:8" x14ac:dyDescent="0.3">
      <c r="A1412" s="2">
        <v>1024143</v>
      </c>
      <c r="B1412" s="3" t="s">
        <v>1218</v>
      </c>
      <c r="C1412" s="3" t="s">
        <v>1010</v>
      </c>
      <c r="D1412" s="3" t="s">
        <v>364</v>
      </c>
      <c r="E1412" s="3" t="s">
        <v>15</v>
      </c>
      <c r="F1412" s="1">
        <v>45926</v>
      </c>
      <c r="G1412" t="str">
        <f t="shared" si="23"/>
        <v>Sep -2025</v>
      </c>
      <c r="H1412" s="12"/>
    </row>
    <row r="1413" spans="1:8" x14ac:dyDescent="0.3">
      <c r="A1413" s="2">
        <v>984750</v>
      </c>
      <c r="B1413" s="3" t="s">
        <v>1219</v>
      </c>
      <c r="C1413" s="3" t="s">
        <v>1010</v>
      </c>
      <c r="D1413" s="3" t="s">
        <v>1020</v>
      </c>
      <c r="E1413" s="3" t="s">
        <v>435</v>
      </c>
      <c r="F1413" s="1">
        <v>45926</v>
      </c>
      <c r="G1413" t="str">
        <f t="shared" si="23"/>
        <v>Sep -2025</v>
      </c>
      <c r="H1413" s="12"/>
    </row>
    <row r="1414" spans="1:8" x14ac:dyDescent="0.3">
      <c r="A1414" s="2">
        <v>1017480</v>
      </c>
      <c r="B1414" s="3" t="s">
        <v>1220</v>
      </c>
      <c r="C1414" s="3" t="s">
        <v>1010</v>
      </c>
      <c r="D1414" s="3" t="s">
        <v>1020</v>
      </c>
      <c r="E1414" s="3" t="s">
        <v>435</v>
      </c>
      <c r="F1414" s="1">
        <v>45926</v>
      </c>
      <c r="G1414" t="str">
        <f t="shared" si="23"/>
        <v>Sep -2025</v>
      </c>
      <c r="H1414" s="12"/>
    </row>
    <row r="1415" spans="1:8" x14ac:dyDescent="0.3">
      <c r="A1415" s="2">
        <v>1017581</v>
      </c>
      <c r="B1415" s="3" t="s">
        <v>1221</v>
      </c>
      <c r="C1415" s="3" t="s">
        <v>1010</v>
      </c>
      <c r="D1415" s="3" t="s">
        <v>1020</v>
      </c>
      <c r="E1415" s="3" t="s">
        <v>435</v>
      </c>
      <c r="F1415" s="1">
        <v>45926</v>
      </c>
      <c r="G1415" t="str">
        <f t="shared" si="23"/>
        <v>Sep -2025</v>
      </c>
      <c r="H1415" s="12"/>
    </row>
    <row r="1416" spans="1:8" x14ac:dyDescent="0.3">
      <c r="A1416" s="2">
        <v>200001443</v>
      </c>
      <c r="B1416" s="3" t="s">
        <v>1222</v>
      </c>
      <c r="C1416" s="3" t="s">
        <v>1010</v>
      </c>
      <c r="D1416" s="3" t="s">
        <v>1229</v>
      </c>
      <c r="E1416" s="3" t="s">
        <v>7</v>
      </c>
      <c r="F1416" s="1">
        <v>45926</v>
      </c>
      <c r="G1416" t="str">
        <f t="shared" si="23"/>
        <v>Sep -2025</v>
      </c>
      <c r="H1416" s="12"/>
    </row>
    <row r="1417" spans="1:8" x14ac:dyDescent="0.3">
      <c r="A1417" s="2">
        <v>1024889</v>
      </c>
      <c r="B1417" s="3" t="s">
        <v>53</v>
      </c>
      <c r="C1417" s="3" t="s">
        <v>1010</v>
      </c>
      <c r="D1417" s="3" t="s">
        <v>1020</v>
      </c>
      <c r="E1417" s="3" t="s">
        <v>268</v>
      </c>
      <c r="F1417" s="1">
        <v>45926</v>
      </c>
      <c r="G1417" t="str">
        <f t="shared" si="23"/>
        <v>Sep -2025</v>
      </c>
      <c r="H1417" s="12"/>
    </row>
    <row r="1418" spans="1:8" x14ac:dyDescent="0.3">
      <c r="A1418" s="2">
        <v>1024540</v>
      </c>
      <c r="B1418" s="3" t="s">
        <v>1223</v>
      </c>
      <c r="C1418" s="3" t="s">
        <v>1010</v>
      </c>
      <c r="D1418" s="3" t="s">
        <v>1259</v>
      </c>
      <c r="E1418" s="3" t="s">
        <v>228</v>
      </c>
      <c r="F1418" s="1">
        <v>45926</v>
      </c>
      <c r="G1418" t="str">
        <f t="shared" si="23"/>
        <v>Sep -2025</v>
      </c>
      <c r="H1418" s="12"/>
    </row>
    <row r="1419" spans="1:8" x14ac:dyDescent="0.3">
      <c r="A1419" s="2">
        <v>183982</v>
      </c>
      <c r="B1419" s="3" t="s">
        <v>1224</v>
      </c>
      <c r="C1419" s="3" t="s">
        <v>1010</v>
      </c>
      <c r="D1419" s="3" t="s">
        <v>1172</v>
      </c>
      <c r="E1419" s="3" t="s">
        <v>1172</v>
      </c>
      <c r="F1419" s="1">
        <v>45926</v>
      </c>
      <c r="G1419" t="str">
        <f t="shared" si="23"/>
        <v>Sep -2025</v>
      </c>
      <c r="H1419" s="12"/>
    </row>
    <row r="1420" spans="1:8" x14ac:dyDescent="0.3">
      <c r="A1420" s="2">
        <v>150439</v>
      </c>
      <c r="B1420" s="3" t="s">
        <v>1225</v>
      </c>
      <c r="C1420" s="3" t="s">
        <v>1010</v>
      </c>
      <c r="D1420" s="3" t="s">
        <v>1172</v>
      </c>
      <c r="E1420" s="3" t="s">
        <v>1172</v>
      </c>
      <c r="F1420" s="1">
        <v>45926</v>
      </c>
      <c r="G1420" t="str">
        <f t="shared" si="23"/>
        <v>Sep -2025</v>
      </c>
      <c r="H1420" s="12"/>
    </row>
    <row r="1421" spans="1:8" x14ac:dyDescent="0.3">
      <c r="A1421" s="2">
        <v>174312</v>
      </c>
      <c r="B1421" s="3" t="s">
        <v>1226</v>
      </c>
      <c r="C1421" s="3" t="s">
        <v>1010</v>
      </c>
      <c r="D1421" s="3" t="s">
        <v>1172</v>
      </c>
      <c r="E1421" s="3" t="s">
        <v>1172</v>
      </c>
      <c r="F1421" s="1">
        <v>45926</v>
      </c>
      <c r="G1421" t="str">
        <f t="shared" si="23"/>
        <v>Sep -2025</v>
      </c>
      <c r="H1421" s="12"/>
    </row>
    <row r="1422" spans="1:8" x14ac:dyDescent="0.3">
      <c r="A1422" s="2">
        <v>155691</v>
      </c>
      <c r="B1422" s="3" t="s">
        <v>1227</v>
      </c>
      <c r="C1422" s="3" t="s">
        <v>1010</v>
      </c>
      <c r="D1422" s="3" t="s">
        <v>1172</v>
      </c>
      <c r="E1422" s="3" t="s">
        <v>1172</v>
      </c>
      <c r="F1422" s="1">
        <v>45926</v>
      </c>
      <c r="G1422" t="str">
        <f t="shared" si="23"/>
        <v>Sep -2025</v>
      </c>
      <c r="H1422" s="12"/>
    </row>
    <row r="1423" spans="1:8" x14ac:dyDescent="0.3">
      <c r="A1423" s="2">
        <v>150436</v>
      </c>
      <c r="B1423" s="3" t="s">
        <v>1228</v>
      </c>
      <c r="C1423" s="3" t="s">
        <v>1010</v>
      </c>
      <c r="D1423" s="3" t="s">
        <v>1172</v>
      </c>
      <c r="E1423" s="3" t="s">
        <v>1172</v>
      </c>
      <c r="F1423" s="1">
        <v>45926</v>
      </c>
      <c r="G1423" t="str">
        <f t="shared" si="23"/>
        <v>Sep -2025</v>
      </c>
      <c r="H1423" s="12"/>
    </row>
    <row r="1424" spans="1:8" x14ac:dyDescent="0.3">
      <c r="A1424" s="2">
        <v>100003895</v>
      </c>
      <c r="B1424" s="3" t="s">
        <v>1230</v>
      </c>
      <c r="C1424" s="3" t="s">
        <v>1011</v>
      </c>
      <c r="D1424" s="3" t="s">
        <v>972</v>
      </c>
      <c r="E1424" s="3" t="s">
        <v>979</v>
      </c>
      <c r="F1424" s="1">
        <v>45926</v>
      </c>
      <c r="G1424" t="str">
        <f t="shared" si="23"/>
        <v>Sep -2025</v>
      </c>
      <c r="H1424" s="12"/>
    </row>
    <row r="1425" spans="1:8" x14ac:dyDescent="0.3">
      <c r="A1425" s="2">
        <v>100003896</v>
      </c>
      <c r="B1425" s="3" t="s">
        <v>1231</v>
      </c>
      <c r="C1425" s="3" t="s">
        <v>1011</v>
      </c>
      <c r="D1425" s="3" t="s">
        <v>972</v>
      </c>
      <c r="E1425" s="3" t="s">
        <v>979</v>
      </c>
      <c r="F1425" s="1">
        <v>45926</v>
      </c>
      <c r="G1425" t="str">
        <f t="shared" si="23"/>
        <v>Sep -2025</v>
      </c>
      <c r="H1425" s="12"/>
    </row>
    <row r="1426" spans="1:8" x14ac:dyDescent="0.3">
      <c r="A1426" s="2">
        <v>100003897</v>
      </c>
      <c r="B1426" s="3" t="s">
        <v>1232</v>
      </c>
      <c r="C1426" s="3" t="s">
        <v>1011</v>
      </c>
      <c r="D1426" s="3" t="s">
        <v>972</v>
      </c>
      <c r="E1426" s="3" t="s">
        <v>979</v>
      </c>
      <c r="F1426" s="1">
        <v>45926</v>
      </c>
      <c r="G1426" t="str">
        <f t="shared" si="23"/>
        <v>Sep -2025</v>
      </c>
      <c r="H1426" s="12"/>
    </row>
    <row r="1427" spans="1:8" x14ac:dyDescent="0.3">
      <c r="A1427" s="2">
        <v>100004027</v>
      </c>
      <c r="B1427" s="3" t="s">
        <v>1233</v>
      </c>
      <c r="C1427" s="3" t="s">
        <v>1011</v>
      </c>
      <c r="D1427" s="3" t="s">
        <v>972</v>
      </c>
      <c r="E1427" s="3" t="s">
        <v>1238</v>
      </c>
      <c r="F1427" s="1">
        <v>45926</v>
      </c>
      <c r="G1427" t="str">
        <f t="shared" si="23"/>
        <v>Sep -2025</v>
      </c>
      <c r="H1427" s="12"/>
    </row>
    <row r="1428" spans="1:8" x14ac:dyDescent="0.3">
      <c r="A1428" s="2">
        <v>100004030</v>
      </c>
      <c r="B1428" s="3" t="s">
        <v>1194</v>
      </c>
      <c r="C1428" s="3" t="s">
        <v>1011</v>
      </c>
      <c r="D1428" s="3" t="s">
        <v>972</v>
      </c>
      <c r="E1428" s="3" t="s">
        <v>970</v>
      </c>
      <c r="F1428" s="1">
        <v>45926</v>
      </c>
      <c r="G1428" t="str">
        <f t="shared" si="23"/>
        <v>Sep -2025</v>
      </c>
      <c r="H1428" s="12"/>
    </row>
    <row r="1429" spans="1:8" x14ac:dyDescent="0.3">
      <c r="A1429" s="2">
        <v>100004045</v>
      </c>
      <c r="B1429" s="3" t="s">
        <v>1234</v>
      </c>
      <c r="C1429" s="3" t="s">
        <v>1011</v>
      </c>
      <c r="D1429" s="3" t="s">
        <v>972</v>
      </c>
      <c r="E1429" s="3" t="s">
        <v>967</v>
      </c>
      <c r="F1429" s="1">
        <v>45926</v>
      </c>
      <c r="G1429" t="str">
        <f t="shared" si="23"/>
        <v>Sep -2025</v>
      </c>
      <c r="H1429" s="12"/>
    </row>
    <row r="1430" spans="1:8" x14ac:dyDescent="0.3">
      <c r="A1430" s="2">
        <v>100004048</v>
      </c>
      <c r="B1430" s="3" t="s">
        <v>1235</v>
      </c>
      <c r="C1430" s="3" t="s">
        <v>1011</v>
      </c>
      <c r="D1430" s="3" t="s">
        <v>972</v>
      </c>
      <c r="E1430" s="3" t="s">
        <v>979</v>
      </c>
      <c r="F1430" s="1">
        <v>45926</v>
      </c>
      <c r="G1430" t="str">
        <f t="shared" si="23"/>
        <v>Sep -2025</v>
      </c>
      <c r="H1430" s="12"/>
    </row>
    <row r="1431" spans="1:8" x14ac:dyDescent="0.3">
      <c r="A1431" s="2">
        <v>100004049</v>
      </c>
      <c r="B1431" s="3" t="s">
        <v>1236</v>
      </c>
      <c r="C1431" s="3" t="s">
        <v>1011</v>
      </c>
      <c r="D1431" s="3" t="s">
        <v>972</v>
      </c>
      <c r="E1431" s="3" t="s">
        <v>979</v>
      </c>
      <c r="F1431" s="1">
        <v>45926</v>
      </c>
      <c r="G1431" t="str">
        <f t="shared" si="23"/>
        <v>Sep -2025</v>
      </c>
      <c r="H1431" s="12"/>
    </row>
    <row r="1432" spans="1:8" x14ac:dyDescent="0.3">
      <c r="A1432" s="2">
        <v>100004063</v>
      </c>
      <c r="B1432" s="3" t="s">
        <v>1236</v>
      </c>
      <c r="C1432" s="3" t="s">
        <v>1011</v>
      </c>
      <c r="D1432" s="3" t="s">
        <v>972</v>
      </c>
      <c r="E1432" s="3" t="s">
        <v>979</v>
      </c>
      <c r="F1432" s="1">
        <v>45926</v>
      </c>
      <c r="G1432" t="str">
        <f t="shared" si="23"/>
        <v>Sep -2025</v>
      </c>
      <c r="H1432" s="12"/>
    </row>
    <row r="1433" spans="1:8" x14ac:dyDescent="0.3">
      <c r="A1433" s="2">
        <v>100004047</v>
      </c>
      <c r="B1433" s="3" t="s">
        <v>1237</v>
      </c>
      <c r="C1433" s="3" t="s">
        <v>1011</v>
      </c>
      <c r="D1433" s="3" t="s">
        <v>972</v>
      </c>
      <c r="E1433" s="3" t="s">
        <v>979</v>
      </c>
      <c r="F1433" s="1">
        <v>45926</v>
      </c>
      <c r="G1433" t="str">
        <f t="shared" si="23"/>
        <v>Sep -2025</v>
      </c>
      <c r="H1433" s="12"/>
    </row>
    <row r="1434" spans="1:8" x14ac:dyDescent="0.3">
      <c r="A1434" s="2">
        <v>100004060</v>
      </c>
      <c r="B1434" s="3" t="s">
        <v>1237</v>
      </c>
      <c r="C1434" s="3" t="s">
        <v>1011</v>
      </c>
      <c r="D1434" s="3" t="s">
        <v>972</v>
      </c>
      <c r="E1434" s="3" t="s">
        <v>979</v>
      </c>
      <c r="F1434" s="1">
        <v>45926</v>
      </c>
      <c r="G1434" t="str">
        <f t="shared" si="23"/>
        <v>Sep -2025</v>
      </c>
      <c r="H1434" s="12"/>
    </row>
    <row r="1435" spans="1:8" x14ac:dyDescent="0.3">
      <c r="A1435" s="2">
        <v>100004064</v>
      </c>
      <c r="B1435" s="3" t="s">
        <v>1237</v>
      </c>
      <c r="C1435" s="3" t="s">
        <v>1011</v>
      </c>
      <c r="D1435" s="3" t="s">
        <v>972</v>
      </c>
      <c r="E1435" s="3" t="s">
        <v>979</v>
      </c>
      <c r="F1435" s="1">
        <v>45926</v>
      </c>
      <c r="G1435" t="str">
        <f t="shared" si="23"/>
        <v>Sep -2025</v>
      </c>
      <c r="H1435" s="12"/>
    </row>
    <row r="1436" spans="1:8" x14ac:dyDescent="0.3">
      <c r="A1436" s="2">
        <v>100004065</v>
      </c>
      <c r="B1436" s="3" t="s">
        <v>1239</v>
      </c>
      <c r="C1436" s="3" t="s">
        <v>1011</v>
      </c>
      <c r="D1436" s="3" t="s">
        <v>972</v>
      </c>
      <c r="E1436" s="3" t="s">
        <v>979</v>
      </c>
      <c r="F1436" s="1">
        <v>45929</v>
      </c>
      <c r="G1436" t="str">
        <f t="shared" si="23"/>
        <v>Sep -2025</v>
      </c>
      <c r="H1436" s="12"/>
    </row>
    <row r="1437" spans="1:8" x14ac:dyDescent="0.3">
      <c r="A1437" s="2">
        <v>100004068</v>
      </c>
      <c r="B1437" s="3" t="s">
        <v>1240</v>
      </c>
      <c r="C1437" s="3" t="s">
        <v>1011</v>
      </c>
      <c r="D1437" s="3" t="s">
        <v>972</v>
      </c>
      <c r="E1437" s="3" t="s">
        <v>979</v>
      </c>
      <c r="F1437" s="1">
        <v>45929</v>
      </c>
      <c r="G1437" t="str">
        <f t="shared" si="23"/>
        <v>Sep -2025</v>
      </c>
      <c r="H1437" s="12"/>
    </row>
    <row r="1438" spans="1:8" x14ac:dyDescent="0.3">
      <c r="A1438" s="2">
        <v>100004118</v>
      </c>
      <c r="B1438" s="3" t="s">
        <v>1241</v>
      </c>
      <c r="C1438" s="3" t="s">
        <v>1011</v>
      </c>
      <c r="D1438" s="3" t="s">
        <v>972</v>
      </c>
      <c r="E1438" s="3" t="s">
        <v>1103</v>
      </c>
      <c r="F1438" s="1">
        <v>45929</v>
      </c>
      <c r="G1438" t="str">
        <f t="shared" si="23"/>
        <v>Sep -2025</v>
      </c>
      <c r="H1438" s="12"/>
    </row>
    <row r="1439" spans="1:8" x14ac:dyDescent="0.3">
      <c r="A1439" s="2">
        <v>100004119</v>
      </c>
      <c r="B1439" s="3" t="s">
        <v>1241</v>
      </c>
      <c r="C1439" s="3" t="s">
        <v>1011</v>
      </c>
      <c r="D1439" s="3" t="s">
        <v>972</v>
      </c>
      <c r="E1439" s="3" t="s">
        <v>1103</v>
      </c>
      <c r="F1439" s="1">
        <v>45929</v>
      </c>
      <c r="G1439" t="str">
        <f t="shared" si="23"/>
        <v>Sep -2025</v>
      </c>
      <c r="H1439" s="12"/>
    </row>
    <row r="1440" spans="1:8" x14ac:dyDescent="0.3">
      <c r="A1440" s="2">
        <v>100004076</v>
      </c>
      <c r="B1440" s="3" t="s">
        <v>1242</v>
      </c>
      <c r="C1440" s="3" t="s">
        <v>1011</v>
      </c>
      <c r="D1440" s="3" t="s">
        <v>972</v>
      </c>
      <c r="E1440" s="3" t="s">
        <v>979</v>
      </c>
      <c r="F1440" s="1">
        <v>45929</v>
      </c>
      <c r="G1440" t="str">
        <f t="shared" si="23"/>
        <v>Sep -2025</v>
      </c>
      <c r="H1440" s="12"/>
    </row>
    <row r="1441" spans="1:8" x14ac:dyDescent="0.3">
      <c r="A1441" s="2">
        <v>100004130</v>
      </c>
      <c r="B1441" s="3" t="s">
        <v>1241</v>
      </c>
      <c r="C1441" s="3" t="s">
        <v>1011</v>
      </c>
      <c r="D1441" s="3" t="s">
        <v>972</v>
      </c>
      <c r="E1441" s="3" t="s">
        <v>1103</v>
      </c>
      <c r="F1441" s="1">
        <v>45929</v>
      </c>
      <c r="G1441" t="str">
        <f t="shared" si="23"/>
        <v>Sep -2025</v>
      </c>
      <c r="H1441" s="12"/>
    </row>
    <row r="1442" spans="1:8" x14ac:dyDescent="0.3">
      <c r="A1442" s="2">
        <v>100004138</v>
      </c>
      <c r="B1442" s="3" t="s">
        <v>1243</v>
      </c>
      <c r="C1442" s="3" t="s">
        <v>1011</v>
      </c>
      <c r="D1442" s="3" t="s">
        <v>972</v>
      </c>
      <c r="E1442" s="3" t="s">
        <v>1103</v>
      </c>
      <c r="F1442" s="1">
        <v>45929</v>
      </c>
      <c r="G1442" t="str">
        <f t="shared" si="23"/>
        <v>Sep -2025</v>
      </c>
      <c r="H1442" s="12"/>
    </row>
    <row r="1443" spans="1:8" x14ac:dyDescent="0.3">
      <c r="A1443" s="2">
        <v>100004083</v>
      </c>
      <c r="B1443" s="3" t="s">
        <v>1244</v>
      </c>
      <c r="C1443" s="3" t="s">
        <v>1011</v>
      </c>
      <c r="D1443" s="3" t="s">
        <v>972</v>
      </c>
      <c r="E1443" s="3" t="s">
        <v>1238</v>
      </c>
      <c r="F1443" s="1">
        <v>45929</v>
      </c>
      <c r="G1443" t="str">
        <f t="shared" si="23"/>
        <v>Sep -2025</v>
      </c>
      <c r="H1443" s="12"/>
    </row>
    <row r="1444" spans="1:8" x14ac:dyDescent="0.3">
      <c r="A1444" s="2">
        <v>1025608</v>
      </c>
      <c r="B1444" s="3" t="s">
        <v>1245</v>
      </c>
      <c r="C1444" s="3" t="s">
        <v>1010</v>
      </c>
      <c r="D1444" s="3" t="s">
        <v>1259</v>
      </c>
      <c r="E1444" s="3" t="s">
        <v>228</v>
      </c>
      <c r="F1444" s="1">
        <v>45929</v>
      </c>
      <c r="G1444" t="str">
        <f t="shared" si="23"/>
        <v>Sep -2025</v>
      </c>
      <c r="H1444" s="12"/>
    </row>
    <row r="1445" spans="1:8" x14ac:dyDescent="0.3">
      <c r="A1445" s="2">
        <v>1031557</v>
      </c>
      <c r="B1445" s="3" t="s">
        <v>1246</v>
      </c>
      <c r="C1445" s="3" t="s">
        <v>1010</v>
      </c>
      <c r="D1445" s="3" t="s">
        <v>1259</v>
      </c>
      <c r="E1445" s="3" t="s">
        <v>228</v>
      </c>
      <c r="F1445" s="1">
        <v>45929</v>
      </c>
      <c r="G1445" t="str">
        <f t="shared" si="23"/>
        <v>Sep -2025</v>
      </c>
      <c r="H1445" s="12"/>
    </row>
    <row r="1446" spans="1:8" x14ac:dyDescent="0.3">
      <c r="A1446" s="2">
        <v>1025500</v>
      </c>
      <c r="B1446" s="3" t="s">
        <v>356</v>
      </c>
      <c r="C1446" s="3" t="s">
        <v>1010</v>
      </c>
      <c r="D1446" s="3" t="s">
        <v>209</v>
      </c>
      <c r="E1446" s="3" t="s">
        <v>357</v>
      </c>
      <c r="F1446" s="1">
        <v>45929</v>
      </c>
      <c r="G1446" t="str">
        <f t="shared" si="23"/>
        <v>Sep -2025</v>
      </c>
      <c r="H1446" s="12"/>
    </row>
    <row r="1447" spans="1:8" x14ac:dyDescent="0.3">
      <c r="A1447" s="2">
        <v>200001445</v>
      </c>
      <c r="B1447" s="3" t="s">
        <v>1222</v>
      </c>
      <c r="C1447" s="3" t="s">
        <v>1010</v>
      </c>
      <c r="D1447" s="3" t="s">
        <v>1229</v>
      </c>
      <c r="E1447" s="3" t="s">
        <v>7</v>
      </c>
      <c r="F1447" s="1">
        <v>45929</v>
      </c>
      <c r="G1447" t="str">
        <f t="shared" si="23"/>
        <v>Sep -2025</v>
      </c>
      <c r="H1447" s="12"/>
    </row>
    <row r="1448" spans="1:8" x14ac:dyDescent="0.3">
      <c r="A1448" s="2">
        <v>1031907</v>
      </c>
      <c r="B1448" s="3" t="s">
        <v>41</v>
      </c>
      <c r="C1448" s="3" t="s">
        <v>1010</v>
      </c>
      <c r="D1448" s="3" t="s">
        <v>1020</v>
      </c>
      <c r="E1448" s="3" t="s">
        <v>211</v>
      </c>
      <c r="F1448" s="1">
        <v>45929</v>
      </c>
      <c r="G1448" t="str">
        <f t="shared" si="23"/>
        <v>Sep -2025</v>
      </c>
      <c r="H1448" s="12"/>
    </row>
    <row r="1449" spans="1:8" x14ac:dyDescent="0.3">
      <c r="A1449" s="2">
        <v>1032123</v>
      </c>
      <c r="B1449" s="3" t="s">
        <v>503</v>
      </c>
      <c r="C1449" s="3" t="s">
        <v>1010</v>
      </c>
      <c r="D1449" s="3" t="s">
        <v>209</v>
      </c>
      <c r="E1449" s="3" t="s">
        <v>375</v>
      </c>
      <c r="F1449" s="1">
        <v>45929</v>
      </c>
      <c r="G1449" t="str">
        <f t="shared" si="23"/>
        <v>Sep -2025</v>
      </c>
      <c r="H1449" s="12"/>
    </row>
    <row r="1450" spans="1:8" x14ac:dyDescent="0.3">
      <c r="A1450" s="2">
        <v>200002537</v>
      </c>
      <c r="B1450" s="3" t="s">
        <v>1247</v>
      </c>
      <c r="C1450" s="3" t="s">
        <v>1010</v>
      </c>
      <c r="D1450" s="3" t="s">
        <v>192</v>
      </c>
      <c r="E1450" s="3" t="s">
        <v>216</v>
      </c>
      <c r="F1450" s="1">
        <v>45929</v>
      </c>
      <c r="G1450" t="str">
        <f t="shared" si="23"/>
        <v>Sep -2025</v>
      </c>
      <c r="H1450" s="12"/>
    </row>
    <row r="1451" spans="1:8" x14ac:dyDescent="0.3">
      <c r="A1451" s="2">
        <v>200002507</v>
      </c>
      <c r="B1451" s="3" t="s">
        <v>1248</v>
      </c>
      <c r="C1451" s="3" t="s">
        <v>1010</v>
      </c>
      <c r="D1451" s="3" t="s">
        <v>192</v>
      </c>
      <c r="E1451" s="3" t="s">
        <v>216</v>
      </c>
      <c r="F1451" s="1">
        <v>45929</v>
      </c>
      <c r="G1451" t="str">
        <f t="shared" si="23"/>
        <v>Sep -2025</v>
      </c>
      <c r="H1451" s="12"/>
    </row>
    <row r="1452" spans="1:8" x14ac:dyDescent="0.3">
      <c r="A1452" s="2">
        <v>1032907</v>
      </c>
      <c r="B1452" s="3" t="s">
        <v>1249</v>
      </c>
      <c r="C1452" s="3" t="s">
        <v>1010</v>
      </c>
      <c r="D1452" s="3" t="s">
        <v>1259</v>
      </c>
      <c r="E1452" s="3" t="s">
        <v>228</v>
      </c>
      <c r="F1452" s="1">
        <v>45930</v>
      </c>
      <c r="G1452" t="str">
        <f t="shared" si="23"/>
        <v>Sep -2025</v>
      </c>
      <c r="H1452" s="12"/>
    </row>
    <row r="1453" spans="1:8" x14ac:dyDescent="0.3">
      <c r="A1453" s="2">
        <v>200001448</v>
      </c>
      <c r="B1453" s="3" t="s">
        <v>1250</v>
      </c>
      <c r="C1453" s="3" t="s">
        <v>1010</v>
      </c>
      <c r="D1453" s="3" t="s">
        <v>1229</v>
      </c>
      <c r="E1453" s="3" t="s">
        <v>7</v>
      </c>
      <c r="F1453" s="1">
        <v>45930</v>
      </c>
      <c r="G1453" t="str">
        <f t="shared" si="23"/>
        <v>Sep -2025</v>
      </c>
      <c r="H1453" s="12"/>
    </row>
    <row r="1454" spans="1:8" x14ac:dyDescent="0.3">
      <c r="A1454" s="2">
        <v>1035204</v>
      </c>
      <c r="B1454" s="3" t="s">
        <v>1251</v>
      </c>
      <c r="C1454" s="3" t="s">
        <v>1010</v>
      </c>
      <c r="D1454" s="3" t="s">
        <v>1259</v>
      </c>
      <c r="E1454" s="3" t="s">
        <v>228</v>
      </c>
      <c r="F1454" s="1">
        <v>45930</v>
      </c>
      <c r="G1454" t="str">
        <f t="shared" si="23"/>
        <v>Sep -2025</v>
      </c>
      <c r="H1454" s="12"/>
    </row>
    <row r="1455" spans="1:8" x14ac:dyDescent="0.3">
      <c r="A1455" s="2">
        <v>1034945</v>
      </c>
      <c r="B1455" s="3" t="s">
        <v>1252</v>
      </c>
      <c r="C1455" s="3" t="s">
        <v>1010</v>
      </c>
      <c r="D1455" s="3" t="s">
        <v>364</v>
      </c>
      <c r="E1455" s="3" t="s">
        <v>15</v>
      </c>
      <c r="F1455" s="1">
        <v>45930</v>
      </c>
      <c r="G1455" t="str">
        <f t="shared" si="23"/>
        <v>Sep -2025</v>
      </c>
      <c r="H1455" s="12"/>
    </row>
    <row r="1456" spans="1:8" x14ac:dyDescent="0.3">
      <c r="A1456" s="2">
        <v>1035267</v>
      </c>
      <c r="B1456" s="3" t="s">
        <v>1253</v>
      </c>
      <c r="C1456" s="3" t="s">
        <v>1010</v>
      </c>
      <c r="D1456" s="3" t="s">
        <v>1259</v>
      </c>
      <c r="E1456" s="3" t="s">
        <v>228</v>
      </c>
      <c r="F1456" s="1">
        <v>45930</v>
      </c>
      <c r="G1456" t="str">
        <f t="shared" si="23"/>
        <v>Sep -2025</v>
      </c>
      <c r="H1456" s="12"/>
    </row>
    <row r="1457" spans="1:8" x14ac:dyDescent="0.3">
      <c r="A1457" s="2">
        <v>1035365</v>
      </c>
      <c r="B1457" s="3" t="s">
        <v>1254</v>
      </c>
      <c r="C1457" s="3" t="s">
        <v>1010</v>
      </c>
      <c r="D1457" s="3" t="s">
        <v>1259</v>
      </c>
      <c r="E1457" s="3" t="s">
        <v>228</v>
      </c>
      <c r="F1457" s="1">
        <v>45930</v>
      </c>
      <c r="G1457" t="str">
        <f t="shared" si="23"/>
        <v>Sep -2025</v>
      </c>
      <c r="H1457" s="12"/>
    </row>
    <row r="1458" spans="1:8" x14ac:dyDescent="0.3">
      <c r="A1458" s="2">
        <v>1035771</v>
      </c>
      <c r="B1458" s="3" t="s">
        <v>1255</v>
      </c>
      <c r="C1458" s="3" t="s">
        <v>1010</v>
      </c>
      <c r="D1458" s="3" t="s">
        <v>1172</v>
      </c>
      <c r="E1458" s="3" t="s">
        <v>210</v>
      </c>
      <c r="F1458" s="1">
        <v>45930</v>
      </c>
      <c r="G1458" t="str">
        <f t="shared" si="23"/>
        <v>Sep -2025</v>
      </c>
      <c r="H1458" s="12"/>
    </row>
    <row r="1459" spans="1:8" x14ac:dyDescent="0.3">
      <c r="A1459" s="2">
        <v>1035261</v>
      </c>
      <c r="B1459" s="3" t="s">
        <v>1256</v>
      </c>
      <c r="C1459" s="3" t="s">
        <v>1010</v>
      </c>
      <c r="D1459" s="3" t="s">
        <v>1259</v>
      </c>
      <c r="E1459" s="3" t="s">
        <v>228</v>
      </c>
      <c r="F1459" s="1">
        <v>45930</v>
      </c>
      <c r="G1459" t="str">
        <f t="shared" si="23"/>
        <v>Sep -2025</v>
      </c>
      <c r="H1459" s="12"/>
    </row>
    <row r="1460" spans="1:8" x14ac:dyDescent="0.3">
      <c r="A1460" s="2">
        <v>1035514</v>
      </c>
      <c r="B1460" s="3" t="s">
        <v>1257</v>
      </c>
      <c r="C1460" s="3" t="s">
        <v>1010</v>
      </c>
      <c r="D1460" s="3" t="s">
        <v>227</v>
      </c>
      <c r="E1460" s="3" t="s">
        <v>228</v>
      </c>
      <c r="F1460" s="1">
        <v>45930</v>
      </c>
      <c r="G1460" t="str">
        <f t="shared" si="23"/>
        <v>Sep -2025</v>
      </c>
      <c r="H1460" s="12"/>
    </row>
    <row r="1461" spans="1:8" x14ac:dyDescent="0.3">
      <c r="A1461" s="2">
        <v>1035613</v>
      </c>
      <c r="B1461" s="3" t="s">
        <v>1257</v>
      </c>
      <c r="C1461" s="3" t="s">
        <v>1010</v>
      </c>
      <c r="D1461" s="3" t="s">
        <v>227</v>
      </c>
      <c r="E1461" s="3" t="s">
        <v>228</v>
      </c>
      <c r="F1461" s="1">
        <v>45930</v>
      </c>
      <c r="G1461" t="str">
        <f t="shared" si="23"/>
        <v>Sep -2025</v>
      </c>
      <c r="H1461" s="12"/>
    </row>
    <row r="1462" spans="1:8" x14ac:dyDescent="0.3">
      <c r="A1462" s="2">
        <v>1035641</v>
      </c>
      <c r="B1462" s="3" t="s">
        <v>1258</v>
      </c>
      <c r="C1462" s="3" t="s">
        <v>1010</v>
      </c>
      <c r="D1462" s="3" t="s">
        <v>227</v>
      </c>
      <c r="E1462" s="3" t="s">
        <v>228</v>
      </c>
      <c r="F1462" s="1">
        <v>45930</v>
      </c>
      <c r="G1462" t="str">
        <f t="shared" si="23"/>
        <v>Sep -2025</v>
      </c>
      <c r="H1462" s="12"/>
    </row>
    <row r="1463" spans="1:8" x14ac:dyDescent="0.3">
      <c r="A1463" s="2">
        <v>100003913</v>
      </c>
      <c r="B1463" s="3" t="s">
        <v>1260</v>
      </c>
      <c r="C1463" s="3" t="s">
        <v>1011</v>
      </c>
      <c r="D1463" s="3" t="s">
        <v>972</v>
      </c>
      <c r="E1463" s="3" t="s">
        <v>976</v>
      </c>
      <c r="F1463" s="1">
        <v>45930</v>
      </c>
      <c r="G1463" t="str">
        <f t="shared" si="23"/>
        <v>Sep -2025</v>
      </c>
      <c r="H1463" s="12"/>
    </row>
    <row r="1464" spans="1:8" x14ac:dyDescent="0.3">
      <c r="A1464" s="2">
        <v>100004083</v>
      </c>
      <c r="B1464" s="3" t="s">
        <v>1244</v>
      </c>
      <c r="C1464" s="3" t="s">
        <v>1011</v>
      </c>
      <c r="D1464" s="3" t="s">
        <v>972</v>
      </c>
      <c r="E1464" s="3" t="s">
        <v>1238</v>
      </c>
      <c r="F1464" s="1">
        <v>45930</v>
      </c>
      <c r="G1464" t="str">
        <f t="shared" si="23"/>
        <v>Sep -2025</v>
      </c>
      <c r="H1464" s="12"/>
    </row>
    <row r="1465" spans="1:8" x14ac:dyDescent="0.3">
      <c r="A1465" s="2">
        <v>100003308</v>
      </c>
      <c r="B1465" s="3" t="s">
        <v>1022</v>
      </c>
      <c r="C1465" s="3" t="s">
        <v>1011</v>
      </c>
      <c r="D1465" s="3" t="s">
        <v>972</v>
      </c>
      <c r="E1465" s="3" t="s">
        <v>981</v>
      </c>
      <c r="F1465" s="1">
        <v>45930</v>
      </c>
      <c r="G1465" t="str">
        <f t="shared" si="23"/>
        <v>Sep -2025</v>
      </c>
      <c r="H1465" s="12"/>
    </row>
    <row r="1466" spans="1:8" x14ac:dyDescent="0.3">
      <c r="A1466" s="2">
        <v>100004100</v>
      </c>
      <c r="B1466" s="3" t="s">
        <v>1261</v>
      </c>
      <c r="C1466" s="3" t="s">
        <v>1011</v>
      </c>
      <c r="D1466" s="3" t="s">
        <v>972</v>
      </c>
      <c r="E1466" s="3" t="s">
        <v>979</v>
      </c>
      <c r="F1466" s="1">
        <v>45931</v>
      </c>
      <c r="G1466" t="str">
        <f t="shared" si="23"/>
        <v>Oct -2025</v>
      </c>
      <c r="H1466" s="12"/>
    </row>
    <row r="1467" spans="1:8" x14ac:dyDescent="0.3">
      <c r="A1467" s="2">
        <v>100003844</v>
      </c>
      <c r="B1467" s="3" t="s">
        <v>1262</v>
      </c>
      <c r="C1467" s="3" t="s">
        <v>1011</v>
      </c>
      <c r="D1467" s="3" t="s">
        <v>972</v>
      </c>
      <c r="E1467" s="3" t="s">
        <v>979</v>
      </c>
      <c r="F1467" s="1">
        <v>45931</v>
      </c>
      <c r="G1467" t="str">
        <f t="shared" si="23"/>
        <v>Oct -2025</v>
      </c>
      <c r="H1467" s="12"/>
    </row>
    <row r="1468" spans="1:8" x14ac:dyDescent="0.3">
      <c r="A1468" s="2">
        <v>100004105</v>
      </c>
      <c r="B1468" s="3" t="s">
        <v>1263</v>
      </c>
      <c r="C1468" s="3" t="s">
        <v>1011</v>
      </c>
      <c r="D1468" s="3" t="s">
        <v>972</v>
      </c>
      <c r="E1468" s="3" t="s">
        <v>979</v>
      </c>
      <c r="F1468" s="1">
        <v>45931</v>
      </c>
      <c r="G1468" t="str">
        <f t="shared" si="23"/>
        <v>Oct -2025</v>
      </c>
      <c r="H1468" s="12"/>
    </row>
    <row r="1469" spans="1:8" x14ac:dyDescent="0.3">
      <c r="A1469" s="2">
        <v>100004101</v>
      </c>
      <c r="B1469" s="3" t="s">
        <v>1264</v>
      </c>
      <c r="C1469" s="3" t="s">
        <v>1011</v>
      </c>
      <c r="D1469" s="3" t="s">
        <v>972</v>
      </c>
      <c r="E1469" s="3" t="s">
        <v>979</v>
      </c>
      <c r="F1469" s="1">
        <v>45931</v>
      </c>
      <c r="G1469" t="str">
        <f t="shared" si="23"/>
        <v>Oct -2025</v>
      </c>
      <c r="H1469" s="12"/>
    </row>
    <row r="1470" spans="1:8" x14ac:dyDescent="0.3">
      <c r="A1470" s="2">
        <v>100004106</v>
      </c>
      <c r="B1470" s="3" t="s">
        <v>1265</v>
      </c>
      <c r="C1470" s="3" t="s">
        <v>1011</v>
      </c>
      <c r="D1470" s="3" t="s">
        <v>972</v>
      </c>
      <c r="E1470" s="3" t="s">
        <v>979</v>
      </c>
      <c r="F1470" s="1">
        <v>45931</v>
      </c>
      <c r="G1470" t="str">
        <f t="shared" si="23"/>
        <v>Oct -2025</v>
      </c>
      <c r="H1470" s="12"/>
    </row>
    <row r="1471" spans="1:8" x14ac:dyDescent="0.3">
      <c r="A1471" s="2">
        <v>100004109</v>
      </c>
      <c r="B1471" s="3" t="s">
        <v>1266</v>
      </c>
      <c r="C1471" s="3" t="s">
        <v>1011</v>
      </c>
      <c r="D1471" s="3" t="s">
        <v>972</v>
      </c>
      <c r="E1471" s="3" t="s">
        <v>979</v>
      </c>
      <c r="F1471" s="1">
        <v>45931</v>
      </c>
      <c r="G1471" t="str">
        <f t="shared" si="23"/>
        <v>Oct -2025</v>
      </c>
      <c r="H1471" s="12"/>
    </row>
    <row r="1472" spans="1:8" x14ac:dyDescent="0.3">
      <c r="A1472" s="2">
        <v>100004110</v>
      </c>
      <c r="B1472" s="3" t="s">
        <v>1267</v>
      </c>
      <c r="C1472" s="3" t="s">
        <v>1011</v>
      </c>
      <c r="D1472" s="3" t="s">
        <v>972</v>
      </c>
      <c r="E1472" s="3" t="s">
        <v>979</v>
      </c>
      <c r="F1472" s="1">
        <v>45931</v>
      </c>
      <c r="G1472" t="str">
        <f t="shared" si="23"/>
        <v>Oct -2025</v>
      </c>
      <c r="H1472" s="12"/>
    </row>
    <row r="1473" spans="1:8" x14ac:dyDescent="0.3">
      <c r="A1473" s="2">
        <v>200001452</v>
      </c>
      <c r="B1473" s="3" t="s">
        <v>1250</v>
      </c>
      <c r="C1473" s="3" t="s">
        <v>1010</v>
      </c>
      <c r="D1473" s="3" t="s">
        <v>1229</v>
      </c>
      <c r="E1473" s="3" t="s">
        <v>7</v>
      </c>
      <c r="F1473" s="1">
        <v>45931</v>
      </c>
      <c r="G1473" t="str">
        <f t="shared" si="23"/>
        <v>Oct -2025</v>
      </c>
      <c r="H1473" s="12"/>
    </row>
    <row r="1474" spans="1:8" x14ac:dyDescent="0.3">
      <c r="A1474" s="2">
        <v>1035527</v>
      </c>
      <c r="B1474" s="3" t="s">
        <v>1258</v>
      </c>
      <c r="C1474" s="3" t="s">
        <v>1010</v>
      </c>
      <c r="D1474" s="3" t="s">
        <v>227</v>
      </c>
      <c r="E1474" s="3" t="s">
        <v>228</v>
      </c>
      <c r="F1474" s="1">
        <v>45931</v>
      </c>
      <c r="G1474" t="str">
        <f t="shared" ref="G1474:G1537" si="24">TEXT(F1474,"mmm -YYYY")</f>
        <v>Oct -2025</v>
      </c>
      <c r="H1474" s="12"/>
    </row>
    <row r="1475" spans="1:8" x14ac:dyDescent="0.3">
      <c r="A1475" s="2">
        <v>1035698</v>
      </c>
      <c r="B1475" s="3" t="s">
        <v>1268</v>
      </c>
      <c r="C1475" s="3" t="s">
        <v>1010</v>
      </c>
      <c r="D1475" s="3" t="s">
        <v>227</v>
      </c>
      <c r="E1475" s="3" t="s">
        <v>228</v>
      </c>
      <c r="F1475" s="1">
        <v>45931</v>
      </c>
      <c r="G1475" t="str">
        <f t="shared" si="24"/>
        <v>Oct -2025</v>
      </c>
      <c r="H1475" s="12"/>
    </row>
    <row r="1476" spans="1:8" x14ac:dyDescent="0.3">
      <c r="A1476" s="2">
        <v>1035605</v>
      </c>
      <c r="B1476" s="3" t="s">
        <v>1268</v>
      </c>
      <c r="C1476" s="3" t="s">
        <v>1010</v>
      </c>
      <c r="D1476" s="3" t="s">
        <v>227</v>
      </c>
      <c r="E1476" s="3" t="s">
        <v>228</v>
      </c>
      <c r="F1476" s="1">
        <v>45931</v>
      </c>
      <c r="G1476" t="str">
        <f t="shared" si="24"/>
        <v>Oct -2025</v>
      </c>
      <c r="H1476" s="12"/>
    </row>
    <row r="1477" spans="1:8" x14ac:dyDescent="0.3">
      <c r="A1477" s="2">
        <v>1037464</v>
      </c>
      <c r="B1477" s="3" t="s">
        <v>1269</v>
      </c>
      <c r="C1477" s="3" t="s">
        <v>1010</v>
      </c>
      <c r="D1477" s="3" t="s">
        <v>1259</v>
      </c>
      <c r="E1477" s="3" t="s">
        <v>228</v>
      </c>
      <c r="F1477" s="1">
        <v>45931</v>
      </c>
      <c r="G1477" t="str">
        <f t="shared" si="24"/>
        <v>Oct -2025</v>
      </c>
      <c r="H1477" s="12"/>
    </row>
    <row r="1478" spans="1:8" x14ac:dyDescent="0.3">
      <c r="A1478" s="2">
        <v>1035515</v>
      </c>
      <c r="B1478" s="3" t="s">
        <v>1270</v>
      </c>
      <c r="C1478" s="3" t="s">
        <v>1010</v>
      </c>
      <c r="D1478" s="3" t="s">
        <v>364</v>
      </c>
      <c r="E1478" s="3" t="s">
        <v>15</v>
      </c>
      <c r="F1478" s="1">
        <v>45931</v>
      </c>
      <c r="G1478" t="str">
        <f t="shared" si="24"/>
        <v>Oct -2025</v>
      </c>
      <c r="H1478" s="12"/>
    </row>
    <row r="1479" spans="1:8" x14ac:dyDescent="0.3">
      <c r="A1479" s="2">
        <v>1038137</v>
      </c>
      <c r="B1479" s="3" t="s">
        <v>1271</v>
      </c>
      <c r="C1479" s="3" t="s">
        <v>1010</v>
      </c>
      <c r="D1479" s="3" t="s">
        <v>209</v>
      </c>
      <c r="E1479" s="3" t="s">
        <v>210</v>
      </c>
      <c r="F1479" s="1">
        <v>45931</v>
      </c>
      <c r="G1479" t="str">
        <f t="shared" si="24"/>
        <v>Oct -2025</v>
      </c>
      <c r="H1479" s="12"/>
    </row>
    <row r="1480" spans="1:8" x14ac:dyDescent="0.3">
      <c r="A1480" s="2">
        <v>900004631</v>
      </c>
      <c r="B1480" s="3" t="s">
        <v>1272</v>
      </c>
      <c r="C1480" s="3" t="s">
        <v>1010</v>
      </c>
      <c r="D1480" s="3" t="s">
        <v>209</v>
      </c>
      <c r="E1480" s="3" t="s">
        <v>322</v>
      </c>
      <c r="F1480" s="1">
        <v>45931</v>
      </c>
      <c r="G1480" t="str">
        <f t="shared" si="24"/>
        <v>Oct -2025</v>
      </c>
      <c r="H1480" s="12"/>
    </row>
    <row r="1481" spans="1:8" x14ac:dyDescent="0.3">
      <c r="A1481" s="2">
        <v>1035641</v>
      </c>
      <c r="B1481" s="3" t="s">
        <v>1258</v>
      </c>
      <c r="C1481" s="3" t="s">
        <v>1010</v>
      </c>
      <c r="D1481" s="3" t="s">
        <v>227</v>
      </c>
      <c r="E1481" s="3" t="s">
        <v>228</v>
      </c>
      <c r="F1481" s="1">
        <v>45931</v>
      </c>
      <c r="G1481" t="str">
        <f t="shared" si="24"/>
        <v>Oct -2025</v>
      </c>
      <c r="H1481" s="12"/>
    </row>
    <row r="1482" spans="1:8" x14ac:dyDescent="0.3">
      <c r="A1482" s="2">
        <v>1038120</v>
      </c>
      <c r="B1482" s="3" t="s">
        <v>1273</v>
      </c>
      <c r="C1482" s="3" t="s">
        <v>1010</v>
      </c>
      <c r="D1482" s="3" t="s">
        <v>1259</v>
      </c>
      <c r="E1482" s="3" t="s">
        <v>228</v>
      </c>
      <c r="F1482" s="1">
        <v>45931</v>
      </c>
      <c r="G1482" t="str">
        <f t="shared" si="24"/>
        <v>Oct -2025</v>
      </c>
      <c r="H1482" s="12"/>
    </row>
    <row r="1483" spans="1:8" x14ac:dyDescent="0.3">
      <c r="A1483" s="2">
        <v>1024889</v>
      </c>
      <c r="B1483" s="3" t="s">
        <v>53</v>
      </c>
      <c r="C1483" s="3" t="s">
        <v>1010</v>
      </c>
      <c r="D1483" s="3" t="s">
        <v>1020</v>
      </c>
      <c r="E1483" s="3" t="s">
        <v>268</v>
      </c>
      <c r="F1483" s="1">
        <v>45931</v>
      </c>
      <c r="G1483" t="str">
        <f t="shared" si="24"/>
        <v>Oct -2025</v>
      </c>
      <c r="H1483" s="12"/>
    </row>
    <row r="1484" spans="1:8" x14ac:dyDescent="0.3">
      <c r="A1484" s="2">
        <v>1036088</v>
      </c>
      <c r="B1484" s="3" t="s">
        <v>1274</v>
      </c>
      <c r="C1484" s="3" t="s">
        <v>1010</v>
      </c>
      <c r="D1484" s="3" t="s">
        <v>209</v>
      </c>
      <c r="E1484" s="3" t="s">
        <v>375</v>
      </c>
      <c r="F1484" s="1">
        <v>45931</v>
      </c>
      <c r="G1484" t="str">
        <f t="shared" si="24"/>
        <v>Oct -2025</v>
      </c>
      <c r="H1484" s="12"/>
    </row>
    <row r="1485" spans="1:8" x14ac:dyDescent="0.3">
      <c r="A1485" s="2">
        <v>1036090</v>
      </c>
      <c r="B1485" s="3" t="s">
        <v>1274</v>
      </c>
      <c r="C1485" s="3" t="s">
        <v>1010</v>
      </c>
      <c r="D1485" s="3" t="s">
        <v>209</v>
      </c>
      <c r="E1485" s="3" t="s">
        <v>375</v>
      </c>
      <c r="F1485" s="1">
        <v>45931</v>
      </c>
      <c r="G1485" t="str">
        <f t="shared" si="24"/>
        <v>Oct -2025</v>
      </c>
      <c r="H1485" s="12"/>
    </row>
    <row r="1486" spans="1:8" x14ac:dyDescent="0.3">
      <c r="A1486" s="2">
        <v>1035785</v>
      </c>
      <c r="B1486" s="3" t="s">
        <v>1275</v>
      </c>
      <c r="C1486" s="3" t="s">
        <v>1010</v>
      </c>
      <c r="D1486" s="3" t="s">
        <v>227</v>
      </c>
      <c r="E1486" s="3" t="s">
        <v>228</v>
      </c>
      <c r="F1486" s="1">
        <v>45931</v>
      </c>
      <c r="G1486" t="str">
        <f t="shared" si="24"/>
        <v>Oct -2025</v>
      </c>
      <c r="H1486" s="12"/>
    </row>
    <row r="1487" spans="1:8" x14ac:dyDescent="0.3">
      <c r="A1487" s="2">
        <v>1035740</v>
      </c>
      <c r="B1487" s="3" t="s">
        <v>1276</v>
      </c>
      <c r="C1487" s="3" t="s">
        <v>1010</v>
      </c>
      <c r="D1487" s="3" t="s">
        <v>227</v>
      </c>
      <c r="E1487" s="3" t="s">
        <v>228</v>
      </c>
      <c r="F1487" s="1">
        <v>45931</v>
      </c>
      <c r="G1487" t="str">
        <f t="shared" si="24"/>
        <v>Oct -2025</v>
      </c>
      <c r="H1487" s="12"/>
    </row>
    <row r="1488" spans="1:8" x14ac:dyDescent="0.3">
      <c r="A1488" s="2">
        <v>1032165</v>
      </c>
      <c r="B1488" s="3" t="s">
        <v>53</v>
      </c>
      <c r="C1488" s="3" t="s">
        <v>1010</v>
      </c>
      <c r="D1488" s="3" t="s">
        <v>1020</v>
      </c>
      <c r="E1488" s="3" t="s">
        <v>268</v>
      </c>
      <c r="F1488" s="1">
        <v>45931</v>
      </c>
      <c r="G1488" t="str">
        <f t="shared" si="24"/>
        <v>Oct -2025</v>
      </c>
      <c r="H1488" s="12"/>
    </row>
    <row r="1489" spans="1:8" x14ac:dyDescent="0.3">
      <c r="A1489" s="2">
        <v>1032604</v>
      </c>
      <c r="B1489" s="3" t="s">
        <v>47</v>
      </c>
      <c r="C1489" s="3" t="s">
        <v>1010</v>
      </c>
      <c r="D1489" s="3" t="s">
        <v>1020</v>
      </c>
      <c r="E1489" s="3" t="s">
        <v>211</v>
      </c>
      <c r="F1489" s="1">
        <v>45931</v>
      </c>
      <c r="G1489" t="str">
        <f t="shared" si="24"/>
        <v>Oct -2025</v>
      </c>
      <c r="H1489" s="12"/>
    </row>
    <row r="1490" spans="1:8" x14ac:dyDescent="0.3">
      <c r="A1490" s="2">
        <v>1032635</v>
      </c>
      <c r="B1490" s="3" t="s">
        <v>47</v>
      </c>
      <c r="C1490" s="3" t="s">
        <v>1010</v>
      </c>
      <c r="D1490" s="3" t="s">
        <v>1020</v>
      </c>
      <c r="E1490" s="3" t="s">
        <v>211</v>
      </c>
      <c r="F1490" s="1">
        <v>45931</v>
      </c>
      <c r="G1490" t="str">
        <f t="shared" si="24"/>
        <v>Oct -2025</v>
      </c>
      <c r="H1490" s="12"/>
    </row>
    <row r="1491" spans="1:8" x14ac:dyDescent="0.3">
      <c r="A1491" s="2">
        <v>1032642</v>
      </c>
      <c r="B1491" s="3" t="s">
        <v>47</v>
      </c>
      <c r="C1491" s="3" t="s">
        <v>1010</v>
      </c>
      <c r="D1491" s="3" t="s">
        <v>1020</v>
      </c>
      <c r="E1491" s="3" t="s">
        <v>211</v>
      </c>
      <c r="F1491" s="1">
        <v>45931</v>
      </c>
      <c r="G1491" t="str">
        <f t="shared" si="24"/>
        <v>Oct -2025</v>
      </c>
      <c r="H1491" s="12"/>
    </row>
    <row r="1492" spans="1:8" x14ac:dyDescent="0.3">
      <c r="A1492" s="2">
        <v>1032643</v>
      </c>
      <c r="B1492" s="3" t="s">
        <v>47</v>
      </c>
      <c r="C1492" s="3" t="s">
        <v>1010</v>
      </c>
      <c r="D1492" s="3" t="s">
        <v>1020</v>
      </c>
      <c r="E1492" s="3" t="s">
        <v>211</v>
      </c>
      <c r="F1492" s="1">
        <v>45931</v>
      </c>
      <c r="G1492" t="str">
        <f t="shared" si="24"/>
        <v>Oct -2025</v>
      </c>
      <c r="H1492" s="12"/>
    </row>
    <row r="1493" spans="1:8" x14ac:dyDescent="0.3">
      <c r="A1493" s="2">
        <v>1032646</v>
      </c>
      <c r="B1493" s="3" t="s">
        <v>47</v>
      </c>
      <c r="C1493" s="3" t="s">
        <v>1010</v>
      </c>
      <c r="D1493" s="3" t="s">
        <v>1020</v>
      </c>
      <c r="E1493" s="3" t="s">
        <v>211</v>
      </c>
      <c r="F1493" s="1">
        <v>45932</v>
      </c>
      <c r="G1493" t="str">
        <f t="shared" si="24"/>
        <v>Oct -2025</v>
      </c>
      <c r="H1493" s="12"/>
    </row>
    <row r="1494" spans="1:8" x14ac:dyDescent="0.3">
      <c r="A1494" s="2">
        <v>1032674</v>
      </c>
      <c r="B1494" s="3" t="s">
        <v>47</v>
      </c>
      <c r="C1494" s="3" t="s">
        <v>1010</v>
      </c>
      <c r="D1494" s="3" t="s">
        <v>1020</v>
      </c>
      <c r="E1494" s="3" t="s">
        <v>211</v>
      </c>
      <c r="F1494" s="1">
        <v>45932</v>
      </c>
      <c r="G1494" t="str">
        <f t="shared" si="24"/>
        <v>Oct -2025</v>
      </c>
      <c r="H1494" s="12"/>
    </row>
    <row r="1495" spans="1:8" x14ac:dyDescent="0.3">
      <c r="A1495" s="2">
        <v>1032676</v>
      </c>
      <c r="B1495" s="3" t="s">
        <v>47</v>
      </c>
      <c r="C1495" s="3" t="s">
        <v>1010</v>
      </c>
      <c r="D1495" s="3" t="s">
        <v>1020</v>
      </c>
      <c r="E1495" s="3" t="s">
        <v>211</v>
      </c>
      <c r="F1495" s="1">
        <v>45932</v>
      </c>
      <c r="G1495" t="str">
        <f t="shared" si="24"/>
        <v>Oct -2025</v>
      </c>
      <c r="H1495" s="12"/>
    </row>
    <row r="1496" spans="1:8" x14ac:dyDescent="0.3">
      <c r="A1496" s="2">
        <v>200001445</v>
      </c>
      <c r="B1496" s="3" t="s">
        <v>1278</v>
      </c>
      <c r="C1496" s="3" t="s">
        <v>1010</v>
      </c>
      <c r="D1496" s="3" t="s">
        <v>1229</v>
      </c>
      <c r="E1496" s="3" t="s">
        <v>7</v>
      </c>
      <c r="F1496" s="1">
        <v>45932</v>
      </c>
      <c r="G1496" t="str">
        <f t="shared" si="24"/>
        <v>Oct -2025</v>
      </c>
      <c r="H1496" s="12"/>
    </row>
    <row r="1497" spans="1:8" x14ac:dyDescent="0.3">
      <c r="A1497" s="2">
        <v>200001448</v>
      </c>
      <c r="B1497" s="3" t="s">
        <v>1278</v>
      </c>
      <c r="C1497" s="3" t="s">
        <v>1010</v>
      </c>
      <c r="D1497" s="3" t="s">
        <v>1229</v>
      </c>
      <c r="E1497" s="3" t="s">
        <v>7</v>
      </c>
      <c r="F1497" s="1">
        <v>45932</v>
      </c>
      <c r="G1497" t="str">
        <f t="shared" si="24"/>
        <v>Oct -2025</v>
      </c>
      <c r="H1497" s="12"/>
    </row>
    <row r="1498" spans="1:8" x14ac:dyDescent="0.3">
      <c r="A1498" s="2">
        <v>900004712</v>
      </c>
      <c r="B1498" s="3" t="s">
        <v>321</v>
      </c>
      <c r="C1498" s="3" t="s">
        <v>1010</v>
      </c>
      <c r="D1498" s="3" t="s">
        <v>1283</v>
      </c>
      <c r="E1498" s="3" t="s">
        <v>322</v>
      </c>
      <c r="F1498" s="1">
        <v>45932</v>
      </c>
      <c r="G1498" t="str">
        <f t="shared" si="24"/>
        <v>Oct -2025</v>
      </c>
      <c r="H1498" s="12"/>
    </row>
    <row r="1499" spans="1:8" x14ac:dyDescent="0.3">
      <c r="A1499" s="2">
        <v>1040978</v>
      </c>
      <c r="B1499" s="3" t="s">
        <v>1279</v>
      </c>
      <c r="C1499" s="3" t="s">
        <v>1010</v>
      </c>
      <c r="D1499" s="3" t="s">
        <v>364</v>
      </c>
      <c r="E1499" s="3" t="s">
        <v>15</v>
      </c>
      <c r="F1499" s="1">
        <v>45932</v>
      </c>
      <c r="G1499" t="str">
        <f t="shared" si="24"/>
        <v>Oct -2025</v>
      </c>
      <c r="H1499" s="12"/>
    </row>
    <row r="1500" spans="1:8" x14ac:dyDescent="0.3">
      <c r="A1500" s="2">
        <v>1041568</v>
      </c>
      <c r="B1500" s="3" t="s">
        <v>1280</v>
      </c>
      <c r="C1500" s="3" t="s">
        <v>1010</v>
      </c>
      <c r="D1500" s="3" t="s">
        <v>209</v>
      </c>
      <c r="E1500" s="3" t="s">
        <v>210</v>
      </c>
      <c r="F1500" s="1">
        <v>45932</v>
      </c>
      <c r="G1500" t="str">
        <f t="shared" si="24"/>
        <v>Oct -2025</v>
      </c>
      <c r="H1500" s="12"/>
    </row>
    <row r="1501" spans="1:8" x14ac:dyDescent="0.3">
      <c r="A1501" s="2">
        <v>1041130</v>
      </c>
      <c r="B1501" s="3" t="s">
        <v>1281</v>
      </c>
      <c r="C1501" s="3" t="s">
        <v>1010</v>
      </c>
      <c r="D1501" s="3" t="s">
        <v>1259</v>
      </c>
      <c r="E1501" s="3" t="s">
        <v>228</v>
      </c>
      <c r="F1501" s="1">
        <v>45932</v>
      </c>
      <c r="G1501" t="str">
        <f t="shared" si="24"/>
        <v>Oct -2025</v>
      </c>
      <c r="H1501" s="12"/>
    </row>
    <row r="1502" spans="1:8" x14ac:dyDescent="0.3">
      <c r="A1502" s="2">
        <v>900004631</v>
      </c>
      <c r="B1502" s="3" t="s">
        <v>1272</v>
      </c>
      <c r="C1502" s="3" t="s">
        <v>1010</v>
      </c>
      <c r="D1502" s="3" t="s">
        <v>209</v>
      </c>
      <c r="E1502" s="3" t="s">
        <v>322</v>
      </c>
      <c r="F1502" s="1">
        <v>45932</v>
      </c>
      <c r="G1502" t="str">
        <f t="shared" si="24"/>
        <v>Oct -2025</v>
      </c>
      <c r="H1502" s="12"/>
    </row>
    <row r="1503" spans="1:8" x14ac:dyDescent="0.3">
      <c r="A1503" s="2">
        <v>1041569</v>
      </c>
      <c r="B1503" s="3" t="s">
        <v>1282</v>
      </c>
      <c r="C1503" s="3" t="s">
        <v>1010</v>
      </c>
      <c r="D1503" s="3" t="s">
        <v>209</v>
      </c>
      <c r="E1503" s="3" t="s">
        <v>228</v>
      </c>
      <c r="F1503" s="1">
        <v>45932</v>
      </c>
      <c r="G1503" t="str">
        <f t="shared" si="24"/>
        <v>Oct -2025</v>
      </c>
      <c r="H1503" s="12"/>
    </row>
    <row r="1504" spans="1:8" x14ac:dyDescent="0.3">
      <c r="A1504" s="2">
        <v>1041570</v>
      </c>
      <c r="B1504" s="3" t="s">
        <v>1282</v>
      </c>
      <c r="C1504" s="3" t="s">
        <v>1010</v>
      </c>
      <c r="D1504" s="3" t="s">
        <v>209</v>
      </c>
      <c r="E1504" s="3" t="s">
        <v>228</v>
      </c>
      <c r="F1504" s="1">
        <v>45932</v>
      </c>
      <c r="G1504" t="str">
        <f t="shared" si="24"/>
        <v>Oct -2025</v>
      </c>
      <c r="H1504" s="12"/>
    </row>
    <row r="1505" spans="1:8" x14ac:dyDescent="0.3">
      <c r="A1505" s="2">
        <v>100004117</v>
      </c>
      <c r="B1505" s="3" t="s">
        <v>1284</v>
      </c>
      <c r="C1505" s="3" t="s">
        <v>1011</v>
      </c>
      <c r="D1505" s="3" t="s">
        <v>972</v>
      </c>
      <c r="E1505" s="3" t="s">
        <v>979</v>
      </c>
      <c r="F1505" s="1">
        <v>45932</v>
      </c>
      <c r="G1505" t="str">
        <f t="shared" si="24"/>
        <v>Oct -2025</v>
      </c>
      <c r="H1505" s="12"/>
    </row>
    <row r="1506" spans="1:8" x14ac:dyDescent="0.3">
      <c r="A1506" s="2">
        <v>100004114</v>
      </c>
      <c r="B1506" s="3" t="s">
        <v>1285</v>
      </c>
      <c r="C1506" s="3" t="s">
        <v>1011</v>
      </c>
      <c r="D1506" s="3" t="s">
        <v>972</v>
      </c>
      <c r="E1506" s="3" t="s">
        <v>979</v>
      </c>
      <c r="F1506" s="1">
        <v>45932</v>
      </c>
      <c r="G1506" t="str">
        <f t="shared" si="24"/>
        <v>Oct -2025</v>
      </c>
      <c r="H1506" s="12"/>
    </row>
    <row r="1507" spans="1:8" x14ac:dyDescent="0.3">
      <c r="A1507" s="2">
        <v>100004105</v>
      </c>
      <c r="B1507" s="3" t="s">
        <v>1263</v>
      </c>
      <c r="C1507" s="3" t="s">
        <v>1011</v>
      </c>
      <c r="D1507" s="3" t="s">
        <v>972</v>
      </c>
      <c r="E1507" s="3" t="s">
        <v>979</v>
      </c>
      <c r="F1507" s="1">
        <v>45932</v>
      </c>
      <c r="G1507" t="str">
        <f t="shared" si="24"/>
        <v>Oct -2025</v>
      </c>
      <c r="H1507" s="12"/>
    </row>
    <row r="1508" spans="1:8" x14ac:dyDescent="0.3">
      <c r="A1508" s="2">
        <v>100004055</v>
      </c>
      <c r="B1508" s="3" t="s">
        <v>1286</v>
      </c>
      <c r="C1508" s="3" t="s">
        <v>1011</v>
      </c>
      <c r="D1508" s="3" t="s">
        <v>972</v>
      </c>
      <c r="E1508" s="3" t="s">
        <v>976</v>
      </c>
      <c r="F1508" s="1">
        <v>45932</v>
      </c>
      <c r="G1508" t="str">
        <f t="shared" si="24"/>
        <v>Oct -2025</v>
      </c>
      <c r="H1508" s="12"/>
    </row>
    <row r="1509" spans="1:8" x14ac:dyDescent="0.3">
      <c r="A1509" s="2">
        <v>100004031</v>
      </c>
      <c r="B1509" s="3" t="s">
        <v>1287</v>
      </c>
      <c r="C1509" s="3" t="s">
        <v>1011</v>
      </c>
      <c r="D1509" s="3" t="s">
        <v>972</v>
      </c>
      <c r="E1509" s="3" t="s">
        <v>970</v>
      </c>
      <c r="F1509" s="1">
        <v>45932</v>
      </c>
      <c r="G1509" t="str">
        <f t="shared" si="24"/>
        <v>Oct -2025</v>
      </c>
      <c r="H1509" s="12"/>
    </row>
    <row r="1510" spans="1:8" x14ac:dyDescent="0.3">
      <c r="A1510" s="2">
        <v>100004136</v>
      </c>
      <c r="B1510" s="3" t="s">
        <v>1288</v>
      </c>
      <c r="C1510" s="3" t="s">
        <v>1011</v>
      </c>
      <c r="D1510" s="3" t="s">
        <v>972</v>
      </c>
      <c r="E1510" s="3" t="s">
        <v>970</v>
      </c>
      <c r="F1510" s="1">
        <v>45932</v>
      </c>
      <c r="G1510" t="str">
        <f t="shared" si="24"/>
        <v>Oct -2025</v>
      </c>
      <c r="H1510" s="12"/>
    </row>
    <row r="1511" spans="1:8" x14ac:dyDescent="0.3">
      <c r="A1511" s="2">
        <v>100004165</v>
      </c>
      <c r="B1511" s="3" t="s">
        <v>1289</v>
      </c>
      <c r="C1511" s="3" t="s">
        <v>1011</v>
      </c>
      <c r="D1511" s="3" t="s">
        <v>972</v>
      </c>
      <c r="E1511" s="3" t="s">
        <v>979</v>
      </c>
      <c r="F1511" s="1">
        <v>45932</v>
      </c>
      <c r="G1511" t="str">
        <f t="shared" si="24"/>
        <v>Oct -2025</v>
      </c>
      <c r="H1511" s="12"/>
    </row>
    <row r="1512" spans="1:8" x14ac:dyDescent="0.3">
      <c r="A1512" s="2">
        <v>100003995</v>
      </c>
      <c r="B1512" s="3" t="s">
        <v>1290</v>
      </c>
      <c r="C1512" s="3" t="s">
        <v>1011</v>
      </c>
      <c r="D1512" s="3" t="s">
        <v>972</v>
      </c>
      <c r="E1512" s="3" t="s">
        <v>1294</v>
      </c>
      <c r="F1512" s="1">
        <v>45933</v>
      </c>
      <c r="G1512" t="str">
        <f t="shared" si="24"/>
        <v>Oct -2025</v>
      </c>
      <c r="H1512" s="12"/>
    </row>
    <row r="1513" spans="1:8" x14ac:dyDescent="0.3">
      <c r="A1513" s="2">
        <v>100004167</v>
      </c>
      <c r="B1513" s="3" t="s">
        <v>1291</v>
      </c>
      <c r="C1513" s="3" t="s">
        <v>1011</v>
      </c>
      <c r="D1513" s="3" t="s">
        <v>972</v>
      </c>
      <c r="E1513" s="3" t="s">
        <v>967</v>
      </c>
      <c r="F1513" s="1">
        <v>45933</v>
      </c>
      <c r="G1513" t="str">
        <f t="shared" si="24"/>
        <v>Oct -2025</v>
      </c>
      <c r="H1513" s="12"/>
    </row>
    <row r="1514" spans="1:8" x14ac:dyDescent="0.3">
      <c r="A1514" s="2">
        <v>100004055</v>
      </c>
      <c r="B1514" s="3" t="s">
        <v>1286</v>
      </c>
      <c r="C1514" s="3" t="s">
        <v>1011</v>
      </c>
      <c r="D1514" s="3" t="s">
        <v>972</v>
      </c>
      <c r="E1514" s="3" t="s">
        <v>976</v>
      </c>
      <c r="F1514" s="1">
        <v>45933</v>
      </c>
      <c r="G1514" t="str">
        <f t="shared" si="24"/>
        <v>Oct -2025</v>
      </c>
      <c r="H1514" s="12"/>
    </row>
    <row r="1515" spans="1:8" x14ac:dyDescent="0.3">
      <c r="A1515" s="2">
        <v>100002266</v>
      </c>
      <c r="B1515" s="3" t="s">
        <v>1292</v>
      </c>
      <c r="C1515" s="3" t="s">
        <v>1011</v>
      </c>
      <c r="D1515" s="3" t="s">
        <v>972</v>
      </c>
      <c r="E1515" s="3" t="s">
        <v>976</v>
      </c>
      <c r="F1515" s="1">
        <v>45933</v>
      </c>
      <c r="G1515" t="str">
        <f t="shared" si="24"/>
        <v>Oct -2025</v>
      </c>
      <c r="H1515" s="12"/>
    </row>
    <row r="1516" spans="1:8" x14ac:dyDescent="0.3">
      <c r="A1516" s="2">
        <v>100004170</v>
      </c>
      <c r="B1516" s="3" t="s">
        <v>1293</v>
      </c>
      <c r="C1516" s="3" t="s">
        <v>1011</v>
      </c>
      <c r="D1516" s="3" t="s">
        <v>972</v>
      </c>
      <c r="E1516" s="3" t="s">
        <v>976</v>
      </c>
      <c r="F1516" s="1">
        <v>45933</v>
      </c>
      <c r="G1516" t="str">
        <f t="shared" si="24"/>
        <v>Oct -2025</v>
      </c>
      <c r="H1516" s="12"/>
    </row>
    <row r="1517" spans="1:8" x14ac:dyDescent="0.3">
      <c r="A1517" s="2">
        <v>996950</v>
      </c>
      <c r="B1517" s="3" t="s">
        <v>750</v>
      </c>
      <c r="C1517" s="3" t="s">
        <v>1010</v>
      </c>
      <c r="D1517" s="3" t="s">
        <v>1020</v>
      </c>
      <c r="E1517" s="3" t="s">
        <v>338</v>
      </c>
      <c r="F1517" s="1">
        <v>45933</v>
      </c>
      <c r="G1517" t="str">
        <f t="shared" si="24"/>
        <v>Oct -2025</v>
      </c>
      <c r="H1517" s="12"/>
    </row>
    <row r="1518" spans="1:8" x14ac:dyDescent="0.3">
      <c r="A1518" s="2">
        <v>1042453</v>
      </c>
      <c r="B1518" s="3" t="s">
        <v>97</v>
      </c>
      <c r="C1518" s="3" t="s">
        <v>1010</v>
      </c>
      <c r="D1518" s="3" t="s">
        <v>209</v>
      </c>
      <c r="E1518" s="3" t="s">
        <v>225</v>
      </c>
      <c r="F1518" s="1">
        <v>45933</v>
      </c>
      <c r="G1518" t="str">
        <f t="shared" si="24"/>
        <v>Oct -2025</v>
      </c>
      <c r="H1518" s="12"/>
    </row>
    <row r="1519" spans="1:8" x14ac:dyDescent="0.3">
      <c r="A1519" s="2">
        <v>1042464</v>
      </c>
      <c r="B1519" s="3" t="s">
        <v>97</v>
      </c>
      <c r="C1519" s="3" t="s">
        <v>1010</v>
      </c>
      <c r="D1519" s="3" t="s">
        <v>209</v>
      </c>
      <c r="E1519" s="3" t="s">
        <v>225</v>
      </c>
      <c r="F1519" s="1">
        <v>45933</v>
      </c>
      <c r="G1519" t="str">
        <f t="shared" si="24"/>
        <v>Oct -2025</v>
      </c>
      <c r="H1519" s="12"/>
    </row>
    <row r="1520" spans="1:8" x14ac:dyDescent="0.3">
      <c r="A1520" s="2">
        <v>1042141</v>
      </c>
      <c r="B1520" s="3" t="s">
        <v>1295</v>
      </c>
      <c r="C1520" s="3" t="s">
        <v>1010</v>
      </c>
      <c r="D1520" s="3" t="s">
        <v>227</v>
      </c>
      <c r="E1520" s="3" t="s">
        <v>228</v>
      </c>
      <c r="F1520" s="1">
        <v>45933</v>
      </c>
      <c r="G1520" t="str">
        <f t="shared" si="24"/>
        <v>Oct -2025</v>
      </c>
      <c r="H1520" s="12"/>
    </row>
    <row r="1521" spans="1:8" x14ac:dyDescent="0.3">
      <c r="A1521" s="2">
        <v>1038752</v>
      </c>
      <c r="B1521" s="3" t="s">
        <v>407</v>
      </c>
      <c r="C1521" s="3" t="s">
        <v>1010</v>
      </c>
      <c r="D1521" s="3" t="s">
        <v>1020</v>
      </c>
      <c r="E1521" s="3" t="s">
        <v>338</v>
      </c>
      <c r="F1521" s="1">
        <v>45933</v>
      </c>
      <c r="G1521" t="str">
        <f t="shared" si="24"/>
        <v>Oct -2025</v>
      </c>
      <c r="H1521" s="12"/>
    </row>
    <row r="1522" spans="1:8" x14ac:dyDescent="0.3">
      <c r="A1522" s="2">
        <v>200001459</v>
      </c>
      <c r="B1522" s="3" t="s">
        <v>1222</v>
      </c>
      <c r="C1522" s="3" t="s">
        <v>1010</v>
      </c>
      <c r="D1522" s="3" t="s">
        <v>1229</v>
      </c>
      <c r="E1522" s="3" t="s">
        <v>7</v>
      </c>
      <c r="F1522" s="1">
        <v>45933</v>
      </c>
      <c r="G1522" t="str">
        <f t="shared" si="24"/>
        <v>Oct -2025</v>
      </c>
      <c r="H1522" s="12"/>
    </row>
    <row r="1523" spans="1:8" x14ac:dyDescent="0.3">
      <c r="A1523" s="2">
        <v>136917</v>
      </c>
      <c r="B1523" s="3" t="s">
        <v>1296</v>
      </c>
      <c r="C1523" s="3" t="s">
        <v>1010</v>
      </c>
      <c r="D1523" s="3" t="s">
        <v>1172</v>
      </c>
      <c r="E1523" s="3" t="s">
        <v>1172</v>
      </c>
      <c r="F1523" s="1">
        <v>45933</v>
      </c>
      <c r="G1523" t="str">
        <f t="shared" si="24"/>
        <v>Oct -2025</v>
      </c>
      <c r="H1523" s="12"/>
    </row>
    <row r="1524" spans="1:8" x14ac:dyDescent="0.3">
      <c r="A1524" s="2">
        <v>136917</v>
      </c>
      <c r="B1524" s="3" t="s">
        <v>1297</v>
      </c>
      <c r="C1524" s="3" t="s">
        <v>1010</v>
      </c>
      <c r="D1524" s="3" t="s">
        <v>1172</v>
      </c>
      <c r="E1524" s="3" t="s">
        <v>1172</v>
      </c>
      <c r="F1524" s="1">
        <v>45933</v>
      </c>
      <c r="G1524" t="str">
        <f t="shared" si="24"/>
        <v>Oct -2025</v>
      </c>
      <c r="H1524" s="12"/>
    </row>
    <row r="1525" spans="1:8" x14ac:dyDescent="0.3">
      <c r="A1525" s="2">
        <v>1053032</v>
      </c>
      <c r="B1525" s="3" t="s">
        <v>1298</v>
      </c>
      <c r="C1525" s="3" t="s">
        <v>1010</v>
      </c>
      <c r="D1525" s="3" t="s">
        <v>364</v>
      </c>
      <c r="E1525" s="3" t="s">
        <v>15</v>
      </c>
      <c r="F1525" s="1">
        <v>45936</v>
      </c>
      <c r="G1525" t="str">
        <f t="shared" si="24"/>
        <v>Oct -2025</v>
      </c>
      <c r="H1525" s="12"/>
    </row>
    <row r="1526" spans="1:8" x14ac:dyDescent="0.3">
      <c r="A1526" s="2">
        <v>1042360</v>
      </c>
      <c r="B1526" s="3" t="s">
        <v>1299</v>
      </c>
      <c r="C1526" s="3" t="s">
        <v>1010</v>
      </c>
      <c r="D1526" s="3" t="s">
        <v>1020</v>
      </c>
      <c r="E1526" s="3" t="s">
        <v>1301</v>
      </c>
      <c r="F1526" s="1">
        <v>45936</v>
      </c>
      <c r="G1526" t="str">
        <f t="shared" si="24"/>
        <v>Oct -2025</v>
      </c>
      <c r="H1526" s="12"/>
    </row>
    <row r="1527" spans="1:8" x14ac:dyDescent="0.3">
      <c r="A1527" s="2">
        <v>1042425</v>
      </c>
      <c r="B1527" s="3" t="s">
        <v>1300</v>
      </c>
      <c r="C1527" s="3" t="s">
        <v>1010</v>
      </c>
      <c r="D1527" s="3" t="s">
        <v>1020</v>
      </c>
      <c r="E1527" s="3" t="s">
        <v>1301</v>
      </c>
      <c r="F1527" s="1">
        <v>45936</v>
      </c>
      <c r="G1527" t="str">
        <f t="shared" si="24"/>
        <v>Oct -2025</v>
      </c>
      <c r="H1527" s="12"/>
    </row>
    <row r="1528" spans="1:8" x14ac:dyDescent="0.3">
      <c r="A1528" s="2">
        <v>900004715</v>
      </c>
      <c r="B1528" s="3" t="s">
        <v>486</v>
      </c>
      <c r="C1528" s="3" t="s">
        <v>1010</v>
      </c>
      <c r="D1528" s="3" t="s">
        <v>1283</v>
      </c>
      <c r="E1528" s="3" t="s">
        <v>322</v>
      </c>
      <c r="F1528" s="1">
        <v>45936</v>
      </c>
      <c r="G1528" t="str">
        <f t="shared" si="24"/>
        <v>Oct -2025</v>
      </c>
      <c r="H1528" s="12"/>
    </row>
    <row r="1529" spans="1:8" x14ac:dyDescent="0.3">
      <c r="A1529" s="2">
        <v>1053428</v>
      </c>
      <c r="B1529" s="3" t="s">
        <v>47</v>
      </c>
      <c r="C1529" s="3" t="s">
        <v>1010</v>
      </c>
      <c r="D1529" s="3" t="s">
        <v>1020</v>
      </c>
      <c r="E1529" s="3" t="s">
        <v>211</v>
      </c>
      <c r="F1529" s="1">
        <v>45936</v>
      </c>
      <c r="G1529" t="str">
        <f t="shared" si="24"/>
        <v>Oct -2025</v>
      </c>
      <c r="H1529" s="12"/>
    </row>
    <row r="1530" spans="1:8" x14ac:dyDescent="0.3">
      <c r="A1530" s="2">
        <v>200001459</v>
      </c>
      <c r="B1530" s="3" t="s">
        <v>1222</v>
      </c>
      <c r="C1530" s="3" t="s">
        <v>1010</v>
      </c>
      <c r="D1530" s="3" t="s">
        <v>1229</v>
      </c>
      <c r="E1530" s="3" t="s">
        <v>7</v>
      </c>
      <c r="F1530" s="1">
        <v>45936</v>
      </c>
      <c r="G1530" t="str">
        <f t="shared" si="24"/>
        <v>Oct -2025</v>
      </c>
      <c r="H1530" s="12"/>
    </row>
    <row r="1531" spans="1:8" x14ac:dyDescent="0.3">
      <c r="A1531" s="2">
        <v>100004146</v>
      </c>
      <c r="B1531" s="3" t="s">
        <v>1243</v>
      </c>
      <c r="C1531" s="3" t="s">
        <v>1011</v>
      </c>
      <c r="D1531" s="3" t="s">
        <v>972</v>
      </c>
      <c r="E1531" s="3" t="s">
        <v>967</v>
      </c>
      <c r="F1531" s="1">
        <v>45936</v>
      </c>
      <c r="G1531" t="str">
        <f t="shared" si="24"/>
        <v>Oct -2025</v>
      </c>
      <c r="H1531" s="12"/>
    </row>
    <row r="1532" spans="1:8" x14ac:dyDescent="0.3">
      <c r="A1532" s="2">
        <v>100004170</v>
      </c>
      <c r="B1532" s="3" t="s">
        <v>1293</v>
      </c>
      <c r="C1532" s="3" t="s">
        <v>1011</v>
      </c>
      <c r="D1532" s="3" t="s">
        <v>972</v>
      </c>
      <c r="E1532" s="3" t="s">
        <v>976</v>
      </c>
      <c r="F1532" s="1">
        <v>45936</v>
      </c>
      <c r="G1532" t="str">
        <f t="shared" si="24"/>
        <v>Oct -2025</v>
      </c>
      <c r="H1532" s="12"/>
    </row>
    <row r="1533" spans="1:8" x14ac:dyDescent="0.3">
      <c r="A1533" s="2">
        <v>100004147</v>
      </c>
      <c r="B1533" s="3" t="s">
        <v>1243</v>
      </c>
      <c r="C1533" s="3" t="s">
        <v>1011</v>
      </c>
      <c r="D1533" s="3" t="s">
        <v>972</v>
      </c>
      <c r="E1533" s="3" t="s">
        <v>967</v>
      </c>
      <c r="F1533" s="1">
        <v>45936</v>
      </c>
      <c r="G1533" t="str">
        <f t="shared" si="24"/>
        <v>Oct -2025</v>
      </c>
      <c r="H1533" s="12"/>
    </row>
    <row r="1534" spans="1:8" x14ac:dyDescent="0.3">
      <c r="A1534" s="2">
        <v>100004168</v>
      </c>
      <c r="B1534" s="3" t="s">
        <v>1302</v>
      </c>
      <c r="C1534" s="3" t="s">
        <v>1011</v>
      </c>
      <c r="D1534" s="3" t="s">
        <v>972</v>
      </c>
      <c r="E1534" s="3" t="s">
        <v>979</v>
      </c>
      <c r="F1534" s="1">
        <v>45936</v>
      </c>
      <c r="G1534" t="str">
        <f t="shared" si="24"/>
        <v>Oct -2025</v>
      </c>
      <c r="H1534" s="12"/>
    </row>
    <row r="1535" spans="1:8" x14ac:dyDescent="0.3">
      <c r="A1535" s="2">
        <v>100003979</v>
      </c>
      <c r="B1535" s="3" t="s">
        <v>1303</v>
      </c>
      <c r="C1535" s="3" t="s">
        <v>1011</v>
      </c>
      <c r="D1535" s="3" t="s">
        <v>972</v>
      </c>
      <c r="E1535" s="3" t="s">
        <v>979</v>
      </c>
      <c r="F1535" s="1">
        <v>45936</v>
      </c>
      <c r="G1535" t="str">
        <f t="shared" si="24"/>
        <v>Oct -2025</v>
      </c>
      <c r="H1535" s="12"/>
    </row>
    <row r="1536" spans="1:8" x14ac:dyDescent="0.3">
      <c r="A1536" s="2">
        <v>100004157</v>
      </c>
      <c r="B1536" s="3" t="s">
        <v>1304</v>
      </c>
      <c r="C1536" s="3" t="s">
        <v>1011</v>
      </c>
      <c r="D1536" s="3" t="s">
        <v>972</v>
      </c>
      <c r="E1536" s="3" t="s">
        <v>977</v>
      </c>
      <c r="F1536" s="1">
        <v>45937</v>
      </c>
      <c r="G1536" t="str">
        <f t="shared" si="24"/>
        <v>Oct -2025</v>
      </c>
      <c r="H1536" s="12"/>
    </row>
    <row r="1537" spans="1:8" x14ac:dyDescent="0.3">
      <c r="A1537" s="2">
        <v>100004184</v>
      </c>
      <c r="B1537" s="3" t="s">
        <v>1305</v>
      </c>
      <c r="C1537" s="3" t="s">
        <v>1011</v>
      </c>
      <c r="D1537" s="3" t="s">
        <v>972</v>
      </c>
      <c r="E1537" s="3" t="s">
        <v>982</v>
      </c>
      <c r="F1537" s="1">
        <v>45937</v>
      </c>
      <c r="G1537" t="str">
        <f t="shared" si="24"/>
        <v>Oct -2025</v>
      </c>
      <c r="H1537" s="12"/>
    </row>
    <row r="1538" spans="1:8" x14ac:dyDescent="0.3">
      <c r="A1538" s="2">
        <v>1054664</v>
      </c>
      <c r="B1538" s="3" t="s">
        <v>1306</v>
      </c>
      <c r="C1538" s="3" t="s">
        <v>1010</v>
      </c>
      <c r="D1538" s="3" t="s">
        <v>1259</v>
      </c>
      <c r="E1538" s="3" t="s">
        <v>228</v>
      </c>
      <c r="F1538" s="1">
        <v>45937</v>
      </c>
      <c r="G1538" t="str">
        <f t="shared" ref="G1538:G1601" si="25">TEXT(F1538,"mmm -YYYY")</f>
        <v>Oct -2025</v>
      </c>
      <c r="H1538" s="12"/>
    </row>
    <row r="1539" spans="1:8" x14ac:dyDescent="0.3">
      <c r="A1539" s="2">
        <v>1054519</v>
      </c>
      <c r="B1539" s="3" t="s">
        <v>1307</v>
      </c>
      <c r="C1539" s="3" t="s">
        <v>1010</v>
      </c>
      <c r="D1539" s="3" t="s">
        <v>1259</v>
      </c>
      <c r="E1539" s="3" t="s">
        <v>228</v>
      </c>
      <c r="F1539" s="1">
        <v>45937</v>
      </c>
      <c r="G1539" t="str">
        <f t="shared" si="25"/>
        <v>Oct -2025</v>
      </c>
      <c r="H1539" s="12"/>
    </row>
    <row r="1540" spans="1:8" x14ac:dyDescent="0.3">
      <c r="A1540" s="2">
        <v>1055319</v>
      </c>
      <c r="B1540" s="3" t="s">
        <v>1308</v>
      </c>
      <c r="C1540" s="3" t="s">
        <v>1010</v>
      </c>
      <c r="D1540" s="3" t="s">
        <v>1259</v>
      </c>
      <c r="E1540" s="3" t="s">
        <v>228</v>
      </c>
      <c r="F1540" s="1">
        <v>45937</v>
      </c>
      <c r="G1540" t="str">
        <f t="shared" si="25"/>
        <v>Oct -2025</v>
      </c>
      <c r="H1540" s="12"/>
    </row>
    <row r="1541" spans="1:8" x14ac:dyDescent="0.3">
      <c r="A1541" s="2">
        <v>1053597</v>
      </c>
      <c r="B1541" s="3" t="s">
        <v>1299</v>
      </c>
      <c r="C1541" s="3" t="s">
        <v>1010</v>
      </c>
      <c r="D1541" s="3" t="s">
        <v>1020</v>
      </c>
      <c r="E1541" s="3" t="s">
        <v>435</v>
      </c>
      <c r="F1541" s="1">
        <v>45937</v>
      </c>
      <c r="G1541" t="str">
        <f t="shared" si="25"/>
        <v>Oct -2025</v>
      </c>
      <c r="H1541" s="12"/>
    </row>
    <row r="1542" spans="1:8" x14ac:dyDescent="0.3">
      <c r="A1542" s="2">
        <v>1053592</v>
      </c>
      <c r="B1542" s="3" t="s">
        <v>1300</v>
      </c>
      <c r="C1542" s="3" t="s">
        <v>1010</v>
      </c>
      <c r="D1542" s="3" t="s">
        <v>1020</v>
      </c>
      <c r="E1542" s="3" t="s">
        <v>435</v>
      </c>
      <c r="F1542" s="1">
        <v>45937</v>
      </c>
      <c r="G1542" t="str">
        <f t="shared" si="25"/>
        <v>Oct -2025</v>
      </c>
      <c r="H1542" s="12"/>
    </row>
    <row r="1543" spans="1:8" x14ac:dyDescent="0.3">
      <c r="A1543" s="2">
        <v>900004733</v>
      </c>
      <c r="B1543" s="3" t="s">
        <v>1309</v>
      </c>
      <c r="C1543" s="3" t="s">
        <v>1010</v>
      </c>
      <c r="D1543" s="3" t="s">
        <v>143</v>
      </c>
      <c r="E1543" s="3" t="s">
        <v>322</v>
      </c>
      <c r="F1543" s="1">
        <v>45937</v>
      </c>
      <c r="G1543" t="str">
        <f t="shared" si="25"/>
        <v>Oct -2025</v>
      </c>
      <c r="H1543" s="12"/>
    </row>
    <row r="1544" spans="1:8" x14ac:dyDescent="0.3">
      <c r="A1544" s="2">
        <v>900004725</v>
      </c>
      <c r="B1544" s="3" t="s">
        <v>321</v>
      </c>
      <c r="C1544" s="3" t="s">
        <v>1010</v>
      </c>
      <c r="D1544" s="3" t="s">
        <v>143</v>
      </c>
      <c r="E1544" s="3" t="s">
        <v>322</v>
      </c>
      <c r="F1544" s="1">
        <v>45937</v>
      </c>
      <c r="G1544" t="str">
        <f t="shared" si="25"/>
        <v>Oct -2025</v>
      </c>
      <c r="H1544" s="12"/>
    </row>
    <row r="1545" spans="1:8" x14ac:dyDescent="0.3">
      <c r="A1545" s="2">
        <v>900004752</v>
      </c>
      <c r="B1545" s="3" t="s">
        <v>1310</v>
      </c>
      <c r="C1545" s="3" t="s">
        <v>1010</v>
      </c>
      <c r="D1545" s="3" t="s">
        <v>143</v>
      </c>
      <c r="E1545" s="3" t="s">
        <v>322</v>
      </c>
      <c r="F1545" s="1">
        <v>45937</v>
      </c>
      <c r="G1545" t="str">
        <f t="shared" si="25"/>
        <v>Oct -2025</v>
      </c>
      <c r="H1545" s="12"/>
    </row>
    <row r="1546" spans="1:8" x14ac:dyDescent="0.3">
      <c r="A1546" s="2">
        <v>1056364</v>
      </c>
      <c r="B1546" s="3" t="s">
        <v>1311</v>
      </c>
      <c r="C1546" s="3" t="s">
        <v>1010</v>
      </c>
      <c r="D1546" s="3" t="s">
        <v>364</v>
      </c>
      <c r="E1546" s="3" t="s">
        <v>15</v>
      </c>
      <c r="F1546" s="1">
        <v>45937</v>
      </c>
      <c r="G1546" t="str">
        <f t="shared" si="25"/>
        <v>Oct -2025</v>
      </c>
      <c r="H1546" s="12"/>
    </row>
    <row r="1547" spans="1:8" x14ac:dyDescent="0.3">
      <c r="A1547" s="2">
        <v>1054621</v>
      </c>
      <c r="B1547" s="3" t="s">
        <v>1312</v>
      </c>
      <c r="C1547" s="3" t="s">
        <v>1010</v>
      </c>
      <c r="D1547" s="3" t="s">
        <v>1259</v>
      </c>
      <c r="E1547" s="3" t="s">
        <v>228</v>
      </c>
      <c r="F1547" s="1">
        <v>45937</v>
      </c>
      <c r="G1547" t="str">
        <f t="shared" si="25"/>
        <v>Oct -2025</v>
      </c>
      <c r="H1547" s="12"/>
    </row>
    <row r="1548" spans="1:8" x14ac:dyDescent="0.3">
      <c r="A1548" s="2">
        <v>200002541</v>
      </c>
      <c r="B1548" s="3" t="s">
        <v>1313</v>
      </c>
      <c r="C1548" s="3" t="s">
        <v>1010</v>
      </c>
      <c r="D1548" s="3" t="s">
        <v>192</v>
      </c>
      <c r="E1548" s="3" t="s">
        <v>1317</v>
      </c>
      <c r="F1548" s="1">
        <v>45937</v>
      </c>
      <c r="G1548" t="str">
        <f t="shared" si="25"/>
        <v>Oct -2025</v>
      </c>
      <c r="H1548" s="12"/>
    </row>
    <row r="1549" spans="1:8" x14ac:dyDescent="0.3">
      <c r="A1549" s="2">
        <v>200001459</v>
      </c>
      <c r="B1549" s="3" t="s">
        <v>1222</v>
      </c>
      <c r="C1549" s="3" t="s">
        <v>1010</v>
      </c>
      <c r="D1549" s="3" t="s">
        <v>1229</v>
      </c>
      <c r="E1549" s="3" t="s">
        <v>7</v>
      </c>
      <c r="F1549" s="1">
        <v>45937</v>
      </c>
      <c r="G1549" t="str">
        <f t="shared" si="25"/>
        <v>Oct -2025</v>
      </c>
      <c r="H1549" s="12"/>
    </row>
    <row r="1550" spans="1:8" x14ac:dyDescent="0.3">
      <c r="A1550" s="2">
        <v>1056486</v>
      </c>
      <c r="B1550" s="3" t="s">
        <v>1314</v>
      </c>
      <c r="C1550" s="3" t="s">
        <v>1010</v>
      </c>
      <c r="D1550" s="3" t="s">
        <v>1259</v>
      </c>
      <c r="E1550" s="3" t="s">
        <v>228</v>
      </c>
      <c r="F1550" s="1">
        <v>45937</v>
      </c>
      <c r="G1550" t="str">
        <f t="shared" si="25"/>
        <v>Oct -2025</v>
      </c>
      <c r="H1550" s="12"/>
    </row>
    <row r="1551" spans="1:8" x14ac:dyDescent="0.3">
      <c r="A1551" s="2">
        <v>1056594</v>
      </c>
      <c r="B1551" s="3" t="s">
        <v>378</v>
      </c>
      <c r="C1551" s="3" t="s">
        <v>1010</v>
      </c>
      <c r="D1551" s="3" t="s">
        <v>209</v>
      </c>
      <c r="E1551" s="3" t="s">
        <v>228</v>
      </c>
      <c r="F1551" s="1">
        <v>45937</v>
      </c>
      <c r="G1551" t="str">
        <f t="shared" si="25"/>
        <v>Oct -2025</v>
      </c>
      <c r="H1551" s="12"/>
    </row>
    <row r="1552" spans="1:8" x14ac:dyDescent="0.3">
      <c r="A1552" s="2">
        <v>1056488</v>
      </c>
      <c r="B1552" s="3" t="s">
        <v>378</v>
      </c>
      <c r="C1552" s="3" t="s">
        <v>1010</v>
      </c>
      <c r="D1552" s="3" t="s">
        <v>209</v>
      </c>
      <c r="E1552" s="3" t="s">
        <v>228</v>
      </c>
      <c r="F1552" s="1">
        <v>45937</v>
      </c>
      <c r="G1552" t="str">
        <f t="shared" si="25"/>
        <v>Oct -2025</v>
      </c>
      <c r="H1552" s="12"/>
    </row>
    <row r="1553" spans="1:8" x14ac:dyDescent="0.3">
      <c r="A1553" s="2">
        <v>1056609</v>
      </c>
      <c r="B1553" s="3" t="s">
        <v>1315</v>
      </c>
      <c r="C1553" s="3" t="s">
        <v>1010</v>
      </c>
      <c r="D1553" s="3" t="s">
        <v>209</v>
      </c>
      <c r="E1553" s="3" t="s">
        <v>228</v>
      </c>
      <c r="F1553" s="1">
        <v>45937</v>
      </c>
      <c r="G1553" t="str">
        <f t="shared" si="25"/>
        <v>Oct -2025</v>
      </c>
      <c r="H1553" s="12"/>
    </row>
    <row r="1554" spans="1:8" x14ac:dyDescent="0.3">
      <c r="A1554" s="2">
        <v>1053428</v>
      </c>
      <c r="B1554" s="3" t="s">
        <v>47</v>
      </c>
      <c r="C1554" s="3" t="s">
        <v>1010</v>
      </c>
      <c r="D1554" s="3" t="s">
        <v>1020</v>
      </c>
      <c r="E1554" s="3" t="s">
        <v>211</v>
      </c>
      <c r="F1554" s="1">
        <v>45937</v>
      </c>
      <c r="G1554" t="str">
        <f t="shared" si="25"/>
        <v>Oct -2025</v>
      </c>
      <c r="H1554" s="12"/>
    </row>
    <row r="1555" spans="1:8" x14ac:dyDescent="0.3">
      <c r="A1555" s="2">
        <v>1056373</v>
      </c>
      <c r="B1555" s="3" t="s">
        <v>1316</v>
      </c>
      <c r="C1555" s="3" t="s">
        <v>1010</v>
      </c>
      <c r="D1555" s="3" t="s">
        <v>1259</v>
      </c>
      <c r="E1555" s="3" t="s">
        <v>228</v>
      </c>
      <c r="F1555" s="1">
        <v>45937</v>
      </c>
      <c r="G1555" t="str">
        <f t="shared" si="25"/>
        <v>Oct -2025</v>
      </c>
      <c r="H1555" s="12"/>
    </row>
    <row r="1556" spans="1:8" x14ac:dyDescent="0.3">
      <c r="A1556" s="2">
        <v>1032645</v>
      </c>
      <c r="B1556" s="3" t="s">
        <v>47</v>
      </c>
      <c r="C1556" s="3" t="s">
        <v>1010</v>
      </c>
      <c r="D1556" s="3" t="s">
        <v>1020</v>
      </c>
      <c r="E1556" s="3" t="s">
        <v>211</v>
      </c>
      <c r="F1556" s="1">
        <v>45937</v>
      </c>
      <c r="G1556" t="str">
        <f t="shared" si="25"/>
        <v>Oct -2025</v>
      </c>
      <c r="H1556" s="12"/>
    </row>
    <row r="1557" spans="1:8" x14ac:dyDescent="0.3">
      <c r="A1557" s="2">
        <v>1000199</v>
      </c>
      <c r="B1557" s="3" t="s">
        <v>1014</v>
      </c>
      <c r="C1557" s="3" t="s">
        <v>1010</v>
      </c>
      <c r="D1557" s="3" t="s">
        <v>1020</v>
      </c>
      <c r="E1557" s="3" t="s">
        <v>466</v>
      </c>
      <c r="F1557" s="1">
        <v>45937</v>
      </c>
      <c r="G1557" t="str">
        <f t="shared" si="25"/>
        <v>Oct -2025</v>
      </c>
      <c r="H1557" s="12"/>
    </row>
    <row r="1558" spans="1:8" x14ac:dyDescent="0.3">
      <c r="A1558" s="2">
        <v>1058980</v>
      </c>
      <c r="B1558" s="3" t="s">
        <v>1318</v>
      </c>
      <c r="C1558" s="3" t="s">
        <v>1010</v>
      </c>
      <c r="D1558" s="3" t="s">
        <v>1259</v>
      </c>
      <c r="E1558" s="3" t="s">
        <v>228</v>
      </c>
      <c r="F1558" s="1">
        <v>45938</v>
      </c>
      <c r="G1558" t="str">
        <f t="shared" si="25"/>
        <v>Oct -2025</v>
      </c>
      <c r="H1558" s="12"/>
    </row>
    <row r="1559" spans="1:8" x14ac:dyDescent="0.3">
      <c r="A1559" s="2">
        <v>1060710</v>
      </c>
      <c r="B1559" s="3" t="s">
        <v>1319</v>
      </c>
      <c r="C1559" s="3" t="s">
        <v>1010</v>
      </c>
      <c r="D1559" s="3" t="s">
        <v>1259</v>
      </c>
      <c r="E1559" s="3" t="s">
        <v>228</v>
      </c>
      <c r="F1559" s="1">
        <v>45938</v>
      </c>
      <c r="G1559" t="str">
        <f t="shared" si="25"/>
        <v>Oct -2025</v>
      </c>
      <c r="H1559" s="12"/>
    </row>
    <row r="1560" spans="1:8" x14ac:dyDescent="0.3">
      <c r="A1560" s="2">
        <v>1060614</v>
      </c>
      <c r="B1560" s="3" t="s">
        <v>1320</v>
      </c>
      <c r="C1560" s="3" t="s">
        <v>1010</v>
      </c>
      <c r="D1560" s="3" t="s">
        <v>364</v>
      </c>
      <c r="E1560" s="3" t="s">
        <v>15</v>
      </c>
      <c r="F1560" s="1">
        <v>45938</v>
      </c>
      <c r="G1560" t="str">
        <f t="shared" si="25"/>
        <v>Oct -2025</v>
      </c>
      <c r="H1560" s="12"/>
    </row>
    <row r="1561" spans="1:8" x14ac:dyDescent="0.3">
      <c r="A1561" s="2">
        <v>1055564</v>
      </c>
      <c r="B1561" s="3" t="s">
        <v>1321</v>
      </c>
      <c r="C1561" s="3" t="s">
        <v>1010</v>
      </c>
      <c r="D1561" s="3" t="s">
        <v>209</v>
      </c>
      <c r="E1561" s="3" t="s">
        <v>210</v>
      </c>
      <c r="F1561" s="1">
        <v>45938</v>
      </c>
      <c r="G1561" t="str">
        <f t="shared" si="25"/>
        <v>Oct -2025</v>
      </c>
      <c r="H1561" s="12"/>
    </row>
    <row r="1562" spans="1:8" x14ac:dyDescent="0.3">
      <c r="A1562" s="2">
        <v>1059257</v>
      </c>
      <c r="B1562" s="3" t="s">
        <v>1321</v>
      </c>
      <c r="C1562" s="3" t="s">
        <v>1010</v>
      </c>
      <c r="D1562" s="3" t="s">
        <v>209</v>
      </c>
      <c r="E1562" s="3" t="s">
        <v>210</v>
      </c>
      <c r="F1562" s="1">
        <v>45938</v>
      </c>
      <c r="G1562" t="str">
        <f t="shared" si="25"/>
        <v>Oct -2025</v>
      </c>
      <c r="H1562" s="12"/>
    </row>
    <row r="1563" spans="1:8" x14ac:dyDescent="0.3">
      <c r="A1563" s="2">
        <v>1059307</v>
      </c>
      <c r="B1563" s="3" t="s">
        <v>1321</v>
      </c>
      <c r="C1563" s="3" t="s">
        <v>1010</v>
      </c>
      <c r="D1563" s="3" t="s">
        <v>209</v>
      </c>
      <c r="E1563" s="3" t="s">
        <v>210</v>
      </c>
      <c r="F1563" s="1">
        <v>45938</v>
      </c>
      <c r="G1563" t="str">
        <f t="shared" si="25"/>
        <v>Oct -2025</v>
      </c>
      <c r="H1563" s="12"/>
    </row>
    <row r="1564" spans="1:8" x14ac:dyDescent="0.3">
      <c r="A1564" s="2">
        <v>1059351</v>
      </c>
      <c r="B1564" s="3" t="s">
        <v>1321</v>
      </c>
      <c r="C1564" s="3" t="s">
        <v>1010</v>
      </c>
      <c r="D1564" s="3" t="s">
        <v>209</v>
      </c>
      <c r="E1564" s="3" t="s">
        <v>210</v>
      </c>
      <c r="F1564" s="1">
        <v>45938</v>
      </c>
      <c r="G1564" t="str">
        <f t="shared" si="25"/>
        <v>Oct -2025</v>
      </c>
      <c r="H1564" s="12"/>
    </row>
    <row r="1565" spans="1:8" x14ac:dyDescent="0.3">
      <c r="A1565" s="2">
        <v>1059418</v>
      </c>
      <c r="B1565" s="3" t="s">
        <v>1321</v>
      </c>
      <c r="C1565" s="3" t="s">
        <v>1010</v>
      </c>
      <c r="D1565" s="3" t="s">
        <v>209</v>
      </c>
      <c r="E1565" s="3" t="s">
        <v>210</v>
      </c>
      <c r="F1565" s="1">
        <v>45938</v>
      </c>
      <c r="G1565" t="str">
        <f t="shared" si="25"/>
        <v>Oct -2025</v>
      </c>
      <c r="H1565" s="12"/>
    </row>
    <row r="1566" spans="1:8" x14ac:dyDescent="0.3">
      <c r="A1566" s="2">
        <v>1059479</v>
      </c>
      <c r="B1566" s="3" t="s">
        <v>1321</v>
      </c>
      <c r="C1566" s="3" t="s">
        <v>1010</v>
      </c>
      <c r="D1566" s="3" t="s">
        <v>209</v>
      </c>
      <c r="E1566" s="3" t="s">
        <v>210</v>
      </c>
      <c r="F1566" s="1">
        <v>45938</v>
      </c>
      <c r="G1566" t="str">
        <f t="shared" si="25"/>
        <v>Oct -2025</v>
      </c>
      <c r="H1566" s="12"/>
    </row>
    <row r="1567" spans="1:8" x14ac:dyDescent="0.3">
      <c r="A1567" s="2">
        <v>1059614</v>
      </c>
      <c r="B1567" s="3" t="s">
        <v>1321</v>
      </c>
      <c r="C1567" s="3" t="s">
        <v>1010</v>
      </c>
      <c r="D1567" s="3" t="s">
        <v>209</v>
      </c>
      <c r="E1567" s="3" t="s">
        <v>210</v>
      </c>
      <c r="F1567" s="1">
        <v>45938</v>
      </c>
      <c r="G1567" t="str">
        <f t="shared" si="25"/>
        <v>Oct -2025</v>
      </c>
      <c r="H1567" s="12"/>
    </row>
    <row r="1568" spans="1:8" x14ac:dyDescent="0.3">
      <c r="A1568" s="2">
        <v>1056987</v>
      </c>
      <c r="B1568" s="3" t="s">
        <v>1322</v>
      </c>
      <c r="C1568" s="3" t="s">
        <v>1010</v>
      </c>
      <c r="D1568" s="3" t="s">
        <v>364</v>
      </c>
      <c r="E1568" s="3" t="s">
        <v>15</v>
      </c>
      <c r="F1568" s="1">
        <v>45938</v>
      </c>
      <c r="G1568" t="str">
        <f t="shared" si="25"/>
        <v>Oct -2025</v>
      </c>
      <c r="H1568" s="12"/>
    </row>
    <row r="1569" spans="1:8" x14ac:dyDescent="0.3">
      <c r="A1569" s="2">
        <v>1056717</v>
      </c>
      <c r="B1569" s="3" t="s">
        <v>1323</v>
      </c>
      <c r="C1569" s="3" t="s">
        <v>1010</v>
      </c>
      <c r="D1569" s="3" t="s">
        <v>1020</v>
      </c>
      <c r="E1569" s="3" t="s">
        <v>1301</v>
      </c>
      <c r="F1569" s="1">
        <v>45938</v>
      </c>
      <c r="G1569" t="str">
        <f t="shared" si="25"/>
        <v>Oct -2025</v>
      </c>
      <c r="H1569" s="12"/>
    </row>
    <row r="1570" spans="1:8" x14ac:dyDescent="0.3">
      <c r="A1570" s="2">
        <v>1061775</v>
      </c>
      <c r="B1570" s="3" t="s">
        <v>1323</v>
      </c>
      <c r="C1570" s="3" t="s">
        <v>1010</v>
      </c>
      <c r="D1570" s="3" t="s">
        <v>1020</v>
      </c>
      <c r="E1570" s="3" t="s">
        <v>1301</v>
      </c>
      <c r="F1570" s="1">
        <v>45938</v>
      </c>
      <c r="G1570" t="str">
        <f t="shared" si="25"/>
        <v>Oct -2025</v>
      </c>
      <c r="H1570" s="12"/>
    </row>
    <row r="1571" spans="1:8" x14ac:dyDescent="0.3">
      <c r="A1571" s="2">
        <v>1061406</v>
      </c>
      <c r="B1571" s="3" t="s">
        <v>41</v>
      </c>
      <c r="C1571" s="3" t="s">
        <v>1010</v>
      </c>
      <c r="D1571" s="3" t="s">
        <v>1020</v>
      </c>
      <c r="E1571" s="3" t="s">
        <v>211</v>
      </c>
      <c r="F1571" s="1">
        <v>45938</v>
      </c>
      <c r="G1571" t="str">
        <f t="shared" si="25"/>
        <v>Oct -2025</v>
      </c>
      <c r="H1571" s="12"/>
    </row>
    <row r="1572" spans="1:8" x14ac:dyDescent="0.3">
      <c r="A1572" s="2">
        <v>1060769</v>
      </c>
      <c r="B1572" s="3" t="s">
        <v>1324</v>
      </c>
      <c r="C1572" s="3" t="s">
        <v>1010</v>
      </c>
      <c r="D1572" s="3" t="s">
        <v>209</v>
      </c>
      <c r="E1572" s="3" t="s">
        <v>357</v>
      </c>
      <c r="F1572" s="1">
        <v>45938</v>
      </c>
      <c r="G1572" t="str">
        <f t="shared" si="25"/>
        <v>Oct -2025</v>
      </c>
      <c r="H1572" s="12"/>
    </row>
    <row r="1573" spans="1:8" x14ac:dyDescent="0.3">
      <c r="A1573" s="2">
        <v>1061631</v>
      </c>
      <c r="B1573" s="3" t="s">
        <v>1325</v>
      </c>
      <c r="C1573" s="3" t="s">
        <v>1010</v>
      </c>
      <c r="D1573" s="3" t="s">
        <v>209</v>
      </c>
      <c r="E1573" s="3" t="s">
        <v>228</v>
      </c>
      <c r="F1573" s="1">
        <v>45938</v>
      </c>
      <c r="G1573" t="str">
        <f t="shared" si="25"/>
        <v>Oct -2025</v>
      </c>
      <c r="H1573" s="12"/>
    </row>
    <row r="1574" spans="1:8" x14ac:dyDescent="0.3">
      <c r="A1574" s="2">
        <v>1061587</v>
      </c>
      <c r="B1574" s="3" t="s">
        <v>1325</v>
      </c>
      <c r="C1574" s="3" t="s">
        <v>1010</v>
      </c>
      <c r="D1574" s="3" t="s">
        <v>209</v>
      </c>
      <c r="E1574" s="3" t="s">
        <v>228</v>
      </c>
      <c r="F1574" s="1">
        <v>45938</v>
      </c>
      <c r="G1574" t="str">
        <f t="shared" si="25"/>
        <v>Oct -2025</v>
      </c>
      <c r="H1574" s="12"/>
    </row>
    <row r="1575" spans="1:8" x14ac:dyDescent="0.3">
      <c r="A1575" s="2">
        <v>1061442</v>
      </c>
      <c r="B1575" s="3" t="s">
        <v>53</v>
      </c>
      <c r="C1575" s="3" t="s">
        <v>1010</v>
      </c>
      <c r="D1575" s="3" t="s">
        <v>1020</v>
      </c>
      <c r="E1575" s="3" t="s">
        <v>268</v>
      </c>
      <c r="F1575" s="1">
        <v>45938</v>
      </c>
      <c r="G1575" t="str">
        <f t="shared" si="25"/>
        <v>Oct -2025</v>
      </c>
      <c r="H1575" s="12"/>
    </row>
    <row r="1576" spans="1:8" x14ac:dyDescent="0.3">
      <c r="A1576" s="2">
        <v>1061233</v>
      </c>
      <c r="B1576" s="3" t="s">
        <v>1014</v>
      </c>
      <c r="C1576" s="3" t="s">
        <v>1010</v>
      </c>
      <c r="D1576" s="3" t="s">
        <v>1020</v>
      </c>
      <c r="E1576" s="3" t="s">
        <v>466</v>
      </c>
      <c r="F1576" s="1">
        <v>45938</v>
      </c>
      <c r="G1576" t="str">
        <f t="shared" si="25"/>
        <v>Oct -2025</v>
      </c>
      <c r="H1576" s="12"/>
    </row>
    <row r="1577" spans="1:8" x14ac:dyDescent="0.3">
      <c r="A1577" s="2">
        <v>900004743</v>
      </c>
      <c r="B1577" s="3" t="s">
        <v>321</v>
      </c>
      <c r="C1577" s="3" t="s">
        <v>1010</v>
      </c>
      <c r="D1577" s="3" t="s">
        <v>143</v>
      </c>
      <c r="E1577" s="3" t="s">
        <v>322</v>
      </c>
      <c r="F1577" s="1">
        <v>45938</v>
      </c>
      <c r="G1577" t="str">
        <f t="shared" si="25"/>
        <v>Oct -2025</v>
      </c>
      <c r="H1577" s="12"/>
    </row>
    <row r="1578" spans="1:8" x14ac:dyDescent="0.3">
      <c r="A1578" s="2">
        <v>900004701</v>
      </c>
      <c r="B1578" s="3" t="s">
        <v>1326</v>
      </c>
      <c r="C1578" s="3" t="s">
        <v>1010</v>
      </c>
      <c r="D1578" s="3" t="s">
        <v>209</v>
      </c>
      <c r="E1578" s="3" t="s">
        <v>322</v>
      </c>
      <c r="F1578" s="1">
        <v>45938</v>
      </c>
      <c r="G1578" t="str">
        <f t="shared" si="25"/>
        <v>Oct -2025</v>
      </c>
      <c r="H1578" s="12"/>
    </row>
    <row r="1579" spans="1:8" x14ac:dyDescent="0.3">
      <c r="A1579" s="2">
        <v>100004197</v>
      </c>
      <c r="B1579" s="3" t="s">
        <v>1327</v>
      </c>
      <c r="C1579" s="3" t="s">
        <v>1011</v>
      </c>
      <c r="D1579" s="3" t="s">
        <v>972</v>
      </c>
      <c r="E1579" s="3" t="s">
        <v>981</v>
      </c>
      <c r="F1579" s="1">
        <v>45938</v>
      </c>
      <c r="G1579" t="str">
        <f t="shared" si="25"/>
        <v>Oct -2025</v>
      </c>
      <c r="H1579" s="12"/>
    </row>
    <row r="1580" spans="1:8" x14ac:dyDescent="0.3">
      <c r="A1580" s="2">
        <v>100004198</v>
      </c>
      <c r="B1580" s="3" t="s">
        <v>1328</v>
      </c>
      <c r="C1580" s="3" t="s">
        <v>1011</v>
      </c>
      <c r="D1580" s="3" t="s">
        <v>972</v>
      </c>
      <c r="E1580" s="3" t="s">
        <v>976</v>
      </c>
      <c r="F1580" s="1">
        <v>45938</v>
      </c>
      <c r="G1580" t="str">
        <f t="shared" si="25"/>
        <v>Oct -2025</v>
      </c>
      <c r="H1580" s="12"/>
    </row>
    <row r="1581" spans="1:8" x14ac:dyDescent="0.3">
      <c r="A1581" s="2">
        <v>1061822</v>
      </c>
      <c r="B1581" s="3" t="s">
        <v>1329</v>
      </c>
      <c r="C1581" s="3" t="s">
        <v>1010</v>
      </c>
      <c r="D1581" s="3" t="s">
        <v>1259</v>
      </c>
      <c r="E1581" s="3" t="s">
        <v>228</v>
      </c>
      <c r="F1581" s="1">
        <v>45939</v>
      </c>
      <c r="G1581" t="str">
        <f t="shared" si="25"/>
        <v>Oct -2025</v>
      </c>
      <c r="H1581" s="12"/>
    </row>
    <row r="1582" spans="1:8" x14ac:dyDescent="0.3">
      <c r="A1582" s="2">
        <v>1053428</v>
      </c>
      <c r="B1582" s="3" t="s">
        <v>47</v>
      </c>
      <c r="C1582" s="3" t="s">
        <v>1010</v>
      </c>
      <c r="D1582" s="3" t="s">
        <v>1020</v>
      </c>
      <c r="E1582" s="3" t="s">
        <v>211</v>
      </c>
      <c r="F1582" s="1">
        <v>45939</v>
      </c>
      <c r="G1582" t="str">
        <f t="shared" si="25"/>
        <v>Oct -2025</v>
      </c>
      <c r="H1582" s="12"/>
    </row>
    <row r="1583" spans="1:8" x14ac:dyDescent="0.3">
      <c r="A1583" s="2">
        <v>1005233</v>
      </c>
      <c r="B1583" s="3" t="s">
        <v>1330</v>
      </c>
      <c r="C1583" s="3" t="s">
        <v>1010</v>
      </c>
      <c r="D1583" s="3" t="s">
        <v>1020</v>
      </c>
      <c r="E1583" s="3" t="s">
        <v>435</v>
      </c>
      <c r="F1583" s="1">
        <v>45939</v>
      </c>
      <c r="G1583" t="str">
        <f t="shared" si="25"/>
        <v>Oct -2025</v>
      </c>
      <c r="H1583" s="12"/>
    </row>
    <row r="1584" spans="1:8" x14ac:dyDescent="0.3">
      <c r="A1584" s="2">
        <v>1034257</v>
      </c>
      <c r="B1584" s="3" t="s">
        <v>1331</v>
      </c>
      <c r="C1584" s="3" t="s">
        <v>1010</v>
      </c>
      <c r="D1584" s="3" t="s">
        <v>1020</v>
      </c>
      <c r="E1584" s="3" t="s">
        <v>435</v>
      </c>
      <c r="F1584" s="1">
        <v>45939</v>
      </c>
      <c r="G1584" t="str">
        <f t="shared" si="25"/>
        <v>Oct -2025</v>
      </c>
      <c r="H1584" s="12"/>
    </row>
    <row r="1585" spans="1:8" x14ac:dyDescent="0.3">
      <c r="A1585" s="2">
        <v>1061775</v>
      </c>
      <c r="B1585" s="3" t="s">
        <v>1323</v>
      </c>
      <c r="C1585" s="3" t="s">
        <v>1010</v>
      </c>
      <c r="D1585" s="3" t="s">
        <v>1020</v>
      </c>
      <c r="E1585" s="3" t="s">
        <v>435</v>
      </c>
      <c r="F1585" s="1">
        <v>45939</v>
      </c>
      <c r="G1585" t="str">
        <f t="shared" si="25"/>
        <v>Oct -2025</v>
      </c>
      <c r="H1585" s="12"/>
    </row>
    <row r="1586" spans="1:8" x14ac:dyDescent="0.3">
      <c r="A1586" s="2">
        <v>1000269</v>
      </c>
      <c r="B1586" s="3" t="s">
        <v>1014</v>
      </c>
      <c r="C1586" s="3" t="s">
        <v>1010</v>
      </c>
      <c r="D1586" s="3" t="s">
        <v>1020</v>
      </c>
      <c r="E1586" s="3" t="s">
        <v>466</v>
      </c>
      <c r="F1586" s="1">
        <v>45939</v>
      </c>
      <c r="G1586" t="str">
        <f t="shared" si="25"/>
        <v>Oct -2025</v>
      </c>
      <c r="H1586" s="12"/>
    </row>
    <row r="1587" spans="1:8" x14ac:dyDescent="0.3">
      <c r="A1587" s="2">
        <v>1065391</v>
      </c>
      <c r="B1587" s="3" t="s">
        <v>1315</v>
      </c>
      <c r="C1587" s="3" t="s">
        <v>1010</v>
      </c>
      <c r="D1587" s="3" t="s">
        <v>209</v>
      </c>
      <c r="E1587" s="3" t="s">
        <v>225</v>
      </c>
      <c r="F1587" s="1">
        <v>45939</v>
      </c>
      <c r="G1587" t="str">
        <f t="shared" si="25"/>
        <v>Oct -2025</v>
      </c>
      <c r="H1587" s="12"/>
    </row>
    <row r="1588" spans="1:8" x14ac:dyDescent="0.3">
      <c r="A1588" s="2">
        <v>1065346</v>
      </c>
      <c r="B1588" s="3" t="s">
        <v>1315</v>
      </c>
      <c r="C1588" s="3" t="s">
        <v>1010</v>
      </c>
      <c r="D1588" s="3" t="s">
        <v>209</v>
      </c>
      <c r="E1588" s="3" t="s">
        <v>225</v>
      </c>
      <c r="F1588" s="1">
        <v>45939</v>
      </c>
      <c r="G1588" t="str">
        <f t="shared" si="25"/>
        <v>Oct -2025</v>
      </c>
      <c r="H1588" s="12"/>
    </row>
    <row r="1589" spans="1:8" x14ac:dyDescent="0.3">
      <c r="A1589" s="2">
        <v>900004738</v>
      </c>
      <c r="B1589" s="3" t="s">
        <v>1332</v>
      </c>
      <c r="C1589" s="3" t="s">
        <v>1010</v>
      </c>
      <c r="D1589" s="3" t="s">
        <v>209</v>
      </c>
      <c r="E1589" s="3" t="s">
        <v>322</v>
      </c>
      <c r="F1589" s="1">
        <v>45939</v>
      </c>
      <c r="G1589" t="str">
        <f t="shared" si="25"/>
        <v>Oct -2025</v>
      </c>
      <c r="H1589" s="12"/>
    </row>
    <row r="1590" spans="1:8" x14ac:dyDescent="0.3">
      <c r="A1590" s="2">
        <v>900004790</v>
      </c>
      <c r="B1590" s="3" t="s">
        <v>1333</v>
      </c>
      <c r="C1590" s="3" t="s">
        <v>1010</v>
      </c>
      <c r="D1590" s="3" t="s">
        <v>209</v>
      </c>
      <c r="E1590" s="3" t="s">
        <v>322</v>
      </c>
      <c r="F1590" s="1">
        <v>45939</v>
      </c>
      <c r="G1590" t="str">
        <f t="shared" si="25"/>
        <v>Oct -2025</v>
      </c>
      <c r="H1590" s="12"/>
    </row>
    <row r="1591" spans="1:8" x14ac:dyDescent="0.3">
      <c r="A1591" s="2">
        <v>1065079</v>
      </c>
      <c r="B1591" s="3" t="s">
        <v>1334</v>
      </c>
      <c r="C1591" s="3" t="s">
        <v>1010</v>
      </c>
      <c r="D1591" s="3" t="s">
        <v>364</v>
      </c>
      <c r="E1591" s="3" t="s">
        <v>15</v>
      </c>
      <c r="F1591" s="1">
        <v>45939</v>
      </c>
      <c r="G1591" t="str">
        <f t="shared" si="25"/>
        <v>Oct -2025</v>
      </c>
      <c r="H1591" s="12"/>
    </row>
    <row r="1592" spans="1:8" x14ac:dyDescent="0.3">
      <c r="A1592" s="2">
        <v>100004222</v>
      </c>
      <c r="B1592" s="3" t="s">
        <v>1335</v>
      </c>
      <c r="C1592" s="3" t="s">
        <v>1011</v>
      </c>
      <c r="D1592" s="3" t="s">
        <v>972</v>
      </c>
      <c r="E1592" s="3" t="s">
        <v>982</v>
      </c>
      <c r="F1592" s="1">
        <v>45939</v>
      </c>
      <c r="G1592" t="str">
        <f t="shared" si="25"/>
        <v>Oct -2025</v>
      </c>
      <c r="H1592" s="12"/>
    </row>
    <row r="1593" spans="1:8" x14ac:dyDescent="0.3">
      <c r="A1593" s="2">
        <v>200002619</v>
      </c>
      <c r="B1593" s="3" t="s">
        <v>1336</v>
      </c>
      <c r="C1593" s="3" t="s">
        <v>1010</v>
      </c>
      <c r="D1593" s="3" t="s">
        <v>192</v>
      </c>
      <c r="E1593" s="3" t="s">
        <v>418</v>
      </c>
      <c r="F1593" s="1">
        <v>45944</v>
      </c>
      <c r="G1593" t="str">
        <f t="shared" si="25"/>
        <v>Oct -2025</v>
      </c>
      <c r="H1593" s="12"/>
    </row>
    <row r="1594" spans="1:8" x14ac:dyDescent="0.3">
      <c r="A1594" s="2">
        <v>1079589</v>
      </c>
      <c r="B1594" s="3" t="s">
        <v>1337</v>
      </c>
      <c r="C1594" s="3" t="s">
        <v>1010</v>
      </c>
      <c r="D1594" s="3" t="s">
        <v>209</v>
      </c>
      <c r="E1594" s="3" t="s">
        <v>210</v>
      </c>
      <c r="F1594" s="1">
        <v>45944</v>
      </c>
      <c r="G1594" t="str">
        <f t="shared" si="25"/>
        <v>Oct -2025</v>
      </c>
      <c r="H1594" s="12"/>
    </row>
    <row r="1595" spans="1:8" x14ac:dyDescent="0.3">
      <c r="A1595" s="2">
        <v>1080005</v>
      </c>
      <c r="B1595" s="3" t="s">
        <v>47</v>
      </c>
      <c r="C1595" s="3" t="s">
        <v>1010</v>
      </c>
      <c r="D1595" s="3" t="s">
        <v>1020</v>
      </c>
      <c r="E1595" s="3" t="s">
        <v>211</v>
      </c>
      <c r="F1595" s="1">
        <v>45944</v>
      </c>
      <c r="G1595" t="str">
        <f t="shared" si="25"/>
        <v>Oct -2025</v>
      </c>
      <c r="H1595" s="12"/>
    </row>
    <row r="1596" spans="1:8" x14ac:dyDescent="0.3">
      <c r="A1596" s="2">
        <v>1080080</v>
      </c>
      <c r="B1596" s="3" t="s">
        <v>384</v>
      </c>
      <c r="C1596" s="3" t="s">
        <v>1010</v>
      </c>
      <c r="D1596" s="3" t="s">
        <v>209</v>
      </c>
      <c r="E1596" s="3" t="s">
        <v>357</v>
      </c>
      <c r="F1596" s="1">
        <v>45944</v>
      </c>
      <c r="G1596" t="str">
        <f t="shared" si="25"/>
        <v>Oct -2025</v>
      </c>
      <c r="H1596" s="12"/>
    </row>
    <row r="1597" spans="1:8" x14ac:dyDescent="0.3">
      <c r="A1597" s="2">
        <v>1080493</v>
      </c>
      <c r="B1597" s="3" t="s">
        <v>1315</v>
      </c>
      <c r="C1597" s="3" t="s">
        <v>1010</v>
      </c>
      <c r="D1597" s="3" t="s">
        <v>209</v>
      </c>
      <c r="E1597" s="3" t="s">
        <v>225</v>
      </c>
      <c r="F1597" s="1">
        <v>45944</v>
      </c>
      <c r="G1597" t="str">
        <f t="shared" si="25"/>
        <v>Oct -2025</v>
      </c>
      <c r="H1597" s="12"/>
    </row>
    <row r="1598" spans="1:8" x14ac:dyDescent="0.3">
      <c r="A1598" s="2">
        <v>1080621</v>
      </c>
      <c r="B1598" s="3" t="s">
        <v>1315</v>
      </c>
      <c r="C1598" s="3" t="s">
        <v>1010</v>
      </c>
      <c r="D1598" s="3" t="s">
        <v>209</v>
      </c>
      <c r="E1598" s="3" t="s">
        <v>225</v>
      </c>
      <c r="F1598" s="1">
        <v>45944</v>
      </c>
      <c r="G1598" t="str">
        <f t="shared" si="25"/>
        <v>Oct -2025</v>
      </c>
      <c r="H1598" s="12"/>
    </row>
    <row r="1599" spans="1:8" x14ac:dyDescent="0.3">
      <c r="A1599" s="2">
        <v>1080494</v>
      </c>
      <c r="B1599" s="3" t="s">
        <v>1315</v>
      </c>
      <c r="C1599" s="3" t="s">
        <v>1010</v>
      </c>
      <c r="D1599" s="3" t="s">
        <v>209</v>
      </c>
      <c r="E1599" s="3" t="s">
        <v>225</v>
      </c>
      <c r="F1599" s="1">
        <v>45944</v>
      </c>
      <c r="G1599" t="str">
        <f t="shared" si="25"/>
        <v>Oct -2025</v>
      </c>
      <c r="H1599" s="12"/>
    </row>
    <row r="1600" spans="1:8" x14ac:dyDescent="0.3">
      <c r="A1600" s="2">
        <v>1080539</v>
      </c>
      <c r="B1600" s="3" t="s">
        <v>1315</v>
      </c>
      <c r="C1600" s="3" t="s">
        <v>1010</v>
      </c>
      <c r="D1600" s="3" t="s">
        <v>209</v>
      </c>
      <c r="E1600" s="3" t="s">
        <v>225</v>
      </c>
      <c r="F1600" s="1">
        <v>45944</v>
      </c>
      <c r="G1600" t="str">
        <f t="shared" si="25"/>
        <v>Oct -2025</v>
      </c>
      <c r="H1600" s="12"/>
    </row>
    <row r="1601" spans="1:8" x14ac:dyDescent="0.3">
      <c r="A1601" s="2">
        <v>1056493</v>
      </c>
      <c r="B1601" s="3" t="s">
        <v>444</v>
      </c>
      <c r="C1601" s="3" t="s">
        <v>1010</v>
      </c>
      <c r="D1601" s="3" t="s">
        <v>1020</v>
      </c>
      <c r="E1601" s="3" t="s">
        <v>338</v>
      </c>
      <c r="F1601" s="1">
        <v>45944</v>
      </c>
      <c r="G1601" t="str">
        <f t="shared" si="25"/>
        <v>Oct -2025</v>
      </c>
      <c r="H1601" s="12"/>
    </row>
    <row r="1602" spans="1:8" x14ac:dyDescent="0.3">
      <c r="A1602" s="2">
        <v>1056504</v>
      </c>
      <c r="B1602" s="3" t="s">
        <v>444</v>
      </c>
      <c r="C1602" s="3" t="s">
        <v>1010</v>
      </c>
      <c r="D1602" s="3" t="s">
        <v>1020</v>
      </c>
      <c r="E1602" s="3" t="s">
        <v>338</v>
      </c>
      <c r="F1602" s="1">
        <v>45944</v>
      </c>
      <c r="G1602" t="str">
        <f t="shared" ref="G1602:G1665" si="26">TEXT(F1602,"mmm -YYYY")</f>
        <v>Oct -2025</v>
      </c>
      <c r="H1602" s="12"/>
    </row>
    <row r="1603" spans="1:8" x14ac:dyDescent="0.3">
      <c r="A1603" s="2">
        <v>1080247</v>
      </c>
      <c r="B1603" s="3" t="s">
        <v>1338</v>
      </c>
      <c r="C1603" s="3" t="s">
        <v>1010</v>
      </c>
      <c r="D1603" s="3" t="s">
        <v>209</v>
      </c>
      <c r="E1603" s="3" t="s">
        <v>225</v>
      </c>
      <c r="F1603" s="1">
        <v>45944</v>
      </c>
      <c r="G1603" t="str">
        <f t="shared" si="26"/>
        <v>Oct -2025</v>
      </c>
      <c r="H1603" s="12"/>
    </row>
    <row r="1604" spans="1:8" x14ac:dyDescent="0.3">
      <c r="A1604" s="2">
        <v>100004226</v>
      </c>
      <c r="B1604" s="3" t="s">
        <v>1339</v>
      </c>
      <c r="C1604" s="3" t="s">
        <v>1011</v>
      </c>
      <c r="D1604" s="3" t="s">
        <v>972</v>
      </c>
      <c r="E1604" s="3" t="s">
        <v>979</v>
      </c>
      <c r="F1604" s="1">
        <v>45944</v>
      </c>
      <c r="G1604" t="str">
        <f t="shared" si="26"/>
        <v>Oct -2025</v>
      </c>
      <c r="H1604" s="12"/>
    </row>
    <row r="1605" spans="1:8" x14ac:dyDescent="0.3">
      <c r="A1605" s="2">
        <v>100004227</v>
      </c>
      <c r="B1605" s="3" t="s">
        <v>1340</v>
      </c>
      <c r="C1605" s="3" t="s">
        <v>1011</v>
      </c>
      <c r="D1605" s="3" t="s">
        <v>972</v>
      </c>
      <c r="E1605" s="3" t="s">
        <v>979</v>
      </c>
      <c r="F1605" s="1">
        <v>45944</v>
      </c>
      <c r="G1605" t="str">
        <f t="shared" si="26"/>
        <v>Oct -2025</v>
      </c>
      <c r="H1605" s="12"/>
    </row>
    <row r="1606" spans="1:8" x14ac:dyDescent="0.3">
      <c r="A1606" s="2">
        <v>100004214</v>
      </c>
      <c r="B1606" s="3" t="s">
        <v>1341</v>
      </c>
      <c r="C1606" s="3" t="s">
        <v>1011</v>
      </c>
      <c r="D1606" s="3" t="s">
        <v>972</v>
      </c>
      <c r="E1606" s="3" t="s">
        <v>967</v>
      </c>
      <c r="F1606" s="1">
        <v>45944</v>
      </c>
      <c r="G1606" t="str">
        <f t="shared" si="26"/>
        <v>Oct -2025</v>
      </c>
      <c r="H1606" s="12"/>
    </row>
    <row r="1607" spans="1:8" x14ac:dyDescent="0.3">
      <c r="A1607" s="2">
        <v>100004217</v>
      </c>
      <c r="B1607" s="3" t="s">
        <v>1342</v>
      </c>
      <c r="C1607" s="3" t="s">
        <v>1011</v>
      </c>
      <c r="D1607" s="3" t="s">
        <v>972</v>
      </c>
      <c r="E1607" s="3" t="s">
        <v>967</v>
      </c>
      <c r="F1607" s="1">
        <v>45944</v>
      </c>
      <c r="G1607" t="str">
        <f t="shared" si="26"/>
        <v>Oct -2025</v>
      </c>
      <c r="H1607" s="12"/>
    </row>
    <row r="1608" spans="1:8" x14ac:dyDescent="0.3">
      <c r="A1608" s="2">
        <v>100004213</v>
      </c>
      <c r="B1608" s="3" t="s">
        <v>1343</v>
      </c>
      <c r="C1608" s="3" t="s">
        <v>1011</v>
      </c>
      <c r="D1608" s="3" t="s">
        <v>972</v>
      </c>
      <c r="E1608" s="3" t="s">
        <v>967</v>
      </c>
      <c r="F1608" s="1">
        <v>45944</v>
      </c>
      <c r="G1608" t="str">
        <f t="shared" si="26"/>
        <v>Oct -2025</v>
      </c>
      <c r="H1608" s="12"/>
    </row>
    <row r="1609" spans="1:8" x14ac:dyDescent="0.3">
      <c r="A1609" s="2">
        <v>100004281</v>
      </c>
      <c r="B1609" s="3" t="s">
        <v>1241</v>
      </c>
      <c r="C1609" s="3" t="s">
        <v>1011</v>
      </c>
      <c r="D1609" s="3" t="s">
        <v>972</v>
      </c>
      <c r="E1609" s="3" t="s">
        <v>1103</v>
      </c>
      <c r="F1609" s="1">
        <v>45944</v>
      </c>
      <c r="G1609" t="str">
        <f t="shared" si="26"/>
        <v>Oct -2025</v>
      </c>
      <c r="H1609" s="12"/>
    </row>
    <row r="1610" spans="1:8" x14ac:dyDescent="0.3">
      <c r="A1610" s="2">
        <v>100004282</v>
      </c>
      <c r="B1610" s="3" t="s">
        <v>1241</v>
      </c>
      <c r="C1610" s="3" t="s">
        <v>1011</v>
      </c>
      <c r="D1610" s="3" t="s">
        <v>972</v>
      </c>
      <c r="E1610" s="3" t="s">
        <v>1103</v>
      </c>
      <c r="F1610" s="1">
        <v>45944</v>
      </c>
      <c r="G1610" t="str">
        <f t="shared" si="26"/>
        <v>Oct -2025</v>
      </c>
      <c r="H1610" s="12"/>
    </row>
    <row r="1611" spans="1:8" x14ac:dyDescent="0.3">
      <c r="A1611" s="2">
        <v>100004239</v>
      </c>
      <c r="B1611" s="3" t="s">
        <v>1344</v>
      </c>
      <c r="C1611" s="3" t="s">
        <v>1011</v>
      </c>
      <c r="D1611" s="3" t="s">
        <v>972</v>
      </c>
      <c r="E1611" s="3" t="s">
        <v>981</v>
      </c>
      <c r="F1611" s="1">
        <v>45945</v>
      </c>
      <c r="G1611" t="str">
        <f t="shared" si="26"/>
        <v>Oct -2025</v>
      </c>
      <c r="H1611" s="12"/>
    </row>
    <row r="1612" spans="1:8" x14ac:dyDescent="0.3">
      <c r="A1612" s="2">
        <v>100004036</v>
      </c>
      <c r="B1612" s="3" t="s">
        <v>1345</v>
      </c>
      <c r="C1612" s="3" t="s">
        <v>1011</v>
      </c>
      <c r="D1612" s="3" t="s">
        <v>972</v>
      </c>
      <c r="E1612" s="3" t="s">
        <v>981</v>
      </c>
      <c r="F1612" s="1">
        <v>45945</v>
      </c>
      <c r="G1612" t="str">
        <f t="shared" si="26"/>
        <v>Oct -2025</v>
      </c>
      <c r="H1612" s="12"/>
    </row>
    <row r="1613" spans="1:8" x14ac:dyDescent="0.3">
      <c r="A1613" s="2">
        <v>100004242</v>
      </c>
      <c r="B1613" s="3" t="s">
        <v>1346</v>
      </c>
      <c r="C1613" s="3" t="s">
        <v>1011</v>
      </c>
      <c r="D1613" s="3" t="s">
        <v>972</v>
      </c>
      <c r="E1613" s="3" t="s">
        <v>982</v>
      </c>
      <c r="F1613" s="1">
        <v>45945</v>
      </c>
      <c r="G1613" t="str">
        <f t="shared" si="26"/>
        <v>Oct -2025</v>
      </c>
      <c r="H1613" s="12"/>
    </row>
    <row r="1614" spans="1:8" x14ac:dyDescent="0.3">
      <c r="A1614" s="2">
        <v>100004282</v>
      </c>
      <c r="B1614" s="3" t="s">
        <v>1241</v>
      </c>
      <c r="C1614" s="3" t="s">
        <v>1011</v>
      </c>
      <c r="D1614" s="3" t="s">
        <v>972</v>
      </c>
      <c r="E1614" s="3" t="s">
        <v>1103</v>
      </c>
      <c r="F1614" s="1">
        <v>45945</v>
      </c>
      <c r="G1614" t="str">
        <f t="shared" si="26"/>
        <v>Oct -2025</v>
      </c>
      <c r="H1614" s="12"/>
    </row>
    <row r="1615" spans="1:8" x14ac:dyDescent="0.3">
      <c r="A1615" s="2">
        <v>100004229</v>
      </c>
      <c r="B1615" s="3" t="s">
        <v>1347</v>
      </c>
      <c r="C1615" s="3" t="s">
        <v>1011</v>
      </c>
      <c r="D1615" s="3" t="s">
        <v>972</v>
      </c>
      <c r="E1615" s="3" t="s">
        <v>979</v>
      </c>
      <c r="F1615" s="1">
        <v>45945</v>
      </c>
      <c r="G1615" t="str">
        <f t="shared" si="26"/>
        <v>Oct -2025</v>
      </c>
      <c r="H1615" s="12"/>
    </row>
    <row r="1616" spans="1:8" x14ac:dyDescent="0.3">
      <c r="A1616" s="2">
        <v>100004283</v>
      </c>
      <c r="B1616" s="3" t="s">
        <v>1348</v>
      </c>
      <c r="C1616" s="3" t="s">
        <v>1011</v>
      </c>
      <c r="D1616" s="3" t="s">
        <v>972</v>
      </c>
      <c r="E1616" s="3" t="s">
        <v>982</v>
      </c>
      <c r="F1616" s="1">
        <v>45945</v>
      </c>
      <c r="G1616" t="str">
        <f t="shared" si="26"/>
        <v>Oct -2025</v>
      </c>
      <c r="H1616" s="12"/>
    </row>
    <row r="1617" spans="1:8" x14ac:dyDescent="0.3">
      <c r="A1617" s="2">
        <v>1081252</v>
      </c>
      <c r="B1617" s="3" t="s">
        <v>1349</v>
      </c>
      <c r="C1617" s="3" t="s">
        <v>1010</v>
      </c>
      <c r="D1617" s="3" t="s">
        <v>1259</v>
      </c>
      <c r="E1617" s="3" t="s">
        <v>228</v>
      </c>
      <c r="F1617" s="1">
        <v>45945</v>
      </c>
      <c r="G1617" t="str">
        <f t="shared" si="26"/>
        <v>Oct -2025</v>
      </c>
      <c r="H1617" s="12"/>
    </row>
    <row r="1618" spans="1:8" x14ac:dyDescent="0.3">
      <c r="A1618" s="2">
        <v>1083323</v>
      </c>
      <c r="B1618" s="3" t="s">
        <v>1350</v>
      </c>
      <c r="C1618" s="3" t="s">
        <v>1010</v>
      </c>
      <c r="D1618" s="3" t="s">
        <v>209</v>
      </c>
      <c r="E1618" s="3" t="s">
        <v>225</v>
      </c>
      <c r="F1618" s="1">
        <v>45945</v>
      </c>
      <c r="G1618" t="str">
        <f t="shared" si="26"/>
        <v>Oct -2025</v>
      </c>
      <c r="H1618" s="12"/>
    </row>
    <row r="1619" spans="1:8" x14ac:dyDescent="0.3">
      <c r="A1619" s="2">
        <v>900004622</v>
      </c>
      <c r="B1619" s="3" t="s">
        <v>1351</v>
      </c>
      <c r="C1619" s="3" t="s">
        <v>1010</v>
      </c>
      <c r="D1619" s="3" t="s">
        <v>143</v>
      </c>
      <c r="E1619" s="3" t="s">
        <v>322</v>
      </c>
      <c r="F1619" s="1">
        <v>45945</v>
      </c>
      <c r="G1619" t="str">
        <f t="shared" si="26"/>
        <v>Oct -2025</v>
      </c>
      <c r="H1619" s="12"/>
    </row>
    <row r="1620" spans="1:8" x14ac:dyDescent="0.3">
      <c r="A1620" s="2">
        <v>200001463</v>
      </c>
      <c r="B1620" s="3" t="s">
        <v>1250</v>
      </c>
      <c r="C1620" s="3" t="s">
        <v>1010</v>
      </c>
      <c r="D1620" s="3" t="s">
        <v>1229</v>
      </c>
      <c r="E1620" s="3" t="s">
        <v>7</v>
      </c>
      <c r="F1620" s="1">
        <v>45945</v>
      </c>
      <c r="G1620" t="str">
        <f t="shared" si="26"/>
        <v>Oct -2025</v>
      </c>
      <c r="H1620" s="12"/>
    </row>
    <row r="1621" spans="1:8" x14ac:dyDescent="0.3">
      <c r="A1621" s="2">
        <v>200001464</v>
      </c>
      <c r="B1621" s="3" t="s">
        <v>1250</v>
      </c>
      <c r="C1621" s="3" t="s">
        <v>1010</v>
      </c>
      <c r="D1621" s="3" t="s">
        <v>1229</v>
      </c>
      <c r="E1621" s="3" t="s">
        <v>7</v>
      </c>
      <c r="F1621" s="1">
        <v>45945</v>
      </c>
      <c r="G1621" t="str">
        <f t="shared" si="26"/>
        <v>Oct -2025</v>
      </c>
      <c r="H1621" s="12"/>
    </row>
    <row r="1622" spans="1:8" x14ac:dyDescent="0.3">
      <c r="A1622" s="2">
        <v>1083182</v>
      </c>
      <c r="B1622" s="3" t="s">
        <v>1352</v>
      </c>
      <c r="C1622" s="3" t="s">
        <v>1010</v>
      </c>
      <c r="D1622" s="3" t="s">
        <v>209</v>
      </c>
      <c r="E1622" s="3" t="s">
        <v>225</v>
      </c>
      <c r="F1622" s="1">
        <v>45945</v>
      </c>
      <c r="G1622" t="str">
        <f t="shared" si="26"/>
        <v>Oct -2025</v>
      </c>
      <c r="H1622" s="12"/>
    </row>
    <row r="1623" spans="1:8" x14ac:dyDescent="0.3">
      <c r="A1623" s="2">
        <v>1015084</v>
      </c>
      <c r="B1623" s="3" t="s">
        <v>1353</v>
      </c>
      <c r="C1623" s="3" t="s">
        <v>1010</v>
      </c>
      <c r="D1623" s="3" t="s">
        <v>1020</v>
      </c>
      <c r="E1623" s="3" t="s">
        <v>1301</v>
      </c>
      <c r="F1623" s="1">
        <v>45945</v>
      </c>
      <c r="G1623" t="str">
        <f t="shared" si="26"/>
        <v>Oct -2025</v>
      </c>
      <c r="H1623" s="12"/>
    </row>
    <row r="1624" spans="1:8" x14ac:dyDescent="0.3">
      <c r="A1624" s="2">
        <v>1083755</v>
      </c>
      <c r="B1624" s="3" t="s">
        <v>53</v>
      </c>
      <c r="C1624" s="3" t="s">
        <v>1010</v>
      </c>
      <c r="D1624" s="3" t="s">
        <v>1020</v>
      </c>
      <c r="E1624" s="3" t="s">
        <v>268</v>
      </c>
      <c r="F1624" s="1">
        <v>45946</v>
      </c>
      <c r="G1624" t="str">
        <f t="shared" si="26"/>
        <v>Oct -2025</v>
      </c>
      <c r="H1624" s="12"/>
    </row>
    <row r="1625" spans="1:8" x14ac:dyDescent="0.3">
      <c r="A1625" s="2">
        <v>1053785</v>
      </c>
      <c r="B1625" s="3" t="s">
        <v>750</v>
      </c>
      <c r="C1625" s="3" t="s">
        <v>1010</v>
      </c>
      <c r="D1625" s="3" t="s">
        <v>1020</v>
      </c>
      <c r="E1625" s="3" t="s">
        <v>338</v>
      </c>
      <c r="F1625" s="1">
        <v>45946</v>
      </c>
      <c r="G1625" t="str">
        <f t="shared" si="26"/>
        <v>Oct -2025</v>
      </c>
      <c r="H1625" s="12"/>
    </row>
    <row r="1626" spans="1:8" x14ac:dyDescent="0.3">
      <c r="A1626" s="2">
        <v>1083817</v>
      </c>
      <c r="B1626" s="3" t="s">
        <v>1354</v>
      </c>
      <c r="C1626" s="3" t="s">
        <v>1010</v>
      </c>
      <c r="D1626" s="3" t="s">
        <v>209</v>
      </c>
      <c r="E1626" s="3" t="s">
        <v>225</v>
      </c>
      <c r="F1626" s="1">
        <v>45946</v>
      </c>
      <c r="G1626" t="str">
        <f t="shared" si="26"/>
        <v>Oct -2025</v>
      </c>
      <c r="H1626" s="12"/>
    </row>
    <row r="1627" spans="1:8" x14ac:dyDescent="0.3">
      <c r="A1627" s="2">
        <v>200001465</v>
      </c>
      <c r="B1627" s="3" t="s">
        <v>1355</v>
      </c>
      <c r="C1627" s="3" t="s">
        <v>1010</v>
      </c>
      <c r="D1627" s="3" t="s">
        <v>1229</v>
      </c>
      <c r="E1627" s="3" t="s">
        <v>7</v>
      </c>
      <c r="F1627" s="1">
        <v>45946</v>
      </c>
      <c r="G1627" t="str">
        <f t="shared" si="26"/>
        <v>Oct -2025</v>
      </c>
      <c r="H1627" s="12"/>
    </row>
    <row r="1628" spans="1:8" x14ac:dyDescent="0.3">
      <c r="A1628" s="2">
        <v>1084090</v>
      </c>
      <c r="B1628" s="3" t="s">
        <v>1356</v>
      </c>
      <c r="C1628" s="3" t="s">
        <v>1010</v>
      </c>
      <c r="D1628" s="3" t="s">
        <v>1020</v>
      </c>
      <c r="E1628" s="3" t="s">
        <v>435</v>
      </c>
      <c r="F1628" s="1">
        <v>45946</v>
      </c>
      <c r="G1628" t="str">
        <f t="shared" si="26"/>
        <v>Oct -2025</v>
      </c>
      <c r="H1628" s="12"/>
    </row>
    <row r="1629" spans="1:8" x14ac:dyDescent="0.3">
      <c r="A1629" s="2">
        <v>1081191</v>
      </c>
      <c r="B1629" s="3" t="s">
        <v>1357</v>
      </c>
      <c r="C1629" s="3" t="s">
        <v>1010</v>
      </c>
      <c r="D1629" s="3" t="s">
        <v>1020</v>
      </c>
      <c r="E1629" s="3" t="s">
        <v>435</v>
      </c>
      <c r="F1629" s="1">
        <v>45946</v>
      </c>
      <c r="G1629" t="str">
        <f t="shared" si="26"/>
        <v>Oct -2025</v>
      </c>
      <c r="H1629" s="12"/>
    </row>
    <row r="1630" spans="1:8" x14ac:dyDescent="0.3">
      <c r="A1630" s="2">
        <v>1083207</v>
      </c>
      <c r="B1630" s="3" t="s">
        <v>1358</v>
      </c>
      <c r="C1630" s="3" t="s">
        <v>1010</v>
      </c>
      <c r="D1630" s="3" t="s">
        <v>364</v>
      </c>
      <c r="E1630" s="3" t="s">
        <v>15</v>
      </c>
      <c r="F1630" s="1">
        <v>45946</v>
      </c>
      <c r="G1630" t="str">
        <f t="shared" si="26"/>
        <v>Oct -2025</v>
      </c>
      <c r="H1630" s="12"/>
    </row>
    <row r="1631" spans="1:8" x14ac:dyDescent="0.3">
      <c r="A1631" s="2">
        <v>1083910</v>
      </c>
      <c r="B1631" s="3" t="s">
        <v>1354</v>
      </c>
      <c r="C1631" s="3" t="s">
        <v>1010</v>
      </c>
      <c r="D1631" s="3" t="s">
        <v>209</v>
      </c>
      <c r="E1631" s="3" t="s">
        <v>225</v>
      </c>
      <c r="F1631" s="1">
        <v>45946</v>
      </c>
      <c r="G1631" t="str">
        <f t="shared" si="26"/>
        <v>Oct -2025</v>
      </c>
      <c r="H1631" s="12"/>
    </row>
    <row r="1632" spans="1:8" x14ac:dyDescent="0.3">
      <c r="A1632" s="2">
        <v>1087561</v>
      </c>
      <c r="B1632" s="3" t="s">
        <v>1359</v>
      </c>
      <c r="C1632" s="3" t="s">
        <v>1010</v>
      </c>
      <c r="D1632" s="3" t="s">
        <v>1259</v>
      </c>
      <c r="E1632" s="3" t="s">
        <v>228</v>
      </c>
      <c r="F1632" s="1">
        <v>45946</v>
      </c>
      <c r="G1632" t="str">
        <f t="shared" si="26"/>
        <v>Oct -2025</v>
      </c>
      <c r="H1632" s="12"/>
    </row>
    <row r="1633" spans="1:8" x14ac:dyDescent="0.3">
      <c r="A1633" s="2">
        <v>100004037</v>
      </c>
      <c r="B1633" s="3" t="s">
        <v>1360</v>
      </c>
      <c r="C1633" s="3" t="s">
        <v>1011</v>
      </c>
      <c r="D1633" s="3" t="s">
        <v>972</v>
      </c>
      <c r="E1633" s="3" t="s">
        <v>981</v>
      </c>
      <c r="F1633" s="1">
        <v>45946</v>
      </c>
      <c r="G1633" t="str">
        <f t="shared" si="26"/>
        <v>Oct -2025</v>
      </c>
      <c r="H1633" s="12"/>
    </row>
    <row r="1634" spans="1:8" x14ac:dyDescent="0.3">
      <c r="A1634" s="2">
        <v>100004286</v>
      </c>
      <c r="B1634" s="3" t="s">
        <v>1361</v>
      </c>
      <c r="C1634" s="3" t="s">
        <v>1011</v>
      </c>
      <c r="D1634" s="3" t="s">
        <v>972</v>
      </c>
      <c r="E1634" s="3" t="s">
        <v>988</v>
      </c>
      <c r="F1634" s="1">
        <v>45946</v>
      </c>
      <c r="G1634" t="str">
        <f t="shared" si="26"/>
        <v>Oct -2025</v>
      </c>
      <c r="H1634" s="12"/>
    </row>
    <row r="1635" spans="1:8" x14ac:dyDescent="0.3">
      <c r="A1635" s="2">
        <v>100004208</v>
      </c>
      <c r="B1635" s="3" t="s">
        <v>1362</v>
      </c>
      <c r="C1635" s="3" t="s">
        <v>1011</v>
      </c>
      <c r="D1635" s="3" t="s">
        <v>972</v>
      </c>
      <c r="E1635" s="3" t="s">
        <v>983</v>
      </c>
      <c r="F1635" s="1">
        <v>45947</v>
      </c>
      <c r="G1635" t="str">
        <f t="shared" si="26"/>
        <v>Oct -2025</v>
      </c>
      <c r="H1635" s="12"/>
    </row>
    <row r="1636" spans="1:8" x14ac:dyDescent="0.3">
      <c r="A1636" s="2">
        <v>100004294</v>
      </c>
      <c r="B1636" s="3" t="s">
        <v>1363</v>
      </c>
      <c r="C1636" s="3" t="s">
        <v>1011</v>
      </c>
      <c r="D1636" s="3" t="s">
        <v>972</v>
      </c>
      <c r="E1636" s="3" t="s">
        <v>983</v>
      </c>
      <c r="F1636" s="1">
        <v>45947</v>
      </c>
      <c r="G1636" t="str">
        <f t="shared" si="26"/>
        <v>Oct -2025</v>
      </c>
      <c r="H1636" s="12"/>
    </row>
    <row r="1637" spans="1:8" x14ac:dyDescent="0.3">
      <c r="A1637" s="2">
        <v>100004295</v>
      </c>
      <c r="B1637" s="3" t="s">
        <v>1364</v>
      </c>
      <c r="C1637" s="3" t="s">
        <v>1011</v>
      </c>
      <c r="D1637" s="3" t="s">
        <v>972</v>
      </c>
      <c r="E1637" s="3" t="s">
        <v>984</v>
      </c>
      <c r="F1637" s="1">
        <v>45947</v>
      </c>
      <c r="G1637" t="str">
        <f t="shared" si="26"/>
        <v>Oct -2025</v>
      </c>
      <c r="H1637" s="12"/>
    </row>
    <row r="1638" spans="1:8" x14ac:dyDescent="0.3">
      <c r="A1638" s="2">
        <v>100004244</v>
      </c>
      <c r="B1638" s="3" t="s">
        <v>1365</v>
      </c>
      <c r="C1638" s="3" t="s">
        <v>1011</v>
      </c>
      <c r="D1638" s="3" t="s">
        <v>972</v>
      </c>
      <c r="E1638" s="3" t="s">
        <v>1369</v>
      </c>
      <c r="F1638" s="1">
        <v>45947</v>
      </c>
      <c r="G1638" t="str">
        <f t="shared" si="26"/>
        <v>Oct -2025</v>
      </c>
      <c r="H1638" s="12"/>
    </row>
    <row r="1639" spans="1:8" x14ac:dyDescent="0.3">
      <c r="A1639" s="2">
        <v>100004157</v>
      </c>
      <c r="B1639" s="3" t="s">
        <v>1304</v>
      </c>
      <c r="C1639" s="3" t="s">
        <v>1011</v>
      </c>
      <c r="D1639" s="3" t="s">
        <v>974</v>
      </c>
      <c r="E1639" s="3" t="s">
        <v>977</v>
      </c>
      <c r="F1639" s="1">
        <v>45947</v>
      </c>
      <c r="G1639" t="str">
        <f t="shared" si="26"/>
        <v>Oct -2025</v>
      </c>
      <c r="H1639" s="12"/>
    </row>
    <row r="1640" spans="1:8" x14ac:dyDescent="0.3">
      <c r="A1640" s="2">
        <v>100004269</v>
      </c>
      <c r="B1640" s="3" t="s">
        <v>1366</v>
      </c>
      <c r="C1640" s="3" t="s">
        <v>1011</v>
      </c>
      <c r="D1640" s="3" t="s">
        <v>972</v>
      </c>
      <c r="E1640" s="3" t="s">
        <v>976</v>
      </c>
      <c r="F1640" s="1">
        <v>45947</v>
      </c>
      <c r="G1640" t="str">
        <f t="shared" si="26"/>
        <v>Oct -2025</v>
      </c>
      <c r="H1640" s="12"/>
    </row>
    <row r="1641" spans="1:8" x14ac:dyDescent="0.3">
      <c r="A1641" s="2">
        <v>100004277</v>
      </c>
      <c r="B1641" s="3" t="s">
        <v>1367</v>
      </c>
      <c r="C1641" s="3" t="s">
        <v>1011</v>
      </c>
      <c r="D1641" s="3" t="s">
        <v>972</v>
      </c>
      <c r="E1641" s="3" t="s">
        <v>970</v>
      </c>
      <c r="F1641" s="1">
        <v>45947</v>
      </c>
      <c r="G1641" t="str">
        <f t="shared" si="26"/>
        <v>Oct -2025</v>
      </c>
      <c r="H1641" s="12"/>
    </row>
    <row r="1642" spans="1:8" x14ac:dyDescent="0.3">
      <c r="A1642" s="2">
        <v>100004298</v>
      </c>
      <c r="B1642" s="3" t="s">
        <v>1368</v>
      </c>
      <c r="C1642" s="3" t="s">
        <v>1011</v>
      </c>
      <c r="D1642" s="3" t="s">
        <v>972</v>
      </c>
      <c r="E1642" s="3" t="s">
        <v>967</v>
      </c>
      <c r="F1642" s="1">
        <v>45947</v>
      </c>
      <c r="G1642" t="str">
        <f t="shared" si="26"/>
        <v>Oct -2025</v>
      </c>
      <c r="H1642" s="12"/>
    </row>
    <row r="1643" spans="1:8" x14ac:dyDescent="0.3">
      <c r="A1643" s="2">
        <v>1087335</v>
      </c>
      <c r="B1643" s="3" t="s">
        <v>1370</v>
      </c>
      <c r="C1643" s="3" t="s">
        <v>1010</v>
      </c>
      <c r="D1643" s="3" t="s">
        <v>1259</v>
      </c>
      <c r="E1643" s="3" t="s">
        <v>228</v>
      </c>
      <c r="F1643" s="1">
        <v>45947</v>
      </c>
      <c r="G1643" t="str">
        <f t="shared" si="26"/>
        <v>Oct -2025</v>
      </c>
      <c r="H1643" s="12"/>
    </row>
    <row r="1644" spans="1:8" x14ac:dyDescent="0.3">
      <c r="A1644" s="2">
        <v>1087181</v>
      </c>
      <c r="B1644" s="3" t="s">
        <v>47</v>
      </c>
      <c r="C1644" s="3" t="s">
        <v>1010</v>
      </c>
      <c r="D1644" s="3" t="s">
        <v>1020</v>
      </c>
      <c r="E1644" s="3" t="s">
        <v>211</v>
      </c>
      <c r="F1644" s="1">
        <v>45947</v>
      </c>
      <c r="G1644" t="str">
        <f t="shared" si="26"/>
        <v>Oct -2025</v>
      </c>
      <c r="H1644" s="12"/>
    </row>
    <row r="1645" spans="1:8" x14ac:dyDescent="0.3">
      <c r="A1645" s="2">
        <v>1087105</v>
      </c>
      <c r="B1645" s="3" t="s">
        <v>47</v>
      </c>
      <c r="C1645" s="3" t="s">
        <v>1010</v>
      </c>
      <c r="D1645" s="3" t="s">
        <v>1020</v>
      </c>
      <c r="E1645" s="3" t="s">
        <v>211</v>
      </c>
      <c r="F1645" s="1">
        <v>45947</v>
      </c>
      <c r="G1645" t="str">
        <f t="shared" si="26"/>
        <v>Oct -2025</v>
      </c>
      <c r="H1645" s="12"/>
    </row>
    <row r="1646" spans="1:8" x14ac:dyDescent="0.3">
      <c r="A1646" s="2">
        <v>200002576</v>
      </c>
      <c r="B1646" s="3" t="s">
        <v>1371</v>
      </c>
      <c r="C1646" s="3" t="s">
        <v>1010</v>
      </c>
      <c r="D1646" s="3" t="s">
        <v>192</v>
      </c>
      <c r="E1646" s="3" t="s">
        <v>287</v>
      </c>
      <c r="F1646" s="1">
        <v>45947</v>
      </c>
      <c r="G1646" t="str">
        <f t="shared" si="26"/>
        <v>Oct -2025</v>
      </c>
      <c r="H1646" s="12"/>
    </row>
    <row r="1647" spans="1:8" x14ac:dyDescent="0.3">
      <c r="A1647" s="2">
        <v>1087181</v>
      </c>
      <c r="B1647" s="3" t="s">
        <v>47</v>
      </c>
      <c r="C1647" s="3" t="s">
        <v>1010</v>
      </c>
      <c r="D1647" s="3" t="s">
        <v>1020</v>
      </c>
      <c r="E1647" s="3" t="s">
        <v>211</v>
      </c>
      <c r="F1647" s="1">
        <v>45947</v>
      </c>
      <c r="G1647" t="str">
        <f t="shared" si="26"/>
        <v>Oct -2025</v>
      </c>
      <c r="H1647" s="12"/>
    </row>
    <row r="1648" spans="1:8" x14ac:dyDescent="0.3">
      <c r="A1648" s="2">
        <v>1087105</v>
      </c>
      <c r="B1648" s="3" t="s">
        <v>47</v>
      </c>
      <c r="C1648" s="3" t="s">
        <v>1010</v>
      </c>
      <c r="D1648" s="3" t="s">
        <v>1020</v>
      </c>
      <c r="E1648" s="3" t="s">
        <v>211</v>
      </c>
      <c r="F1648" s="1">
        <v>45947</v>
      </c>
      <c r="G1648" t="str">
        <f t="shared" si="26"/>
        <v>Oct -2025</v>
      </c>
      <c r="H1648" s="12"/>
    </row>
    <row r="1649" spans="1:8" x14ac:dyDescent="0.3">
      <c r="A1649" s="2">
        <v>1086988</v>
      </c>
      <c r="B1649" s="3" t="s">
        <v>1372</v>
      </c>
      <c r="C1649" s="3" t="s">
        <v>1010</v>
      </c>
      <c r="D1649" s="3" t="s">
        <v>364</v>
      </c>
      <c r="E1649" s="3" t="s">
        <v>15</v>
      </c>
      <c r="F1649" s="1">
        <v>45947</v>
      </c>
      <c r="G1649" t="str">
        <f t="shared" si="26"/>
        <v>Oct -2025</v>
      </c>
      <c r="H1649" s="12"/>
    </row>
    <row r="1650" spans="1:8" x14ac:dyDescent="0.3">
      <c r="A1650" s="2">
        <v>1091325</v>
      </c>
      <c r="B1650" s="3" t="s">
        <v>41</v>
      </c>
      <c r="C1650" s="3" t="s">
        <v>1010</v>
      </c>
      <c r="D1650" s="3" t="s">
        <v>1020</v>
      </c>
      <c r="E1650" s="3" t="s">
        <v>211</v>
      </c>
      <c r="F1650" s="1">
        <v>45950</v>
      </c>
      <c r="G1650" t="str">
        <f t="shared" si="26"/>
        <v>Oct -2025</v>
      </c>
      <c r="H1650" s="12"/>
    </row>
    <row r="1651" spans="1:8" x14ac:dyDescent="0.3">
      <c r="A1651" s="2">
        <v>1091524</v>
      </c>
      <c r="B1651" s="3" t="s">
        <v>41</v>
      </c>
      <c r="C1651" s="3" t="s">
        <v>1010</v>
      </c>
      <c r="D1651" s="3" t="s">
        <v>1020</v>
      </c>
      <c r="E1651" s="3" t="s">
        <v>211</v>
      </c>
      <c r="F1651" s="1">
        <v>45950</v>
      </c>
      <c r="G1651" t="str">
        <f t="shared" si="26"/>
        <v>Oct -2025</v>
      </c>
      <c r="H1651" s="12"/>
    </row>
    <row r="1652" spans="1:8" x14ac:dyDescent="0.3">
      <c r="A1652" s="2">
        <v>1091525</v>
      </c>
      <c r="B1652" s="3" t="s">
        <v>41</v>
      </c>
      <c r="C1652" s="3" t="s">
        <v>1010</v>
      </c>
      <c r="D1652" s="3" t="s">
        <v>1020</v>
      </c>
      <c r="E1652" s="3" t="s">
        <v>211</v>
      </c>
      <c r="F1652" s="1">
        <v>45950</v>
      </c>
      <c r="G1652" t="str">
        <f t="shared" si="26"/>
        <v>Oct -2025</v>
      </c>
      <c r="H1652" s="12"/>
    </row>
    <row r="1653" spans="1:8" x14ac:dyDescent="0.3">
      <c r="A1653" s="2">
        <v>1091024</v>
      </c>
      <c r="B1653" s="3" t="s">
        <v>47</v>
      </c>
      <c r="C1653" s="3" t="s">
        <v>1010</v>
      </c>
      <c r="D1653" s="3" t="s">
        <v>1020</v>
      </c>
      <c r="E1653" s="3" t="s">
        <v>211</v>
      </c>
      <c r="F1653" s="1">
        <v>45950</v>
      </c>
      <c r="G1653" t="str">
        <f t="shared" si="26"/>
        <v>Oct -2025</v>
      </c>
      <c r="H1653" s="12"/>
    </row>
    <row r="1654" spans="1:8" x14ac:dyDescent="0.3">
      <c r="A1654" s="2">
        <v>1083755</v>
      </c>
      <c r="B1654" s="3" t="s">
        <v>53</v>
      </c>
      <c r="C1654" s="3" t="s">
        <v>1010</v>
      </c>
      <c r="D1654" s="3" t="s">
        <v>1020</v>
      </c>
      <c r="E1654" s="3" t="s">
        <v>268</v>
      </c>
      <c r="F1654" s="1">
        <v>45950</v>
      </c>
      <c r="G1654" t="str">
        <f t="shared" si="26"/>
        <v>Oct -2025</v>
      </c>
      <c r="H1654" s="12"/>
    </row>
    <row r="1655" spans="1:8" x14ac:dyDescent="0.3">
      <c r="A1655" s="2">
        <v>200001468</v>
      </c>
      <c r="B1655" s="3" t="s">
        <v>1373</v>
      </c>
      <c r="C1655" s="3" t="s">
        <v>1010</v>
      </c>
      <c r="D1655" s="3" t="s">
        <v>1229</v>
      </c>
      <c r="E1655" s="3" t="s">
        <v>7</v>
      </c>
      <c r="F1655" s="1">
        <v>45950</v>
      </c>
      <c r="G1655" t="str">
        <f t="shared" si="26"/>
        <v>Oct -2025</v>
      </c>
      <c r="H1655" s="12"/>
    </row>
    <row r="1656" spans="1:8" x14ac:dyDescent="0.3">
      <c r="A1656" s="2">
        <v>200002577</v>
      </c>
      <c r="B1656" s="3" t="s">
        <v>1374</v>
      </c>
      <c r="C1656" s="3" t="s">
        <v>1010</v>
      </c>
      <c r="D1656" s="3" t="s">
        <v>192</v>
      </c>
      <c r="E1656" s="3" t="s">
        <v>216</v>
      </c>
      <c r="F1656" s="1">
        <v>45950</v>
      </c>
      <c r="G1656" t="str">
        <f t="shared" si="26"/>
        <v>Oct -2025</v>
      </c>
      <c r="H1656" s="12"/>
    </row>
    <row r="1657" spans="1:8" x14ac:dyDescent="0.3">
      <c r="A1657" s="2">
        <v>200002632</v>
      </c>
      <c r="B1657" s="3" t="s">
        <v>1375</v>
      </c>
      <c r="C1657" s="3" t="s">
        <v>1010</v>
      </c>
      <c r="D1657" s="3" t="s">
        <v>192</v>
      </c>
      <c r="E1657" s="3" t="s">
        <v>216</v>
      </c>
      <c r="F1657" s="1">
        <v>45950</v>
      </c>
      <c r="G1657" t="str">
        <f t="shared" si="26"/>
        <v>Oct -2025</v>
      </c>
      <c r="H1657" s="12"/>
    </row>
    <row r="1658" spans="1:8" x14ac:dyDescent="0.3">
      <c r="A1658" s="2">
        <v>1090668</v>
      </c>
      <c r="B1658" s="3" t="s">
        <v>1376</v>
      </c>
      <c r="C1658" s="3" t="s">
        <v>1010</v>
      </c>
      <c r="D1658" s="3" t="s">
        <v>364</v>
      </c>
      <c r="E1658" s="3" t="s">
        <v>15</v>
      </c>
      <c r="F1658" s="1">
        <v>45950</v>
      </c>
      <c r="G1658" t="str">
        <f t="shared" si="26"/>
        <v>Oct -2025</v>
      </c>
      <c r="H1658" s="12"/>
    </row>
    <row r="1659" spans="1:8" x14ac:dyDescent="0.3">
      <c r="A1659" s="2">
        <v>1098293</v>
      </c>
      <c r="B1659" s="3" t="s">
        <v>1377</v>
      </c>
      <c r="C1659" s="3" t="s">
        <v>1010</v>
      </c>
      <c r="D1659" s="3" t="s">
        <v>1259</v>
      </c>
      <c r="E1659" s="3" t="s">
        <v>228</v>
      </c>
      <c r="F1659" s="1">
        <v>45950</v>
      </c>
      <c r="G1659" t="str">
        <f t="shared" si="26"/>
        <v>Oct -2025</v>
      </c>
      <c r="H1659" s="12"/>
    </row>
    <row r="1660" spans="1:8" x14ac:dyDescent="0.3">
      <c r="A1660" s="2">
        <v>1098985</v>
      </c>
      <c r="B1660" s="3" t="s">
        <v>1378</v>
      </c>
      <c r="C1660" s="3" t="s">
        <v>1010</v>
      </c>
      <c r="D1660" s="3" t="s">
        <v>1259</v>
      </c>
      <c r="E1660" s="3" t="s">
        <v>228</v>
      </c>
      <c r="F1660" s="1">
        <v>45950</v>
      </c>
      <c r="G1660" t="str">
        <f t="shared" si="26"/>
        <v>Oct -2025</v>
      </c>
      <c r="H1660" s="12"/>
    </row>
    <row r="1661" spans="1:8" x14ac:dyDescent="0.3">
      <c r="A1661" s="2">
        <v>1100630</v>
      </c>
      <c r="B1661" s="3" t="s">
        <v>1379</v>
      </c>
      <c r="C1661" s="3" t="s">
        <v>1010</v>
      </c>
      <c r="D1661" s="3" t="s">
        <v>209</v>
      </c>
      <c r="E1661" s="3" t="s">
        <v>228</v>
      </c>
      <c r="F1661" s="1">
        <v>45950</v>
      </c>
      <c r="G1661" t="str">
        <f t="shared" si="26"/>
        <v>Oct -2025</v>
      </c>
      <c r="H1661" s="12"/>
    </row>
    <row r="1662" spans="1:8" x14ac:dyDescent="0.3">
      <c r="A1662" s="2">
        <v>1100693</v>
      </c>
      <c r="B1662" s="3" t="s">
        <v>1379</v>
      </c>
      <c r="C1662" s="3" t="s">
        <v>1010</v>
      </c>
      <c r="D1662" s="3" t="s">
        <v>209</v>
      </c>
      <c r="E1662" s="3" t="s">
        <v>228</v>
      </c>
      <c r="F1662" s="1">
        <v>45950</v>
      </c>
      <c r="G1662" t="str">
        <f t="shared" si="26"/>
        <v>Oct -2025</v>
      </c>
      <c r="H1662" s="12"/>
    </row>
    <row r="1663" spans="1:8" x14ac:dyDescent="0.3">
      <c r="A1663" s="2">
        <v>1100733</v>
      </c>
      <c r="B1663" s="3" t="s">
        <v>1379</v>
      </c>
      <c r="C1663" s="3" t="s">
        <v>1010</v>
      </c>
      <c r="D1663" s="3" t="s">
        <v>209</v>
      </c>
      <c r="E1663" s="3" t="s">
        <v>228</v>
      </c>
      <c r="F1663" s="1">
        <v>45950</v>
      </c>
      <c r="G1663" t="str">
        <f t="shared" si="26"/>
        <v>Oct -2025</v>
      </c>
      <c r="H1663" s="12"/>
    </row>
    <row r="1664" spans="1:8" x14ac:dyDescent="0.3">
      <c r="A1664" s="2">
        <v>1100570</v>
      </c>
      <c r="B1664" s="3" t="s">
        <v>1379</v>
      </c>
      <c r="C1664" s="3" t="s">
        <v>1010</v>
      </c>
      <c r="D1664" s="3" t="s">
        <v>209</v>
      </c>
      <c r="E1664" s="3" t="s">
        <v>228</v>
      </c>
      <c r="F1664" s="1">
        <v>45950</v>
      </c>
      <c r="G1664" t="str">
        <f t="shared" si="26"/>
        <v>Oct -2025</v>
      </c>
      <c r="H1664" s="12"/>
    </row>
    <row r="1665" spans="1:8" x14ac:dyDescent="0.3">
      <c r="A1665" s="2">
        <v>900004632</v>
      </c>
      <c r="B1665" s="3" t="s">
        <v>1380</v>
      </c>
      <c r="C1665" s="3" t="s">
        <v>1010</v>
      </c>
      <c r="D1665" s="3" t="s">
        <v>209</v>
      </c>
      <c r="E1665" s="3" t="s">
        <v>322</v>
      </c>
      <c r="F1665" s="1">
        <v>45950</v>
      </c>
      <c r="G1665" t="str">
        <f t="shared" si="26"/>
        <v>Oct -2025</v>
      </c>
      <c r="H1665" s="12"/>
    </row>
    <row r="1666" spans="1:8" x14ac:dyDescent="0.3">
      <c r="A1666" s="2">
        <v>1087181</v>
      </c>
      <c r="B1666" s="3" t="s">
        <v>47</v>
      </c>
      <c r="C1666" s="3" t="s">
        <v>1010</v>
      </c>
      <c r="D1666" s="3" t="s">
        <v>1020</v>
      </c>
      <c r="E1666" s="3" t="s">
        <v>211</v>
      </c>
      <c r="F1666" s="1">
        <v>45950</v>
      </c>
      <c r="G1666" t="str">
        <f t="shared" ref="G1666:G1729" si="27">TEXT(F1666,"mmm -YYYY")</f>
        <v>Oct -2025</v>
      </c>
      <c r="H1666" s="12"/>
    </row>
    <row r="1667" spans="1:8" x14ac:dyDescent="0.3">
      <c r="A1667" s="2">
        <v>1087105</v>
      </c>
      <c r="B1667" s="3" t="s">
        <v>47</v>
      </c>
      <c r="C1667" s="3" t="s">
        <v>1010</v>
      </c>
      <c r="D1667" s="3" t="s">
        <v>1020</v>
      </c>
      <c r="E1667" s="3" t="s">
        <v>211</v>
      </c>
      <c r="F1667" s="1">
        <v>45950</v>
      </c>
      <c r="G1667" t="str">
        <f t="shared" si="27"/>
        <v>Oct -2025</v>
      </c>
      <c r="H1667" s="12"/>
    </row>
    <row r="1668" spans="1:8" x14ac:dyDescent="0.3">
      <c r="A1668" s="2">
        <v>100004298</v>
      </c>
      <c r="B1668" s="3" t="s">
        <v>1368</v>
      </c>
      <c r="C1668" s="3" t="s">
        <v>1011</v>
      </c>
      <c r="D1668" s="3" t="s">
        <v>972</v>
      </c>
      <c r="E1668" s="3" t="s">
        <v>967</v>
      </c>
      <c r="F1668" s="1">
        <v>45950</v>
      </c>
      <c r="G1668" t="str">
        <f t="shared" si="27"/>
        <v>Oct -2025</v>
      </c>
      <c r="H1668" s="12"/>
    </row>
    <row r="1669" spans="1:8" x14ac:dyDescent="0.3">
      <c r="A1669" s="2">
        <v>100004179</v>
      </c>
      <c r="B1669" s="3" t="s">
        <v>1381</v>
      </c>
      <c r="C1669" s="3" t="s">
        <v>1011</v>
      </c>
      <c r="D1669" s="3" t="s">
        <v>972</v>
      </c>
      <c r="E1669" s="3" t="s">
        <v>981</v>
      </c>
      <c r="F1669" s="1">
        <v>45950</v>
      </c>
      <c r="G1669" t="str">
        <f t="shared" si="27"/>
        <v>Oct -2025</v>
      </c>
      <c r="H1669" s="12"/>
    </row>
    <row r="1670" spans="1:8" x14ac:dyDescent="0.3">
      <c r="A1670" s="2">
        <v>100004179</v>
      </c>
      <c r="B1670" s="3" t="s">
        <v>1381</v>
      </c>
      <c r="C1670" s="3" t="s">
        <v>1011</v>
      </c>
      <c r="D1670" s="3" t="s">
        <v>972</v>
      </c>
      <c r="E1670" s="3" t="s">
        <v>981</v>
      </c>
      <c r="F1670" s="1">
        <v>45951</v>
      </c>
      <c r="G1670" t="str">
        <f t="shared" si="27"/>
        <v>Oct -2025</v>
      </c>
      <c r="H1670" s="12"/>
    </row>
    <row r="1671" spans="1:8" x14ac:dyDescent="0.3">
      <c r="A1671" s="2">
        <v>1091483</v>
      </c>
      <c r="B1671" s="3" t="s">
        <v>1382</v>
      </c>
      <c r="C1671" s="3" t="s">
        <v>1010</v>
      </c>
      <c r="D1671" s="3" t="s">
        <v>1020</v>
      </c>
      <c r="E1671" s="3" t="s">
        <v>268</v>
      </c>
      <c r="F1671" s="1">
        <v>45951</v>
      </c>
      <c r="G1671" t="str">
        <f t="shared" si="27"/>
        <v>Oct -2025</v>
      </c>
      <c r="H1671" s="12"/>
    </row>
    <row r="1672" spans="1:8" x14ac:dyDescent="0.3">
      <c r="A1672" s="2">
        <v>1091325</v>
      </c>
      <c r="B1672" s="3" t="s">
        <v>41</v>
      </c>
      <c r="C1672" s="3" t="s">
        <v>1010</v>
      </c>
      <c r="D1672" s="3" t="s">
        <v>1020</v>
      </c>
      <c r="E1672" s="3" t="s">
        <v>211</v>
      </c>
      <c r="F1672" s="1">
        <v>45951</v>
      </c>
      <c r="G1672" t="str">
        <f t="shared" si="27"/>
        <v>Oct -2025</v>
      </c>
      <c r="H1672" s="12"/>
    </row>
    <row r="1673" spans="1:8" x14ac:dyDescent="0.3">
      <c r="A1673" s="2">
        <v>1091525</v>
      </c>
      <c r="B1673" s="3" t="s">
        <v>41</v>
      </c>
      <c r="C1673" s="3" t="s">
        <v>1010</v>
      </c>
      <c r="D1673" s="3" t="s">
        <v>1020</v>
      </c>
      <c r="E1673" s="3" t="s">
        <v>211</v>
      </c>
      <c r="F1673" s="1">
        <v>45951</v>
      </c>
      <c r="G1673" t="str">
        <f t="shared" si="27"/>
        <v>Oct -2025</v>
      </c>
      <c r="H1673" s="12"/>
    </row>
    <row r="1674" spans="1:8" x14ac:dyDescent="0.3">
      <c r="A1674" s="2">
        <v>1091524</v>
      </c>
      <c r="B1674" s="3" t="s">
        <v>41</v>
      </c>
      <c r="C1674" s="3" t="s">
        <v>1010</v>
      </c>
      <c r="D1674" s="3" t="s">
        <v>1020</v>
      </c>
      <c r="E1674" s="3" t="s">
        <v>211</v>
      </c>
      <c r="F1674" s="1">
        <v>45951</v>
      </c>
      <c r="G1674" t="str">
        <f t="shared" si="27"/>
        <v>Oct -2025</v>
      </c>
      <c r="H1674" s="12"/>
    </row>
    <row r="1675" spans="1:8" x14ac:dyDescent="0.3">
      <c r="A1675" s="2">
        <v>1091024</v>
      </c>
      <c r="B1675" s="3" t="s">
        <v>47</v>
      </c>
      <c r="C1675" s="3" t="s">
        <v>1010</v>
      </c>
      <c r="D1675" s="3" t="s">
        <v>1020</v>
      </c>
      <c r="E1675" s="3" t="s">
        <v>211</v>
      </c>
      <c r="F1675" s="1">
        <v>45951</v>
      </c>
      <c r="G1675" t="str">
        <f t="shared" si="27"/>
        <v>Oct -2025</v>
      </c>
      <c r="H1675" s="12"/>
    </row>
    <row r="1676" spans="1:8" x14ac:dyDescent="0.3">
      <c r="A1676" s="2">
        <v>1101441</v>
      </c>
      <c r="B1676" s="3" t="s">
        <v>1383</v>
      </c>
      <c r="C1676" s="3" t="s">
        <v>1010</v>
      </c>
      <c r="D1676" s="3" t="s">
        <v>1259</v>
      </c>
      <c r="E1676" s="3" t="s">
        <v>228</v>
      </c>
      <c r="F1676" s="1">
        <v>45951</v>
      </c>
      <c r="G1676" t="str">
        <f t="shared" si="27"/>
        <v>Oct -2025</v>
      </c>
      <c r="H1676" s="12"/>
    </row>
    <row r="1677" spans="1:8" x14ac:dyDescent="0.3">
      <c r="A1677" s="2">
        <v>1103413</v>
      </c>
      <c r="B1677" s="3" t="s">
        <v>1384</v>
      </c>
      <c r="C1677" s="3" t="s">
        <v>1010</v>
      </c>
      <c r="D1677" s="3" t="s">
        <v>209</v>
      </c>
      <c r="E1677" s="3" t="s">
        <v>228</v>
      </c>
      <c r="F1677" s="1">
        <v>45951</v>
      </c>
      <c r="G1677" t="str">
        <f t="shared" si="27"/>
        <v>Oct -2025</v>
      </c>
      <c r="H1677" s="12"/>
    </row>
    <row r="1678" spans="1:8" x14ac:dyDescent="0.3">
      <c r="A1678" s="2">
        <v>1103631</v>
      </c>
      <c r="B1678" s="3" t="s">
        <v>1385</v>
      </c>
      <c r="C1678" s="3" t="s">
        <v>1010</v>
      </c>
      <c r="D1678" s="3" t="s">
        <v>1020</v>
      </c>
      <c r="E1678" s="3" t="s">
        <v>228</v>
      </c>
      <c r="F1678" s="1">
        <v>45951</v>
      </c>
      <c r="G1678" t="str">
        <f t="shared" si="27"/>
        <v>Oct -2025</v>
      </c>
      <c r="H1678" s="12"/>
    </row>
    <row r="1679" spans="1:8" x14ac:dyDescent="0.3">
      <c r="A1679" s="2">
        <v>1103568</v>
      </c>
      <c r="B1679" s="3" t="s">
        <v>1386</v>
      </c>
      <c r="C1679" s="3" t="s">
        <v>1010</v>
      </c>
      <c r="D1679" s="3" t="s">
        <v>209</v>
      </c>
      <c r="E1679" s="3" t="s">
        <v>228</v>
      </c>
      <c r="F1679" s="1">
        <v>45951</v>
      </c>
      <c r="G1679" t="str">
        <f t="shared" si="27"/>
        <v>Oct -2025</v>
      </c>
      <c r="H1679" s="12"/>
    </row>
    <row r="1680" spans="1:8" x14ac:dyDescent="0.3">
      <c r="A1680" s="2">
        <v>1103774</v>
      </c>
      <c r="B1680" s="3" t="s">
        <v>1385</v>
      </c>
      <c r="C1680" s="3" t="s">
        <v>1010</v>
      </c>
      <c r="D1680" s="3" t="s">
        <v>1020</v>
      </c>
      <c r="E1680" s="3" t="s">
        <v>228</v>
      </c>
      <c r="F1680" s="1">
        <v>45951</v>
      </c>
      <c r="G1680" t="str">
        <f t="shared" si="27"/>
        <v>Oct -2025</v>
      </c>
      <c r="H1680" s="12"/>
    </row>
    <row r="1681" spans="1:8" x14ac:dyDescent="0.3">
      <c r="A1681" s="2">
        <v>1103788</v>
      </c>
      <c r="B1681" s="3" t="s">
        <v>1385</v>
      </c>
      <c r="C1681" s="3" t="s">
        <v>1010</v>
      </c>
      <c r="D1681" s="3" t="s">
        <v>1020</v>
      </c>
      <c r="E1681" s="3" t="s">
        <v>228</v>
      </c>
      <c r="F1681" s="1">
        <v>45951</v>
      </c>
      <c r="G1681" t="str">
        <f t="shared" si="27"/>
        <v>Oct -2025</v>
      </c>
      <c r="H1681" s="12"/>
    </row>
    <row r="1682" spans="1:8" x14ac:dyDescent="0.3">
      <c r="A1682" s="2">
        <v>1103383</v>
      </c>
      <c r="B1682" s="3" t="s">
        <v>1387</v>
      </c>
      <c r="C1682" s="3" t="s">
        <v>1010</v>
      </c>
      <c r="D1682" s="3" t="s">
        <v>227</v>
      </c>
      <c r="E1682" s="3" t="s">
        <v>228</v>
      </c>
      <c r="F1682" s="1">
        <v>45951</v>
      </c>
      <c r="G1682" t="str">
        <f t="shared" si="27"/>
        <v>Oct -2025</v>
      </c>
      <c r="H1682" s="12"/>
    </row>
    <row r="1683" spans="1:8" x14ac:dyDescent="0.3">
      <c r="A1683" s="2">
        <v>1103712</v>
      </c>
      <c r="B1683" s="3" t="s">
        <v>1388</v>
      </c>
      <c r="C1683" s="3" t="s">
        <v>1010</v>
      </c>
      <c r="D1683" s="3" t="s">
        <v>1259</v>
      </c>
      <c r="E1683" s="3" t="s">
        <v>228</v>
      </c>
      <c r="F1683" s="1">
        <v>45951</v>
      </c>
      <c r="G1683" t="str">
        <f t="shared" si="27"/>
        <v>Oct -2025</v>
      </c>
      <c r="H1683" s="12"/>
    </row>
    <row r="1684" spans="1:8" x14ac:dyDescent="0.3">
      <c r="A1684" s="2">
        <v>1103499</v>
      </c>
      <c r="B1684" s="3" t="s">
        <v>1389</v>
      </c>
      <c r="C1684" s="3" t="s">
        <v>1010</v>
      </c>
      <c r="D1684" s="3" t="s">
        <v>209</v>
      </c>
      <c r="E1684" s="3" t="s">
        <v>228</v>
      </c>
      <c r="F1684" s="1">
        <v>45951</v>
      </c>
      <c r="G1684" t="str">
        <f t="shared" si="27"/>
        <v>Oct -2025</v>
      </c>
      <c r="H1684" s="12"/>
    </row>
    <row r="1685" spans="1:8" x14ac:dyDescent="0.3">
      <c r="A1685" s="2">
        <v>1104739</v>
      </c>
      <c r="B1685" s="3" t="s">
        <v>1390</v>
      </c>
      <c r="C1685" s="3" t="s">
        <v>1010</v>
      </c>
      <c r="D1685" s="3" t="s">
        <v>209</v>
      </c>
      <c r="E1685" s="3" t="s">
        <v>225</v>
      </c>
      <c r="F1685" s="1">
        <v>45952</v>
      </c>
      <c r="G1685" t="str">
        <f t="shared" si="27"/>
        <v>Oct -2025</v>
      </c>
      <c r="H1685" s="12"/>
    </row>
    <row r="1686" spans="1:8" x14ac:dyDescent="0.3">
      <c r="A1686" s="2">
        <v>1104740</v>
      </c>
      <c r="B1686" s="3" t="s">
        <v>1390</v>
      </c>
      <c r="C1686" s="3" t="s">
        <v>1010</v>
      </c>
      <c r="D1686" s="3" t="s">
        <v>209</v>
      </c>
      <c r="E1686" s="3" t="s">
        <v>225</v>
      </c>
      <c r="F1686" s="1">
        <v>45952</v>
      </c>
      <c r="G1686" t="str">
        <f t="shared" si="27"/>
        <v>Oct -2025</v>
      </c>
      <c r="H1686" s="12"/>
    </row>
    <row r="1687" spans="1:8" x14ac:dyDescent="0.3">
      <c r="A1687" s="2">
        <v>1104792</v>
      </c>
      <c r="B1687" s="3" t="s">
        <v>1390</v>
      </c>
      <c r="C1687" s="3" t="s">
        <v>1010</v>
      </c>
      <c r="D1687" s="3" t="s">
        <v>209</v>
      </c>
      <c r="E1687" s="3" t="s">
        <v>225</v>
      </c>
      <c r="F1687" s="1">
        <v>45952</v>
      </c>
      <c r="G1687" t="str">
        <f t="shared" si="27"/>
        <v>Oct -2025</v>
      </c>
      <c r="H1687" s="12"/>
    </row>
    <row r="1688" spans="1:8" x14ac:dyDescent="0.3">
      <c r="A1688" s="2">
        <v>1103876</v>
      </c>
      <c r="B1688" s="3" t="s">
        <v>1391</v>
      </c>
      <c r="C1688" s="3" t="s">
        <v>1010</v>
      </c>
      <c r="D1688" s="3" t="s">
        <v>364</v>
      </c>
      <c r="E1688" s="3" t="s">
        <v>15</v>
      </c>
      <c r="F1688" s="1">
        <v>45952</v>
      </c>
      <c r="G1688" t="str">
        <f t="shared" si="27"/>
        <v>Oct -2025</v>
      </c>
      <c r="H1688" s="12"/>
    </row>
    <row r="1689" spans="1:8" x14ac:dyDescent="0.3">
      <c r="A1689" s="2">
        <v>1105814</v>
      </c>
      <c r="B1689" s="3" t="s">
        <v>1392</v>
      </c>
      <c r="C1689" s="3" t="s">
        <v>1010</v>
      </c>
      <c r="D1689" s="3" t="s">
        <v>1259</v>
      </c>
      <c r="E1689" s="3" t="s">
        <v>228</v>
      </c>
      <c r="F1689" s="1">
        <v>45952</v>
      </c>
      <c r="G1689" t="str">
        <f t="shared" si="27"/>
        <v>Oct -2025</v>
      </c>
      <c r="H1689" s="12"/>
    </row>
    <row r="1690" spans="1:8" x14ac:dyDescent="0.3">
      <c r="A1690" s="2">
        <v>200002596</v>
      </c>
      <c r="B1690" s="3" t="s">
        <v>1393</v>
      </c>
      <c r="C1690" s="3" t="s">
        <v>1010</v>
      </c>
      <c r="D1690" s="3" t="s">
        <v>192</v>
      </c>
      <c r="E1690" s="3" t="s">
        <v>287</v>
      </c>
      <c r="F1690" s="1">
        <v>45952</v>
      </c>
      <c r="G1690" t="str">
        <f t="shared" si="27"/>
        <v>Oct -2025</v>
      </c>
      <c r="H1690" s="12"/>
    </row>
    <row r="1691" spans="1:8" x14ac:dyDescent="0.3">
      <c r="A1691" s="2">
        <v>1090661</v>
      </c>
      <c r="B1691" s="3" t="s">
        <v>1394</v>
      </c>
      <c r="C1691" s="3" t="s">
        <v>1010</v>
      </c>
      <c r="D1691" s="3" t="s">
        <v>209</v>
      </c>
      <c r="E1691" s="3" t="s">
        <v>210</v>
      </c>
      <c r="F1691" s="1">
        <v>45952</v>
      </c>
      <c r="G1691" t="str">
        <f t="shared" si="27"/>
        <v>Oct -2025</v>
      </c>
      <c r="H1691" s="12"/>
    </row>
    <row r="1692" spans="1:8" x14ac:dyDescent="0.3">
      <c r="A1692" s="2">
        <v>1108248</v>
      </c>
      <c r="B1692" s="3" t="s">
        <v>1395</v>
      </c>
      <c r="C1692" s="3" t="s">
        <v>1010</v>
      </c>
      <c r="D1692" s="3" t="s">
        <v>209</v>
      </c>
      <c r="E1692" s="3" t="s">
        <v>228</v>
      </c>
      <c r="F1692" s="1">
        <v>45952</v>
      </c>
      <c r="G1692" t="str">
        <f t="shared" si="27"/>
        <v>Oct -2025</v>
      </c>
      <c r="H1692" s="12"/>
    </row>
    <row r="1693" spans="1:8" x14ac:dyDescent="0.3">
      <c r="A1693" s="2">
        <v>1107790</v>
      </c>
      <c r="B1693" s="3" t="s">
        <v>53</v>
      </c>
      <c r="C1693" s="3" t="s">
        <v>1010</v>
      </c>
      <c r="D1693" s="3" t="s">
        <v>1020</v>
      </c>
      <c r="E1693" s="3" t="s">
        <v>268</v>
      </c>
      <c r="F1693" s="1">
        <v>45952</v>
      </c>
      <c r="G1693" t="str">
        <f t="shared" si="27"/>
        <v>Oct -2025</v>
      </c>
      <c r="H1693" s="12"/>
    </row>
    <row r="1694" spans="1:8" x14ac:dyDescent="0.3">
      <c r="A1694" s="2">
        <v>1108155</v>
      </c>
      <c r="B1694" s="3" t="s">
        <v>1396</v>
      </c>
      <c r="C1694" s="3" t="s">
        <v>1010</v>
      </c>
      <c r="D1694" s="3" t="s">
        <v>1020</v>
      </c>
      <c r="E1694" s="3" t="s">
        <v>435</v>
      </c>
      <c r="F1694" s="1">
        <v>45952</v>
      </c>
      <c r="G1694" t="str">
        <f t="shared" si="27"/>
        <v>Oct -2025</v>
      </c>
      <c r="H1694" s="12"/>
    </row>
    <row r="1695" spans="1:8" x14ac:dyDescent="0.3">
      <c r="A1695" s="2">
        <v>1107905</v>
      </c>
      <c r="B1695" s="3" t="s">
        <v>1397</v>
      </c>
      <c r="C1695" s="3" t="s">
        <v>1010</v>
      </c>
      <c r="D1695" s="3" t="s">
        <v>209</v>
      </c>
      <c r="E1695" s="3" t="s">
        <v>196</v>
      </c>
      <c r="F1695" s="1">
        <v>45952</v>
      </c>
      <c r="G1695" t="str">
        <f t="shared" si="27"/>
        <v>Oct -2025</v>
      </c>
      <c r="H1695" s="12"/>
    </row>
    <row r="1696" spans="1:8" x14ac:dyDescent="0.3">
      <c r="A1696" s="2">
        <v>100004256</v>
      </c>
      <c r="B1696" s="3" t="s">
        <v>1398</v>
      </c>
      <c r="C1696" s="3" t="s">
        <v>1011</v>
      </c>
      <c r="D1696" s="3" t="s">
        <v>972</v>
      </c>
      <c r="E1696" s="3" t="s">
        <v>1294</v>
      </c>
      <c r="F1696" s="1">
        <v>45952</v>
      </c>
      <c r="G1696" t="str">
        <f t="shared" si="27"/>
        <v>Oct -2025</v>
      </c>
      <c r="H1696" s="12"/>
    </row>
    <row r="1697" spans="1:8" x14ac:dyDescent="0.3">
      <c r="A1697" s="2">
        <v>100004332</v>
      </c>
      <c r="B1697" s="3" t="s">
        <v>1399</v>
      </c>
      <c r="C1697" s="3" t="s">
        <v>1011</v>
      </c>
      <c r="D1697" s="3" t="s">
        <v>972</v>
      </c>
      <c r="E1697" s="3" t="s">
        <v>967</v>
      </c>
      <c r="F1697" s="1">
        <v>45952</v>
      </c>
      <c r="G1697" t="str">
        <f t="shared" si="27"/>
        <v>Oct -2025</v>
      </c>
      <c r="H1697" s="12"/>
    </row>
    <row r="1698" spans="1:8" x14ac:dyDescent="0.3">
      <c r="A1698" s="2">
        <v>100004330</v>
      </c>
      <c r="B1698" s="3" t="s">
        <v>1400</v>
      </c>
      <c r="C1698" s="3" t="s">
        <v>1011</v>
      </c>
      <c r="D1698" s="3" t="s">
        <v>972</v>
      </c>
      <c r="E1698" s="3" t="s">
        <v>967</v>
      </c>
      <c r="F1698" s="1">
        <v>45952</v>
      </c>
      <c r="G1698" t="str">
        <f t="shared" si="27"/>
        <v>Oct -2025</v>
      </c>
      <c r="H1698" s="12"/>
    </row>
    <row r="1699" spans="1:8" x14ac:dyDescent="0.3">
      <c r="A1699" s="2">
        <v>100004248</v>
      </c>
      <c r="B1699" s="3" t="s">
        <v>1401</v>
      </c>
      <c r="C1699" s="3" t="s">
        <v>1011</v>
      </c>
      <c r="D1699" s="3" t="s">
        <v>972</v>
      </c>
      <c r="E1699" s="3" t="s">
        <v>967</v>
      </c>
      <c r="F1699" s="1">
        <v>45953</v>
      </c>
      <c r="G1699" t="str">
        <f t="shared" si="27"/>
        <v>Oct -2025</v>
      </c>
      <c r="H1699" s="12"/>
    </row>
    <row r="1700" spans="1:8" x14ac:dyDescent="0.3">
      <c r="A1700" s="2">
        <v>100004330</v>
      </c>
      <c r="B1700" s="3" t="s">
        <v>1400</v>
      </c>
      <c r="C1700" s="3" t="s">
        <v>1011</v>
      </c>
      <c r="D1700" s="3" t="s">
        <v>972</v>
      </c>
      <c r="E1700" s="3" t="s">
        <v>967</v>
      </c>
      <c r="F1700" s="1">
        <v>45953</v>
      </c>
      <c r="G1700" t="str">
        <f t="shared" si="27"/>
        <v>Oct -2025</v>
      </c>
      <c r="H1700" s="12"/>
    </row>
    <row r="1701" spans="1:8" x14ac:dyDescent="0.3">
      <c r="A1701" s="2">
        <v>1109180</v>
      </c>
      <c r="B1701" s="3" t="s">
        <v>1402</v>
      </c>
      <c r="C1701" s="3" t="s">
        <v>1010</v>
      </c>
      <c r="D1701" s="3" t="s">
        <v>1259</v>
      </c>
      <c r="E1701" s="3" t="s">
        <v>228</v>
      </c>
      <c r="F1701" s="1">
        <v>45953</v>
      </c>
      <c r="G1701" t="str">
        <f t="shared" si="27"/>
        <v>Oct -2025</v>
      </c>
      <c r="H1701" s="12"/>
    </row>
    <row r="1702" spans="1:8" x14ac:dyDescent="0.3">
      <c r="A1702" s="2">
        <v>1109222</v>
      </c>
      <c r="B1702" s="3" t="s">
        <v>1403</v>
      </c>
      <c r="C1702" s="3" t="s">
        <v>1010</v>
      </c>
      <c r="D1702" s="3" t="s">
        <v>209</v>
      </c>
      <c r="E1702" s="3" t="s">
        <v>225</v>
      </c>
      <c r="F1702" s="1">
        <v>45953</v>
      </c>
      <c r="G1702" t="str">
        <f t="shared" si="27"/>
        <v>Oct -2025</v>
      </c>
      <c r="H1702" s="12"/>
    </row>
    <row r="1703" spans="1:8" x14ac:dyDescent="0.3">
      <c r="A1703" s="2">
        <v>1109221</v>
      </c>
      <c r="B1703" s="3" t="s">
        <v>1403</v>
      </c>
      <c r="C1703" s="3" t="s">
        <v>1010</v>
      </c>
      <c r="D1703" s="3" t="s">
        <v>209</v>
      </c>
      <c r="E1703" s="3" t="s">
        <v>225</v>
      </c>
      <c r="F1703" s="1">
        <v>45953</v>
      </c>
      <c r="G1703" t="str">
        <f t="shared" si="27"/>
        <v>Oct -2025</v>
      </c>
      <c r="H1703" s="12"/>
    </row>
    <row r="1704" spans="1:8" x14ac:dyDescent="0.3">
      <c r="A1704" s="2">
        <v>1109225</v>
      </c>
      <c r="B1704" s="3" t="s">
        <v>1403</v>
      </c>
      <c r="C1704" s="3" t="s">
        <v>1010</v>
      </c>
      <c r="D1704" s="3" t="s">
        <v>209</v>
      </c>
      <c r="E1704" s="3" t="s">
        <v>225</v>
      </c>
      <c r="F1704" s="1">
        <v>45953</v>
      </c>
      <c r="G1704" t="str">
        <f t="shared" si="27"/>
        <v>Oct -2025</v>
      </c>
      <c r="H1704" s="12"/>
    </row>
    <row r="1705" spans="1:8" x14ac:dyDescent="0.3">
      <c r="A1705" s="2">
        <v>1109224</v>
      </c>
      <c r="B1705" s="3" t="s">
        <v>1403</v>
      </c>
      <c r="C1705" s="3" t="s">
        <v>1010</v>
      </c>
      <c r="D1705" s="3" t="s">
        <v>209</v>
      </c>
      <c r="E1705" s="3" t="s">
        <v>225</v>
      </c>
      <c r="F1705" s="1">
        <v>45953</v>
      </c>
      <c r="G1705" t="str">
        <f t="shared" si="27"/>
        <v>Oct -2025</v>
      </c>
      <c r="H1705" s="12"/>
    </row>
    <row r="1706" spans="1:8" x14ac:dyDescent="0.3">
      <c r="A1706" s="2">
        <v>1108774</v>
      </c>
      <c r="B1706" s="3" t="s">
        <v>1404</v>
      </c>
      <c r="C1706" s="3" t="s">
        <v>1010</v>
      </c>
      <c r="D1706" s="3" t="s">
        <v>1020</v>
      </c>
      <c r="E1706" s="3" t="s">
        <v>435</v>
      </c>
      <c r="F1706" s="1">
        <v>45953</v>
      </c>
      <c r="G1706" t="str">
        <f t="shared" si="27"/>
        <v>Oct -2025</v>
      </c>
      <c r="H1706" s="12"/>
    </row>
    <row r="1707" spans="1:8" x14ac:dyDescent="0.3">
      <c r="A1707" s="2">
        <v>1112173</v>
      </c>
      <c r="B1707" s="3" t="s">
        <v>1405</v>
      </c>
      <c r="C1707" s="3" t="s">
        <v>1010</v>
      </c>
      <c r="D1707" s="3" t="s">
        <v>364</v>
      </c>
      <c r="E1707" s="3" t="s">
        <v>15</v>
      </c>
      <c r="F1707" s="1">
        <v>45953</v>
      </c>
      <c r="G1707" t="str">
        <f t="shared" si="27"/>
        <v>Oct -2025</v>
      </c>
      <c r="H1707" s="12"/>
    </row>
    <row r="1708" spans="1:8" x14ac:dyDescent="0.3">
      <c r="A1708" s="2">
        <v>1112038</v>
      </c>
      <c r="B1708" s="3" t="s">
        <v>1406</v>
      </c>
      <c r="C1708" s="3" t="s">
        <v>1010</v>
      </c>
      <c r="D1708" s="3" t="s">
        <v>209</v>
      </c>
      <c r="E1708" s="3" t="s">
        <v>225</v>
      </c>
      <c r="F1708" s="1">
        <v>45953</v>
      </c>
      <c r="G1708" t="str">
        <f t="shared" si="27"/>
        <v>Oct -2025</v>
      </c>
      <c r="H1708" s="12"/>
    </row>
    <row r="1709" spans="1:8" x14ac:dyDescent="0.3">
      <c r="A1709" s="2">
        <v>1110089</v>
      </c>
      <c r="B1709" s="3" t="s">
        <v>1407</v>
      </c>
      <c r="C1709" s="3" t="s">
        <v>1010</v>
      </c>
      <c r="D1709" s="3" t="s">
        <v>227</v>
      </c>
      <c r="E1709" s="3" t="s">
        <v>228</v>
      </c>
      <c r="F1709" s="1">
        <v>45953</v>
      </c>
      <c r="G1709" t="str">
        <f t="shared" si="27"/>
        <v>Oct -2025</v>
      </c>
      <c r="H1709" s="12"/>
    </row>
    <row r="1710" spans="1:8" x14ac:dyDescent="0.3">
      <c r="A1710" s="2">
        <v>137207</v>
      </c>
      <c r="B1710" s="3" t="s">
        <v>1408</v>
      </c>
      <c r="C1710" s="3" t="s">
        <v>1010</v>
      </c>
      <c r="D1710" s="3" t="s">
        <v>1172</v>
      </c>
      <c r="E1710" s="3" t="s">
        <v>1172</v>
      </c>
      <c r="F1710" s="1">
        <v>45953</v>
      </c>
      <c r="G1710" t="str">
        <f t="shared" si="27"/>
        <v>Oct -2025</v>
      </c>
      <c r="H1710" s="12"/>
    </row>
    <row r="1711" spans="1:8" x14ac:dyDescent="0.3">
      <c r="A1711" s="2">
        <v>1112618</v>
      </c>
      <c r="B1711" s="3" t="s">
        <v>1409</v>
      </c>
      <c r="C1711" s="3" t="s">
        <v>1010</v>
      </c>
      <c r="D1711" s="3" t="s">
        <v>209</v>
      </c>
      <c r="E1711" s="3" t="s">
        <v>1092</v>
      </c>
      <c r="F1711" s="1">
        <v>45953</v>
      </c>
      <c r="G1711" t="str">
        <f t="shared" si="27"/>
        <v>Oct -2025</v>
      </c>
      <c r="H1711" s="12"/>
    </row>
    <row r="1712" spans="1:8" x14ac:dyDescent="0.3">
      <c r="A1712" s="2">
        <v>1112299</v>
      </c>
      <c r="B1712" s="3" t="s">
        <v>1410</v>
      </c>
      <c r="C1712" s="3" t="s">
        <v>1010</v>
      </c>
      <c r="D1712" s="3" t="s">
        <v>364</v>
      </c>
      <c r="E1712" s="3" t="s">
        <v>15</v>
      </c>
      <c r="F1712" s="1">
        <v>45953</v>
      </c>
      <c r="G1712" t="str">
        <f t="shared" si="27"/>
        <v>Oct -2025</v>
      </c>
      <c r="H1712" s="12"/>
    </row>
    <row r="1713" spans="1:8" x14ac:dyDescent="0.3">
      <c r="A1713" s="2">
        <v>1107718</v>
      </c>
      <c r="B1713" s="3" t="s">
        <v>1411</v>
      </c>
      <c r="C1713" s="3" t="s">
        <v>1010</v>
      </c>
      <c r="D1713" s="3" t="s">
        <v>209</v>
      </c>
      <c r="E1713" s="3" t="s">
        <v>196</v>
      </c>
      <c r="F1713" s="1">
        <v>45953</v>
      </c>
      <c r="G1713" t="str">
        <f t="shared" si="27"/>
        <v>Oct -2025</v>
      </c>
      <c r="H1713" s="12"/>
    </row>
    <row r="1714" spans="1:8" x14ac:dyDescent="0.3">
      <c r="A1714" s="2">
        <v>1112926</v>
      </c>
      <c r="B1714" s="3" t="s">
        <v>1338</v>
      </c>
      <c r="C1714" s="3" t="s">
        <v>1010</v>
      </c>
      <c r="D1714" s="3" t="s">
        <v>209</v>
      </c>
      <c r="E1714" s="3" t="s">
        <v>225</v>
      </c>
      <c r="F1714" s="1">
        <v>45953</v>
      </c>
      <c r="G1714" t="str">
        <f t="shared" si="27"/>
        <v>Oct -2025</v>
      </c>
      <c r="H1714" s="12"/>
    </row>
    <row r="1715" spans="1:8" x14ac:dyDescent="0.3">
      <c r="A1715" s="2">
        <v>1100810</v>
      </c>
      <c r="B1715" s="3" t="s">
        <v>754</v>
      </c>
      <c r="C1715" s="3" t="s">
        <v>1010</v>
      </c>
      <c r="D1715" s="3" t="s">
        <v>1020</v>
      </c>
      <c r="E1715" s="3" t="s">
        <v>338</v>
      </c>
      <c r="F1715" s="1">
        <v>45953</v>
      </c>
      <c r="G1715" t="str">
        <f t="shared" si="27"/>
        <v>Oct -2025</v>
      </c>
      <c r="H1715" s="12"/>
    </row>
    <row r="1716" spans="1:8" x14ac:dyDescent="0.3">
      <c r="A1716" s="2">
        <v>1100913</v>
      </c>
      <c r="B1716" s="3" t="s">
        <v>754</v>
      </c>
      <c r="C1716" s="3" t="s">
        <v>1010</v>
      </c>
      <c r="D1716" s="3" t="s">
        <v>1020</v>
      </c>
      <c r="E1716" s="3" t="s">
        <v>338</v>
      </c>
      <c r="F1716" s="1">
        <v>45953</v>
      </c>
      <c r="G1716" t="str">
        <f t="shared" si="27"/>
        <v>Oct -2025</v>
      </c>
      <c r="H1716" s="12"/>
    </row>
    <row r="1717" spans="1:8" x14ac:dyDescent="0.3">
      <c r="A1717" s="2">
        <v>1100914</v>
      </c>
      <c r="B1717" s="3" t="s">
        <v>754</v>
      </c>
      <c r="C1717" s="3" t="s">
        <v>1010</v>
      </c>
      <c r="D1717" s="3" t="s">
        <v>1020</v>
      </c>
      <c r="E1717" s="3" t="s">
        <v>338</v>
      </c>
      <c r="F1717" s="1">
        <v>45953</v>
      </c>
      <c r="G1717" t="str">
        <f t="shared" si="27"/>
        <v>Oct -2025</v>
      </c>
      <c r="H1717" s="12"/>
    </row>
    <row r="1718" spans="1:8" x14ac:dyDescent="0.3">
      <c r="A1718" s="2">
        <v>1113331</v>
      </c>
      <c r="B1718" s="3" t="s">
        <v>1412</v>
      </c>
      <c r="C1718" s="3" t="s">
        <v>1010</v>
      </c>
      <c r="D1718" s="3" t="s">
        <v>209</v>
      </c>
      <c r="E1718" s="3" t="s">
        <v>225</v>
      </c>
      <c r="F1718" s="1">
        <v>45953</v>
      </c>
      <c r="G1718" t="str">
        <f t="shared" si="27"/>
        <v>Oct -2025</v>
      </c>
      <c r="H1718" s="12"/>
    </row>
    <row r="1719" spans="1:8" x14ac:dyDescent="0.3">
      <c r="A1719" s="2">
        <v>1116397</v>
      </c>
      <c r="B1719" s="3" t="s">
        <v>1413</v>
      </c>
      <c r="C1719" s="3" t="s">
        <v>1010</v>
      </c>
      <c r="D1719" s="3" t="s">
        <v>209</v>
      </c>
      <c r="E1719" s="3" t="s">
        <v>225</v>
      </c>
      <c r="F1719" s="1">
        <v>45954</v>
      </c>
      <c r="G1719" t="str">
        <f t="shared" si="27"/>
        <v>Oct -2025</v>
      </c>
      <c r="H1719" s="12"/>
    </row>
    <row r="1720" spans="1:8" x14ac:dyDescent="0.3">
      <c r="A1720" s="2">
        <v>1112530</v>
      </c>
      <c r="B1720" s="3" t="s">
        <v>1414</v>
      </c>
      <c r="C1720" s="3" t="s">
        <v>1010</v>
      </c>
      <c r="D1720" s="3" t="s">
        <v>1259</v>
      </c>
      <c r="E1720" s="3" t="s">
        <v>228</v>
      </c>
      <c r="F1720" s="1">
        <v>45954</v>
      </c>
      <c r="G1720" t="str">
        <f t="shared" si="27"/>
        <v>Oct -2025</v>
      </c>
      <c r="H1720" s="12"/>
    </row>
    <row r="1721" spans="1:8" x14ac:dyDescent="0.3">
      <c r="A1721" s="2">
        <v>1113533</v>
      </c>
      <c r="B1721" s="3" t="s">
        <v>1415</v>
      </c>
      <c r="C1721" s="3" t="s">
        <v>1010</v>
      </c>
      <c r="D1721" s="3" t="s">
        <v>1259</v>
      </c>
      <c r="E1721" s="3" t="s">
        <v>228</v>
      </c>
      <c r="F1721" s="1">
        <v>45954</v>
      </c>
      <c r="G1721" t="str">
        <f t="shared" si="27"/>
        <v>Oct -2025</v>
      </c>
      <c r="H1721" s="12"/>
    </row>
    <row r="1722" spans="1:8" x14ac:dyDescent="0.3">
      <c r="A1722" s="2">
        <v>1091483</v>
      </c>
      <c r="B1722" s="3" t="s">
        <v>1382</v>
      </c>
      <c r="C1722" s="3" t="s">
        <v>1010</v>
      </c>
      <c r="D1722" s="3" t="s">
        <v>1020</v>
      </c>
      <c r="E1722" s="3" t="s">
        <v>268</v>
      </c>
      <c r="F1722" s="1">
        <v>45954</v>
      </c>
      <c r="G1722" t="str">
        <f t="shared" si="27"/>
        <v>Oct -2025</v>
      </c>
      <c r="H1722" s="12"/>
    </row>
    <row r="1723" spans="1:8" x14ac:dyDescent="0.3">
      <c r="A1723" s="2">
        <v>1112904</v>
      </c>
      <c r="B1723" s="3" t="s">
        <v>1416</v>
      </c>
      <c r="C1723" s="3" t="s">
        <v>1010</v>
      </c>
      <c r="D1723" s="3" t="s">
        <v>1020</v>
      </c>
      <c r="E1723" s="3" t="s">
        <v>1301</v>
      </c>
      <c r="F1723" s="1">
        <v>45954</v>
      </c>
      <c r="G1723" t="str">
        <f t="shared" si="27"/>
        <v>Oct -2025</v>
      </c>
      <c r="H1723" s="12"/>
    </row>
    <row r="1724" spans="1:8" x14ac:dyDescent="0.3">
      <c r="A1724" s="2">
        <v>1116871</v>
      </c>
      <c r="B1724" s="3" t="s">
        <v>1416</v>
      </c>
      <c r="C1724" s="3" t="s">
        <v>1010</v>
      </c>
      <c r="D1724" s="3" t="s">
        <v>1020</v>
      </c>
      <c r="E1724" s="3" t="s">
        <v>435</v>
      </c>
      <c r="F1724" s="1">
        <v>45954</v>
      </c>
      <c r="G1724" t="str">
        <f t="shared" si="27"/>
        <v>Oct -2025</v>
      </c>
      <c r="H1724" s="12"/>
    </row>
    <row r="1725" spans="1:8" x14ac:dyDescent="0.3">
      <c r="A1725" s="2">
        <v>1111205</v>
      </c>
      <c r="B1725" s="3" t="s">
        <v>1417</v>
      </c>
      <c r="C1725" s="3" t="s">
        <v>1010</v>
      </c>
      <c r="D1725" s="3" t="s">
        <v>1020</v>
      </c>
      <c r="E1725" s="3" t="s">
        <v>435</v>
      </c>
      <c r="F1725" s="1">
        <v>45954</v>
      </c>
      <c r="G1725" t="str">
        <f t="shared" si="27"/>
        <v>Oct -2025</v>
      </c>
      <c r="H1725" s="12"/>
    </row>
    <row r="1726" spans="1:8" x14ac:dyDescent="0.3">
      <c r="A1726" s="2">
        <v>1116952</v>
      </c>
      <c r="B1726" s="3" t="s">
        <v>1418</v>
      </c>
      <c r="C1726" s="3" t="s">
        <v>1010</v>
      </c>
      <c r="D1726" s="3" t="s">
        <v>364</v>
      </c>
      <c r="E1726" s="3" t="s">
        <v>1034</v>
      </c>
      <c r="F1726" s="1">
        <v>45954</v>
      </c>
      <c r="G1726" t="str">
        <f t="shared" si="27"/>
        <v>Oct -2025</v>
      </c>
      <c r="H1726" s="12"/>
    </row>
    <row r="1727" spans="1:8" x14ac:dyDescent="0.3">
      <c r="A1727" s="2">
        <v>1117178</v>
      </c>
      <c r="B1727" s="3" t="s">
        <v>1406</v>
      </c>
      <c r="C1727" s="3" t="s">
        <v>1010</v>
      </c>
      <c r="D1727" s="3" t="s">
        <v>209</v>
      </c>
      <c r="E1727" s="3" t="s">
        <v>225</v>
      </c>
      <c r="F1727" s="1">
        <v>45954</v>
      </c>
      <c r="G1727" t="str">
        <f t="shared" si="27"/>
        <v>Oct -2025</v>
      </c>
      <c r="H1727" s="12"/>
    </row>
    <row r="1728" spans="1:8" x14ac:dyDescent="0.3">
      <c r="A1728" s="2">
        <v>1117188</v>
      </c>
      <c r="B1728" s="3" t="s">
        <v>1406</v>
      </c>
      <c r="C1728" s="3" t="s">
        <v>1010</v>
      </c>
      <c r="D1728" s="3" t="s">
        <v>209</v>
      </c>
      <c r="E1728" s="3" t="s">
        <v>225</v>
      </c>
      <c r="F1728" s="1">
        <v>45954</v>
      </c>
      <c r="G1728" t="str">
        <f t="shared" si="27"/>
        <v>Oct -2025</v>
      </c>
      <c r="H1728" s="12"/>
    </row>
    <row r="1729" spans="1:8" x14ac:dyDescent="0.3">
      <c r="A1729" s="2">
        <v>1117262</v>
      </c>
      <c r="B1729" s="3" t="s">
        <v>1406</v>
      </c>
      <c r="C1729" s="3" t="s">
        <v>1010</v>
      </c>
      <c r="D1729" s="3" t="s">
        <v>209</v>
      </c>
      <c r="E1729" s="3" t="s">
        <v>225</v>
      </c>
      <c r="F1729" s="1">
        <v>45954</v>
      </c>
      <c r="G1729" t="str">
        <f t="shared" si="27"/>
        <v>Oct -2025</v>
      </c>
      <c r="H1729" s="12"/>
    </row>
    <row r="1730" spans="1:8" x14ac:dyDescent="0.3">
      <c r="A1730" s="2">
        <v>1117340</v>
      </c>
      <c r="B1730" s="3" t="s">
        <v>1419</v>
      </c>
      <c r="C1730" s="3" t="s">
        <v>1010</v>
      </c>
      <c r="D1730" s="3" t="s">
        <v>364</v>
      </c>
      <c r="E1730" s="3" t="s">
        <v>308</v>
      </c>
      <c r="F1730" s="1">
        <v>45954</v>
      </c>
      <c r="G1730" t="str">
        <f t="shared" ref="G1730:G1793" si="28">TEXT(F1730,"mmm -YYYY")</f>
        <v>Oct -2025</v>
      </c>
      <c r="H1730" s="12"/>
    </row>
    <row r="1731" spans="1:8" x14ac:dyDescent="0.3">
      <c r="A1731" s="2">
        <v>100004260</v>
      </c>
      <c r="B1731" s="3" t="s">
        <v>1420</v>
      </c>
      <c r="C1731" s="3" t="s">
        <v>1011</v>
      </c>
      <c r="D1731" s="3" t="s">
        <v>972</v>
      </c>
      <c r="E1731" s="3" t="s">
        <v>981</v>
      </c>
      <c r="F1731" s="1">
        <v>45954</v>
      </c>
      <c r="G1731" t="str">
        <f t="shared" si="28"/>
        <v>Oct -2025</v>
      </c>
      <c r="H1731" s="12"/>
    </row>
    <row r="1732" spans="1:8" x14ac:dyDescent="0.3">
      <c r="A1732" s="2">
        <v>100004334</v>
      </c>
      <c r="B1732" s="3" t="s">
        <v>1421</v>
      </c>
      <c r="C1732" s="3" t="s">
        <v>1011</v>
      </c>
      <c r="D1732" s="3" t="s">
        <v>972</v>
      </c>
      <c r="E1732" s="3" t="s">
        <v>967</v>
      </c>
      <c r="F1732" s="1">
        <v>45954</v>
      </c>
      <c r="G1732" t="str">
        <f t="shared" si="28"/>
        <v>Oct -2025</v>
      </c>
      <c r="H1732" s="12"/>
    </row>
    <row r="1733" spans="1:8" x14ac:dyDescent="0.3">
      <c r="A1733" s="2">
        <v>100004316</v>
      </c>
      <c r="B1733" s="3" t="s">
        <v>1422</v>
      </c>
      <c r="C1733" s="3" t="s">
        <v>1011</v>
      </c>
      <c r="D1733" s="3" t="s">
        <v>972</v>
      </c>
      <c r="E1733" s="3" t="s">
        <v>967</v>
      </c>
      <c r="F1733" s="1">
        <v>45954</v>
      </c>
      <c r="G1733" t="str">
        <f t="shared" si="28"/>
        <v>Oct -2025</v>
      </c>
      <c r="H1733" s="12"/>
    </row>
    <row r="1734" spans="1:8" x14ac:dyDescent="0.3">
      <c r="A1734" s="2">
        <v>100004352</v>
      </c>
      <c r="B1734" s="3" t="s">
        <v>1423</v>
      </c>
      <c r="C1734" s="3" t="s">
        <v>1011</v>
      </c>
      <c r="D1734" s="3" t="s">
        <v>972</v>
      </c>
      <c r="E1734" s="3" t="s">
        <v>967</v>
      </c>
      <c r="F1734" s="1">
        <v>45957</v>
      </c>
      <c r="G1734" t="str">
        <f t="shared" si="28"/>
        <v>Oct -2025</v>
      </c>
      <c r="H1734" s="12"/>
    </row>
    <row r="1735" spans="1:8" x14ac:dyDescent="0.3">
      <c r="A1735" s="2">
        <v>1125378</v>
      </c>
      <c r="B1735" s="3" t="s">
        <v>1424</v>
      </c>
      <c r="C1735" s="3" t="s">
        <v>1010</v>
      </c>
      <c r="D1735" s="3" t="s">
        <v>1259</v>
      </c>
      <c r="E1735" s="3" t="s">
        <v>228</v>
      </c>
      <c r="F1735" s="1">
        <v>45957</v>
      </c>
      <c r="G1735" t="str">
        <f t="shared" si="28"/>
        <v>Oct -2025</v>
      </c>
      <c r="H1735" s="12"/>
    </row>
    <row r="1736" spans="1:8" x14ac:dyDescent="0.3">
      <c r="A1736" s="2">
        <v>1116342</v>
      </c>
      <c r="B1736" s="3" t="s">
        <v>1425</v>
      </c>
      <c r="C1736" s="3" t="s">
        <v>1010</v>
      </c>
      <c r="D1736" s="3" t="s">
        <v>1020</v>
      </c>
      <c r="E1736" s="3" t="s">
        <v>435</v>
      </c>
      <c r="F1736" s="1">
        <v>45957</v>
      </c>
      <c r="G1736" t="str">
        <f t="shared" si="28"/>
        <v>Oct -2025</v>
      </c>
      <c r="H1736" s="12"/>
    </row>
    <row r="1737" spans="1:8" x14ac:dyDescent="0.3">
      <c r="A1737" s="2">
        <v>1116609</v>
      </c>
      <c r="B1737" s="3" t="s">
        <v>1426</v>
      </c>
      <c r="C1737" s="3" t="s">
        <v>1010</v>
      </c>
      <c r="D1737" s="3" t="s">
        <v>1020</v>
      </c>
      <c r="E1737" s="3" t="s">
        <v>435</v>
      </c>
      <c r="F1737" s="1">
        <v>45957</v>
      </c>
      <c r="G1737" t="str">
        <f t="shared" si="28"/>
        <v>Oct -2025</v>
      </c>
      <c r="H1737" s="12"/>
    </row>
    <row r="1738" spans="1:8" x14ac:dyDescent="0.3">
      <c r="A1738" s="2">
        <v>1116620</v>
      </c>
      <c r="B1738" s="3" t="s">
        <v>1427</v>
      </c>
      <c r="C1738" s="3" t="s">
        <v>1010</v>
      </c>
      <c r="D1738" s="3" t="s">
        <v>1020</v>
      </c>
      <c r="E1738" s="3" t="s">
        <v>435</v>
      </c>
      <c r="F1738" s="1">
        <v>45957</v>
      </c>
      <c r="G1738" t="str">
        <f t="shared" si="28"/>
        <v>Oct -2025</v>
      </c>
      <c r="H1738" s="12"/>
    </row>
    <row r="1739" spans="1:8" x14ac:dyDescent="0.3">
      <c r="A1739" s="2">
        <v>1126610</v>
      </c>
      <c r="B1739" s="3" t="s">
        <v>1428</v>
      </c>
      <c r="C1739" s="3" t="s">
        <v>1010</v>
      </c>
      <c r="D1739" s="3" t="s">
        <v>1020</v>
      </c>
      <c r="E1739" s="3" t="s">
        <v>435</v>
      </c>
      <c r="F1739" s="1">
        <v>45957</v>
      </c>
      <c r="G1739" t="str">
        <f t="shared" si="28"/>
        <v>Oct -2025</v>
      </c>
      <c r="H1739" s="12"/>
    </row>
    <row r="1740" spans="1:8" x14ac:dyDescent="0.3">
      <c r="A1740" s="2">
        <v>1100772</v>
      </c>
      <c r="B1740" s="3" t="s">
        <v>337</v>
      </c>
      <c r="C1740" s="3" t="s">
        <v>1010</v>
      </c>
      <c r="D1740" s="3" t="s">
        <v>1020</v>
      </c>
      <c r="E1740" s="3" t="s">
        <v>338</v>
      </c>
      <c r="F1740" s="1">
        <v>45957</v>
      </c>
      <c r="G1740" t="str">
        <f t="shared" si="28"/>
        <v>Oct -2025</v>
      </c>
      <c r="H1740" s="12"/>
    </row>
    <row r="1741" spans="1:8" x14ac:dyDescent="0.3">
      <c r="A1741" s="2">
        <v>1100775</v>
      </c>
      <c r="B1741" s="3" t="s">
        <v>754</v>
      </c>
      <c r="C1741" s="3" t="s">
        <v>1010</v>
      </c>
      <c r="D1741" s="3" t="s">
        <v>1020</v>
      </c>
      <c r="E1741" s="3" t="s">
        <v>338</v>
      </c>
      <c r="F1741" s="1">
        <v>45957</v>
      </c>
      <c r="G1741" t="str">
        <f t="shared" si="28"/>
        <v>Oct -2025</v>
      </c>
      <c r="H1741" s="12"/>
    </row>
    <row r="1742" spans="1:8" x14ac:dyDescent="0.3">
      <c r="A1742" s="2">
        <v>1100948</v>
      </c>
      <c r="B1742" s="3" t="s">
        <v>754</v>
      </c>
      <c r="C1742" s="3" t="s">
        <v>1010</v>
      </c>
      <c r="D1742" s="3" t="s">
        <v>1020</v>
      </c>
      <c r="E1742" s="3" t="s">
        <v>338</v>
      </c>
      <c r="F1742" s="1">
        <v>45957</v>
      </c>
      <c r="G1742" t="str">
        <f t="shared" si="28"/>
        <v>Oct -2025</v>
      </c>
      <c r="H1742" s="12"/>
    </row>
    <row r="1743" spans="1:8" x14ac:dyDescent="0.3">
      <c r="A1743" s="2">
        <v>1100951</v>
      </c>
      <c r="B1743" s="3" t="s">
        <v>754</v>
      </c>
      <c r="C1743" s="3" t="s">
        <v>1010</v>
      </c>
      <c r="D1743" s="3" t="s">
        <v>1020</v>
      </c>
      <c r="E1743" s="3" t="s">
        <v>338</v>
      </c>
      <c r="F1743" s="1">
        <v>45957</v>
      </c>
      <c r="G1743" t="str">
        <f t="shared" si="28"/>
        <v>Oct -2025</v>
      </c>
      <c r="H1743" s="12"/>
    </row>
    <row r="1744" spans="1:8" x14ac:dyDescent="0.3">
      <c r="A1744" s="2">
        <v>1126616</v>
      </c>
      <c r="B1744" s="3" t="s">
        <v>1429</v>
      </c>
      <c r="C1744" s="3" t="s">
        <v>1010</v>
      </c>
      <c r="D1744" s="3" t="s">
        <v>1020</v>
      </c>
      <c r="E1744" s="3" t="s">
        <v>338</v>
      </c>
      <c r="F1744" s="1">
        <v>45957</v>
      </c>
      <c r="G1744" t="str">
        <f t="shared" si="28"/>
        <v>Oct -2025</v>
      </c>
      <c r="H1744" s="12"/>
    </row>
    <row r="1745" spans="1:8" x14ac:dyDescent="0.3">
      <c r="A1745" s="2">
        <v>900004907</v>
      </c>
      <c r="B1745" s="3" t="s">
        <v>1430</v>
      </c>
      <c r="C1745" s="3" t="s">
        <v>1010</v>
      </c>
      <c r="D1745" s="3" t="s">
        <v>143</v>
      </c>
      <c r="E1745" s="3" t="s">
        <v>322</v>
      </c>
      <c r="F1745" s="1">
        <v>45957</v>
      </c>
      <c r="G1745" t="str">
        <f t="shared" si="28"/>
        <v>Oct -2025</v>
      </c>
      <c r="H1745" s="12"/>
    </row>
    <row r="1746" spans="1:8" x14ac:dyDescent="0.3">
      <c r="A1746" s="2">
        <v>1100913</v>
      </c>
      <c r="B1746" s="3" t="s">
        <v>754</v>
      </c>
      <c r="C1746" s="3" t="s">
        <v>1010</v>
      </c>
      <c r="D1746" s="3" t="s">
        <v>1020</v>
      </c>
      <c r="E1746" s="3" t="s">
        <v>338</v>
      </c>
      <c r="F1746" s="1">
        <v>45957</v>
      </c>
      <c r="G1746" t="str">
        <f t="shared" si="28"/>
        <v>Oct -2025</v>
      </c>
      <c r="H1746" s="12"/>
    </row>
    <row r="1747" spans="1:8" x14ac:dyDescent="0.3">
      <c r="A1747" s="2">
        <v>1100810</v>
      </c>
      <c r="B1747" s="3" t="s">
        <v>754</v>
      </c>
      <c r="C1747" s="3" t="s">
        <v>1010</v>
      </c>
      <c r="D1747" s="3" t="s">
        <v>1020</v>
      </c>
      <c r="E1747" s="3" t="s">
        <v>338</v>
      </c>
      <c r="F1747" s="1">
        <v>45957</v>
      </c>
      <c r="G1747" t="str">
        <f t="shared" si="28"/>
        <v>Oct -2025</v>
      </c>
      <c r="H1747" s="12"/>
    </row>
    <row r="1748" spans="1:8" x14ac:dyDescent="0.3">
      <c r="A1748" s="2">
        <v>1100914</v>
      </c>
      <c r="B1748" s="3" t="s">
        <v>754</v>
      </c>
      <c r="C1748" s="3" t="s">
        <v>1010</v>
      </c>
      <c r="D1748" s="3" t="s">
        <v>1020</v>
      </c>
      <c r="E1748" s="3" t="s">
        <v>338</v>
      </c>
      <c r="F1748" s="1">
        <v>45957</v>
      </c>
      <c r="G1748" t="str">
        <f t="shared" si="28"/>
        <v>Oct -2025</v>
      </c>
      <c r="H1748" s="12"/>
    </row>
    <row r="1749" spans="1:8" x14ac:dyDescent="0.3">
      <c r="A1749" s="2">
        <v>1100902</v>
      </c>
      <c r="B1749" s="3" t="s">
        <v>25</v>
      </c>
      <c r="C1749" s="3" t="s">
        <v>1010</v>
      </c>
      <c r="D1749" s="3" t="s">
        <v>1020</v>
      </c>
      <c r="E1749" s="3" t="s">
        <v>338</v>
      </c>
      <c r="F1749" s="1">
        <v>45957</v>
      </c>
      <c r="G1749" t="str">
        <f t="shared" si="28"/>
        <v>Oct -2025</v>
      </c>
      <c r="H1749" s="12"/>
    </row>
    <row r="1750" spans="1:8" x14ac:dyDescent="0.3">
      <c r="A1750" s="2">
        <v>1100669</v>
      </c>
      <c r="B1750" s="3" t="s">
        <v>25</v>
      </c>
      <c r="C1750" s="3" t="s">
        <v>1010</v>
      </c>
      <c r="D1750" s="3" t="s">
        <v>1020</v>
      </c>
      <c r="E1750" s="3" t="s">
        <v>338</v>
      </c>
      <c r="F1750" s="1">
        <v>45957</v>
      </c>
      <c r="G1750" t="str">
        <f t="shared" si="28"/>
        <v>Oct -2025</v>
      </c>
      <c r="H1750" s="12"/>
    </row>
    <row r="1751" spans="1:8" x14ac:dyDescent="0.3">
      <c r="A1751" s="2">
        <v>1100670</v>
      </c>
      <c r="B1751" s="3" t="s">
        <v>25</v>
      </c>
      <c r="C1751" s="3" t="s">
        <v>1010</v>
      </c>
      <c r="D1751" s="3" t="s">
        <v>1020</v>
      </c>
      <c r="E1751" s="3" t="s">
        <v>338</v>
      </c>
      <c r="F1751" s="1">
        <v>45957</v>
      </c>
      <c r="G1751" t="str">
        <f t="shared" si="28"/>
        <v>Oct -2025</v>
      </c>
      <c r="H1751" s="12"/>
    </row>
    <row r="1752" spans="1:8" x14ac:dyDescent="0.3">
      <c r="A1752" s="2">
        <v>1100911</v>
      </c>
      <c r="B1752" s="3" t="s">
        <v>25</v>
      </c>
      <c r="C1752" s="3" t="s">
        <v>1010</v>
      </c>
      <c r="D1752" s="3" t="s">
        <v>1020</v>
      </c>
      <c r="E1752" s="3" t="s">
        <v>338</v>
      </c>
      <c r="F1752" s="1">
        <v>45957</v>
      </c>
      <c r="G1752" t="str">
        <f t="shared" si="28"/>
        <v>Oct -2025</v>
      </c>
      <c r="H1752" s="12"/>
    </row>
    <row r="1753" spans="1:8" x14ac:dyDescent="0.3">
      <c r="A1753" s="2">
        <v>1126593</v>
      </c>
      <c r="B1753" s="3" t="s">
        <v>1431</v>
      </c>
      <c r="C1753" s="3" t="s">
        <v>1010</v>
      </c>
      <c r="D1753" s="3" t="s">
        <v>209</v>
      </c>
      <c r="E1753" s="3" t="s">
        <v>210</v>
      </c>
      <c r="F1753" s="1">
        <v>45957</v>
      </c>
      <c r="G1753" t="str">
        <f t="shared" si="28"/>
        <v>Oct -2025</v>
      </c>
      <c r="H1753" s="12"/>
    </row>
    <row r="1754" spans="1:8" x14ac:dyDescent="0.3">
      <c r="A1754" s="2">
        <v>1126815</v>
      </c>
      <c r="B1754" s="3" t="s">
        <v>1432</v>
      </c>
      <c r="C1754" s="3" t="s">
        <v>1010</v>
      </c>
      <c r="D1754" s="3" t="s">
        <v>209</v>
      </c>
      <c r="E1754" s="3" t="s">
        <v>210</v>
      </c>
      <c r="F1754" s="1">
        <v>45957</v>
      </c>
      <c r="G1754" t="str">
        <f t="shared" si="28"/>
        <v>Oct -2025</v>
      </c>
      <c r="H1754" s="12"/>
    </row>
    <row r="1755" spans="1:8" x14ac:dyDescent="0.3">
      <c r="A1755" s="2">
        <v>1126824</v>
      </c>
      <c r="B1755" s="3" t="s">
        <v>1433</v>
      </c>
      <c r="C1755" s="3" t="s">
        <v>1010</v>
      </c>
      <c r="D1755" s="3" t="s">
        <v>209</v>
      </c>
      <c r="E1755" s="3" t="s">
        <v>210</v>
      </c>
      <c r="F1755" s="1">
        <v>45957</v>
      </c>
      <c r="G1755" t="str">
        <f t="shared" si="28"/>
        <v>Oct -2025</v>
      </c>
      <c r="H1755" s="12"/>
    </row>
    <row r="1756" spans="1:8" x14ac:dyDescent="0.3">
      <c r="A1756" s="2">
        <v>1126674</v>
      </c>
      <c r="B1756" s="3" t="s">
        <v>1434</v>
      </c>
      <c r="C1756" s="3" t="s">
        <v>1010</v>
      </c>
      <c r="D1756" s="3" t="s">
        <v>1020</v>
      </c>
      <c r="E1756" s="3" t="s">
        <v>435</v>
      </c>
      <c r="F1756" s="1">
        <v>45958</v>
      </c>
      <c r="G1756" t="str">
        <f t="shared" si="28"/>
        <v>Oct -2025</v>
      </c>
      <c r="H1756" s="12"/>
    </row>
    <row r="1757" spans="1:8" x14ac:dyDescent="0.3">
      <c r="A1757" s="2">
        <v>1126740</v>
      </c>
      <c r="B1757" s="3" t="s">
        <v>1435</v>
      </c>
      <c r="C1757" s="3" t="s">
        <v>1010</v>
      </c>
      <c r="D1757" s="3" t="s">
        <v>1020</v>
      </c>
      <c r="E1757" s="3" t="s">
        <v>435</v>
      </c>
      <c r="F1757" s="1">
        <v>45958</v>
      </c>
      <c r="G1757" t="str">
        <f t="shared" si="28"/>
        <v>Oct -2025</v>
      </c>
      <c r="H1757" s="12"/>
    </row>
    <row r="1758" spans="1:8" x14ac:dyDescent="0.3">
      <c r="A1758" s="2">
        <v>1127393</v>
      </c>
      <c r="B1758" s="3" t="s">
        <v>1436</v>
      </c>
      <c r="C1758" s="3" t="s">
        <v>1010</v>
      </c>
      <c r="D1758" s="3" t="s">
        <v>1020</v>
      </c>
      <c r="E1758" s="3" t="s">
        <v>435</v>
      </c>
      <c r="F1758" s="1">
        <v>45958</v>
      </c>
      <c r="G1758" t="str">
        <f t="shared" si="28"/>
        <v>Oct -2025</v>
      </c>
      <c r="H1758" s="12"/>
    </row>
    <row r="1759" spans="1:8" x14ac:dyDescent="0.3">
      <c r="A1759" s="2">
        <v>1127485</v>
      </c>
      <c r="B1759" s="3" t="s">
        <v>1437</v>
      </c>
      <c r="C1759" s="3" t="s">
        <v>1010</v>
      </c>
      <c r="D1759" s="3" t="s">
        <v>1020</v>
      </c>
      <c r="E1759" s="3" t="s">
        <v>435</v>
      </c>
      <c r="F1759" s="1">
        <v>45958</v>
      </c>
      <c r="G1759" t="str">
        <f t="shared" si="28"/>
        <v>Oct -2025</v>
      </c>
      <c r="H1759" s="12"/>
    </row>
    <row r="1760" spans="1:8" x14ac:dyDescent="0.3">
      <c r="A1760" s="2">
        <v>1127560</v>
      </c>
      <c r="B1760" s="3" t="s">
        <v>1438</v>
      </c>
      <c r="C1760" s="3" t="s">
        <v>1010</v>
      </c>
      <c r="D1760" s="3" t="s">
        <v>1020</v>
      </c>
      <c r="E1760" s="3" t="s">
        <v>435</v>
      </c>
      <c r="F1760" s="1">
        <v>45958</v>
      </c>
      <c r="G1760" t="str">
        <f t="shared" si="28"/>
        <v>Oct -2025</v>
      </c>
      <c r="H1760" s="12"/>
    </row>
    <row r="1761" spans="1:8" x14ac:dyDescent="0.3">
      <c r="A1761" s="2">
        <v>1125378</v>
      </c>
      <c r="B1761" s="3" t="s">
        <v>1424</v>
      </c>
      <c r="C1761" s="3" t="s">
        <v>1010</v>
      </c>
      <c r="D1761" s="3" t="s">
        <v>1259</v>
      </c>
      <c r="E1761" s="3" t="s">
        <v>228</v>
      </c>
      <c r="F1761" s="1">
        <v>45958</v>
      </c>
      <c r="G1761" t="str">
        <f t="shared" si="28"/>
        <v>Oct -2025</v>
      </c>
      <c r="H1761" s="12"/>
    </row>
    <row r="1762" spans="1:8" x14ac:dyDescent="0.3">
      <c r="A1762" s="2">
        <v>1127338</v>
      </c>
      <c r="B1762" s="3" t="s">
        <v>1439</v>
      </c>
      <c r="C1762" s="3" t="s">
        <v>1010</v>
      </c>
      <c r="D1762" s="3" t="s">
        <v>209</v>
      </c>
      <c r="E1762" s="3" t="s">
        <v>210</v>
      </c>
      <c r="F1762" s="1">
        <v>45958</v>
      </c>
      <c r="G1762" t="str">
        <f t="shared" si="28"/>
        <v>Oct -2025</v>
      </c>
      <c r="H1762" s="12"/>
    </row>
    <row r="1763" spans="1:8" x14ac:dyDescent="0.3">
      <c r="A1763" s="2">
        <v>1130376</v>
      </c>
      <c r="B1763" s="3" t="s">
        <v>1440</v>
      </c>
      <c r="C1763" s="3" t="s">
        <v>1010</v>
      </c>
      <c r="D1763" s="3" t="s">
        <v>209</v>
      </c>
      <c r="E1763" s="3" t="s">
        <v>228</v>
      </c>
      <c r="F1763" s="1">
        <v>45958</v>
      </c>
      <c r="G1763" t="str">
        <f t="shared" si="28"/>
        <v>Oct -2025</v>
      </c>
      <c r="H1763" s="12"/>
    </row>
    <row r="1764" spans="1:8" x14ac:dyDescent="0.3">
      <c r="A1764" s="2">
        <v>1130292</v>
      </c>
      <c r="B1764" s="3" t="s">
        <v>1441</v>
      </c>
      <c r="C1764" s="3" t="s">
        <v>1010</v>
      </c>
      <c r="D1764" s="3" t="s">
        <v>209</v>
      </c>
      <c r="E1764" s="3" t="s">
        <v>225</v>
      </c>
      <c r="F1764" s="1">
        <v>45958</v>
      </c>
      <c r="G1764" t="str">
        <f t="shared" si="28"/>
        <v>Oct -2025</v>
      </c>
      <c r="H1764" s="12"/>
    </row>
    <row r="1765" spans="1:8" x14ac:dyDescent="0.3">
      <c r="A1765" s="2">
        <v>1108155</v>
      </c>
      <c r="B1765" s="3" t="s">
        <v>1396</v>
      </c>
      <c r="C1765" s="3" t="s">
        <v>1010</v>
      </c>
      <c r="D1765" s="3" t="s">
        <v>1020</v>
      </c>
      <c r="E1765" s="3" t="s">
        <v>435</v>
      </c>
      <c r="F1765" s="1">
        <v>45958</v>
      </c>
      <c r="G1765" t="str">
        <f t="shared" si="28"/>
        <v>Oct -2025</v>
      </c>
      <c r="H1765" s="12"/>
    </row>
    <row r="1766" spans="1:8" x14ac:dyDescent="0.3">
      <c r="A1766" s="2">
        <v>1116871</v>
      </c>
      <c r="B1766" s="3" t="s">
        <v>1416</v>
      </c>
      <c r="C1766" s="3" t="s">
        <v>1010</v>
      </c>
      <c r="D1766" s="3" t="s">
        <v>1020</v>
      </c>
      <c r="E1766" s="3" t="s">
        <v>435</v>
      </c>
      <c r="F1766" s="1">
        <v>45958</v>
      </c>
      <c r="G1766" t="str">
        <f t="shared" si="28"/>
        <v>Oct -2025</v>
      </c>
      <c r="H1766" s="12"/>
    </row>
    <row r="1767" spans="1:8" x14ac:dyDescent="0.3">
      <c r="A1767" s="2">
        <v>1083549</v>
      </c>
      <c r="B1767" s="3" t="s">
        <v>1353</v>
      </c>
      <c r="C1767" s="3" t="s">
        <v>1010</v>
      </c>
      <c r="D1767" s="3" t="s">
        <v>1020</v>
      </c>
      <c r="E1767" s="3" t="s">
        <v>435</v>
      </c>
      <c r="F1767" s="1">
        <v>45958</v>
      </c>
      <c r="G1767" t="str">
        <f t="shared" si="28"/>
        <v>Oct -2025</v>
      </c>
      <c r="H1767" s="12"/>
    </row>
    <row r="1768" spans="1:8" x14ac:dyDescent="0.3">
      <c r="A1768" s="2">
        <v>1130804</v>
      </c>
      <c r="B1768" s="3" t="s">
        <v>1442</v>
      </c>
      <c r="C1768" s="3" t="s">
        <v>1010</v>
      </c>
      <c r="D1768" s="3" t="s">
        <v>209</v>
      </c>
      <c r="E1768" s="3" t="s">
        <v>225</v>
      </c>
      <c r="F1768" s="1">
        <v>45958</v>
      </c>
      <c r="G1768" t="str">
        <f t="shared" si="28"/>
        <v>Oct -2025</v>
      </c>
      <c r="H1768" s="12"/>
    </row>
    <row r="1769" spans="1:8" x14ac:dyDescent="0.3">
      <c r="A1769" s="2">
        <v>1130857</v>
      </c>
      <c r="B1769" s="3" t="s">
        <v>1442</v>
      </c>
      <c r="C1769" s="3" t="s">
        <v>1010</v>
      </c>
      <c r="D1769" s="3" t="s">
        <v>209</v>
      </c>
      <c r="E1769" s="3" t="s">
        <v>225</v>
      </c>
      <c r="F1769" s="1">
        <v>45958</v>
      </c>
      <c r="G1769" t="str">
        <f t="shared" si="28"/>
        <v>Oct -2025</v>
      </c>
      <c r="H1769" s="12"/>
    </row>
    <row r="1770" spans="1:8" x14ac:dyDescent="0.3">
      <c r="A1770" s="2">
        <v>1130858</v>
      </c>
      <c r="B1770" s="3" t="s">
        <v>1442</v>
      </c>
      <c r="C1770" s="3" t="s">
        <v>1010</v>
      </c>
      <c r="D1770" s="3" t="s">
        <v>209</v>
      </c>
      <c r="E1770" s="3" t="s">
        <v>225</v>
      </c>
      <c r="F1770" s="1">
        <v>45958</v>
      </c>
      <c r="G1770" t="str">
        <f t="shared" si="28"/>
        <v>Oct -2025</v>
      </c>
      <c r="H1770" s="12"/>
    </row>
    <row r="1771" spans="1:8" x14ac:dyDescent="0.3">
      <c r="A1771" s="2">
        <v>1130810</v>
      </c>
      <c r="B1771" s="3" t="s">
        <v>1441</v>
      </c>
      <c r="C1771" s="3" t="s">
        <v>1010</v>
      </c>
      <c r="D1771" s="3" t="s">
        <v>209</v>
      </c>
      <c r="E1771" s="3" t="s">
        <v>225</v>
      </c>
      <c r="F1771" s="1">
        <v>45958</v>
      </c>
      <c r="G1771" t="str">
        <f t="shared" si="28"/>
        <v>Oct -2025</v>
      </c>
      <c r="H1771" s="12"/>
    </row>
    <row r="1772" spans="1:8" x14ac:dyDescent="0.3">
      <c r="A1772" s="2">
        <v>1130957</v>
      </c>
      <c r="B1772" s="3" t="s">
        <v>1443</v>
      </c>
      <c r="C1772" s="3" t="s">
        <v>1010</v>
      </c>
      <c r="D1772" s="3" t="s">
        <v>364</v>
      </c>
      <c r="E1772" s="3" t="s">
        <v>1034</v>
      </c>
      <c r="F1772" s="1">
        <v>45958</v>
      </c>
      <c r="G1772" t="str">
        <f t="shared" si="28"/>
        <v>Oct -2025</v>
      </c>
      <c r="H1772" s="12"/>
    </row>
    <row r="1773" spans="1:8" x14ac:dyDescent="0.3">
      <c r="A1773" s="2">
        <v>1127296</v>
      </c>
      <c r="B1773" s="3" t="s">
        <v>1439</v>
      </c>
      <c r="C1773" s="3" t="s">
        <v>1010</v>
      </c>
      <c r="D1773" s="3" t="s">
        <v>209</v>
      </c>
      <c r="E1773" s="3" t="s">
        <v>210</v>
      </c>
      <c r="F1773" s="1">
        <v>45958</v>
      </c>
      <c r="G1773" t="str">
        <f t="shared" si="28"/>
        <v>Oct -2025</v>
      </c>
      <c r="H1773" s="12"/>
    </row>
    <row r="1774" spans="1:8" x14ac:dyDescent="0.3">
      <c r="A1774" s="2">
        <v>1127164</v>
      </c>
      <c r="B1774" s="3" t="s">
        <v>1439</v>
      </c>
      <c r="C1774" s="3" t="s">
        <v>1010</v>
      </c>
      <c r="D1774" s="3" t="s">
        <v>209</v>
      </c>
      <c r="E1774" s="3" t="s">
        <v>210</v>
      </c>
      <c r="F1774" s="1">
        <v>45958</v>
      </c>
      <c r="G1774" t="str">
        <f t="shared" si="28"/>
        <v>Oct -2025</v>
      </c>
      <c r="H1774" s="12"/>
    </row>
    <row r="1775" spans="1:8" x14ac:dyDescent="0.3">
      <c r="A1775" s="2">
        <v>1127009</v>
      </c>
      <c r="B1775" s="3" t="s">
        <v>1439</v>
      </c>
      <c r="C1775" s="3" t="s">
        <v>1010</v>
      </c>
      <c r="D1775" s="3" t="s">
        <v>209</v>
      </c>
      <c r="E1775" s="3" t="s">
        <v>210</v>
      </c>
      <c r="F1775" s="1">
        <v>45958</v>
      </c>
      <c r="G1775" t="str">
        <f t="shared" si="28"/>
        <v>Oct -2025</v>
      </c>
      <c r="H1775" s="12"/>
    </row>
    <row r="1776" spans="1:8" x14ac:dyDescent="0.3">
      <c r="A1776" s="2">
        <v>1127145</v>
      </c>
      <c r="B1776" s="3" t="s">
        <v>1439</v>
      </c>
      <c r="C1776" s="3" t="s">
        <v>1010</v>
      </c>
      <c r="D1776" s="3" t="s">
        <v>209</v>
      </c>
      <c r="E1776" s="3" t="s">
        <v>210</v>
      </c>
      <c r="F1776" s="1">
        <v>45958</v>
      </c>
      <c r="G1776" t="str">
        <f t="shared" si="28"/>
        <v>Oct -2025</v>
      </c>
      <c r="H1776" s="12"/>
    </row>
    <row r="1777" spans="1:8" x14ac:dyDescent="0.3">
      <c r="A1777" s="2">
        <v>1127165</v>
      </c>
      <c r="B1777" s="3" t="s">
        <v>1439</v>
      </c>
      <c r="C1777" s="3" t="s">
        <v>1010</v>
      </c>
      <c r="D1777" s="3" t="s">
        <v>209</v>
      </c>
      <c r="E1777" s="3" t="s">
        <v>210</v>
      </c>
      <c r="F1777" s="1">
        <v>45958</v>
      </c>
      <c r="G1777" t="str">
        <f t="shared" si="28"/>
        <v>Oct -2025</v>
      </c>
      <c r="H1777" s="12"/>
    </row>
    <row r="1778" spans="1:8" x14ac:dyDescent="0.3">
      <c r="A1778" s="2">
        <v>1127296</v>
      </c>
      <c r="B1778" s="3" t="s">
        <v>1439</v>
      </c>
      <c r="C1778" s="3" t="s">
        <v>1010</v>
      </c>
      <c r="D1778" s="3" t="s">
        <v>209</v>
      </c>
      <c r="E1778" s="3" t="s">
        <v>210</v>
      </c>
      <c r="F1778" s="1">
        <v>45958</v>
      </c>
      <c r="G1778" t="str">
        <f t="shared" si="28"/>
        <v>Oct -2025</v>
      </c>
      <c r="H1778" s="12"/>
    </row>
    <row r="1779" spans="1:8" x14ac:dyDescent="0.3">
      <c r="A1779" s="2">
        <v>1127322</v>
      </c>
      <c r="B1779" s="3" t="s">
        <v>1439</v>
      </c>
      <c r="C1779" s="3" t="s">
        <v>1010</v>
      </c>
      <c r="D1779" s="3" t="s">
        <v>209</v>
      </c>
      <c r="E1779" s="3" t="s">
        <v>210</v>
      </c>
      <c r="F1779" s="1">
        <v>45958</v>
      </c>
      <c r="G1779" t="str">
        <f t="shared" si="28"/>
        <v>Oct -2025</v>
      </c>
      <c r="H1779" s="12"/>
    </row>
    <row r="1780" spans="1:8" x14ac:dyDescent="0.3">
      <c r="A1780" s="2">
        <v>1131305</v>
      </c>
      <c r="B1780" s="3" t="s">
        <v>459</v>
      </c>
      <c r="C1780" s="3" t="s">
        <v>1010</v>
      </c>
      <c r="D1780" s="3" t="s">
        <v>209</v>
      </c>
      <c r="E1780" s="3" t="s">
        <v>210</v>
      </c>
      <c r="F1780" s="1">
        <v>45958</v>
      </c>
      <c r="G1780" t="str">
        <f t="shared" si="28"/>
        <v>Oct -2025</v>
      </c>
      <c r="H1780" s="12"/>
    </row>
    <row r="1781" spans="1:8" x14ac:dyDescent="0.3">
      <c r="A1781" s="2">
        <v>100004365</v>
      </c>
      <c r="B1781" s="3" t="s">
        <v>1444</v>
      </c>
      <c r="C1781" s="3" t="s">
        <v>1011</v>
      </c>
      <c r="D1781" s="3" t="s">
        <v>972</v>
      </c>
      <c r="E1781" s="3" t="s">
        <v>967</v>
      </c>
      <c r="F1781" s="1">
        <v>45958</v>
      </c>
      <c r="G1781" t="str">
        <f t="shared" si="28"/>
        <v>Oct -2025</v>
      </c>
      <c r="H1781" s="12"/>
    </row>
    <row r="1782" spans="1:8" x14ac:dyDescent="0.3">
      <c r="A1782" s="2">
        <v>100004366</v>
      </c>
      <c r="B1782" s="3" t="s">
        <v>1445</v>
      </c>
      <c r="C1782" s="3" t="s">
        <v>1011</v>
      </c>
      <c r="D1782" s="3" t="s">
        <v>972</v>
      </c>
      <c r="E1782" s="3" t="s">
        <v>967</v>
      </c>
      <c r="F1782" s="1">
        <v>45958</v>
      </c>
      <c r="G1782" t="str">
        <f t="shared" si="28"/>
        <v>Oct -2025</v>
      </c>
      <c r="H1782" s="12"/>
    </row>
    <row r="1783" spans="1:8" x14ac:dyDescent="0.3">
      <c r="A1783" s="2">
        <v>100004345</v>
      </c>
      <c r="B1783" s="3" t="s">
        <v>1446</v>
      </c>
      <c r="C1783" s="3" t="s">
        <v>1011</v>
      </c>
      <c r="D1783" s="3" t="s">
        <v>972</v>
      </c>
      <c r="E1783" s="3" t="s">
        <v>970</v>
      </c>
      <c r="F1783" s="1">
        <v>45958</v>
      </c>
      <c r="G1783" t="str">
        <f t="shared" si="28"/>
        <v>Oct -2025</v>
      </c>
      <c r="H1783" s="12"/>
    </row>
    <row r="1784" spans="1:8" x14ac:dyDescent="0.3">
      <c r="A1784" s="2">
        <v>100004374</v>
      </c>
      <c r="B1784" s="3" t="s">
        <v>1447</v>
      </c>
      <c r="C1784" s="3" t="s">
        <v>1011</v>
      </c>
      <c r="D1784" s="3" t="s">
        <v>972</v>
      </c>
      <c r="E1784" s="3" t="s">
        <v>967</v>
      </c>
      <c r="F1784" s="1">
        <v>45959</v>
      </c>
      <c r="G1784" t="str">
        <f t="shared" si="28"/>
        <v>Oct -2025</v>
      </c>
      <c r="H1784" s="12"/>
    </row>
    <row r="1785" spans="1:8" x14ac:dyDescent="0.3">
      <c r="A1785" s="2">
        <v>1133425</v>
      </c>
      <c r="B1785" s="3" t="s">
        <v>1448</v>
      </c>
      <c r="C1785" s="3" t="s">
        <v>1010</v>
      </c>
      <c r="D1785" s="3" t="s">
        <v>209</v>
      </c>
      <c r="E1785" s="3" t="s">
        <v>196</v>
      </c>
      <c r="F1785" s="1">
        <v>45959</v>
      </c>
      <c r="G1785" t="str">
        <f t="shared" si="28"/>
        <v>Oct -2025</v>
      </c>
      <c r="H1785" s="12"/>
    </row>
    <row r="1786" spans="1:8" x14ac:dyDescent="0.3">
      <c r="A1786" s="2">
        <v>1133426</v>
      </c>
      <c r="B1786" s="3" t="s">
        <v>1448</v>
      </c>
      <c r="C1786" s="3" t="s">
        <v>1010</v>
      </c>
      <c r="D1786" s="3" t="s">
        <v>209</v>
      </c>
      <c r="E1786" s="3" t="s">
        <v>196</v>
      </c>
      <c r="F1786" s="1">
        <v>45959</v>
      </c>
      <c r="G1786" t="str">
        <f t="shared" si="28"/>
        <v>Oct -2025</v>
      </c>
      <c r="H1786" s="12"/>
    </row>
    <row r="1787" spans="1:8" x14ac:dyDescent="0.3">
      <c r="A1787" s="2">
        <v>900004955</v>
      </c>
      <c r="B1787" s="3" t="s">
        <v>1449</v>
      </c>
      <c r="C1787" s="3" t="s">
        <v>1010</v>
      </c>
      <c r="D1787" s="3" t="s">
        <v>143</v>
      </c>
      <c r="E1787" s="3" t="s">
        <v>322</v>
      </c>
      <c r="F1787" s="1">
        <v>45959</v>
      </c>
      <c r="G1787" t="str">
        <f t="shared" si="28"/>
        <v>Oct -2025</v>
      </c>
      <c r="H1787" s="12"/>
    </row>
    <row r="1788" spans="1:8" x14ac:dyDescent="0.3">
      <c r="A1788" s="2">
        <v>1130957</v>
      </c>
      <c r="B1788" s="3" t="s">
        <v>1443</v>
      </c>
      <c r="C1788" s="3" t="s">
        <v>1010</v>
      </c>
      <c r="D1788" s="3" t="s">
        <v>364</v>
      </c>
      <c r="E1788" s="3" t="s">
        <v>1034</v>
      </c>
      <c r="F1788" s="1">
        <v>45959</v>
      </c>
      <c r="G1788" t="str">
        <f t="shared" si="28"/>
        <v>Oct -2025</v>
      </c>
      <c r="H1788" s="12"/>
    </row>
    <row r="1789" spans="1:8" x14ac:dyDescent="0.3">
      <c r="A1789" s="2">
        <v>1131121</v>
      </c>
      <c r="B1789" s="3" t="s">
        <v>1450</v>
      </c>
      <c r="C1789" s="3" t="s">
        <v>1010</v>
      </c>
      <c r="D1789" s="3" t="s">
        <v>364</v>
      </c>
      <c r="E1789" s="3" t="s">
        <v>1034</v>
      </c>
      <c r="F1789" s="1">
        <v>45959</v>
      </c>
      <c r="G1789" t="str">
        <f t="shared" si="28"/>
        <v>Oct -2025</v>
      </c>
      <c r="H1789" s="12"/>
    </row>
    <row r="1790" spans="1:8" x14ac:dyDescent="0.3">
      <c r="A1790" s="2">
        <v>1134478</v>
      </c>
      <c r="B1790" s="3" t="s">
        <v>1451</v>
      </c>
      <c r="C1790" s="3" t="s">
        <v>1010</v>
      </c>
      <c r="D1790" s="3" t="s">
        <v>1259</v>
      </c>
      <c r="E1790" s="3" t="s">
        <v>228</v>
      </c>
      <c r="F1790" s="1">
        <v>45959</v>
      </c>
      <c r="G1790" t="str">
        <f t="shared" si="28"/>
        <v>Oct -2025</v>
      </c>
      <c r="H1790" s="12"/>
    </row>
    <row r="1791" spans="1:8" x14ac:dyDescent="0.3">
      <c r="A1791" s="2">
        <v>1134568</v>
      </c>
      <c r="B1791" s="3" t="s">
        <v>1452</v>
      </c>
      <c r="C1791" s="3" t="s">
        <v>1010</v>
      </c>
      <c r="D1791" s="3" t="s">
        <v>209</v>
      </c>
      <c r="E1791" s="3" t="s">
        <v>225</v>
      </c>
      <c r="F1791" s="1">
        <v>45959</v>
      </c>
      <c r="G1791" t="str">
        <f t="shared" si="28"/>
        <v>Oct -2025</v>
      </c>
      <c r="H1791" s="12"/>
    </row>
    <row r="1792" spans="1:8" x14ac:dyDescent="0.3">
      <c r="A1792" s="2">
        <v>1134154</v>
      </c>
      <c r="B1792" s="3" t="s">
        <v>1453</v>
      </c>
      <c r="C1792" s="3" t="s">
        <v>1010</v>
      </c>
      <c r="D1792" s="3" t="s">
        <v>364</v>
      </c>
      <c r="E1792" s="3" t="s">
        <v>1034</v>
      </c>
      <c r="F1792" s="1">
        <v>45959</v>
      </c>
      <c r="G1792" t="str">
        <f t="shared" si="28"/>
        <v>Oct -2025</v>
      </c>
      <c r="H1792" s="12"/>
    </row>
    <row r="1793" spans="1:8" x14ac:dyDescent="0.3">
      <c r="A1793" s="2">
        <v>1134100</v>
      </c>
      <c r="B1793" s="3" t="s">
        <v>1454</v>
      </c>
      <c r="C1793" s="3" t="s">
        <v>1010</v>
      </c>
      <c r="D1793" s="3" t="s">
        <v>1259</v>
      </c>
      <c r="E1793" s="3" t="s">
        <v>228</v>
      </c>
      <c r="F1793" s="1">
        <v>45959</v>
      </c>
      <c r="G1793" t="str">
        <f t="shared" si="28"/>
        <v>Oct -2025</v>
      </c>
      <c r="H1793" s="12"/>
    </row>
    <row r="1794" spans="1:8" x14ac:dyDescent="0.3">
      <c r="A1794" s="2">
        <v>900004947</v>
      </c>
      <c r="B1794" s="3" t="s">
        <v>1455</v>
      </c>
      <c r="C1794" s="3" t="s">
        <v>1010</v>
      </c>
      <c r="D1794" s="3" t="s">
        <v>143</v>
      </c>
      <c r="E1794" s="3" t="s">
        <v>322</v>
      </c>
      <c r="F1794" s="1">
        <v>45959</v>
      </c>
      <c r="G1794" t="str">
        <f t="shared" ref="G1794:G1857" si="29">TEXT(F1794,"mmm -YYYY")</f>
        <v>Oct -2025</v>
      </c>
      <c r="H1794" s="12"/>
    </row>
    <row r="1795" spans="1:8" x14ac:dyDescent="0.3">
      <c r="A1795" s="2">
        <v>1134887</v>
      </c>
      <c r="B1795" s="3" t="s">
        <v>1456</v>
      </c>
      <c r="C1795" s="3" t="s">
        <v>1010</v>
      </c>
      <c r="D1795" s="3" t="s">
        <v>209</v>
      </c>
      <c r="E1795" s="3" t="s">
        <v>228</v>
      </c>
      <c r="F1795" s="1">
        <v>45959</v>
      </c>
      <c r="G1795" t="str">
        <f t="shared" si="29"/>
        <v>Oct -2025</v>
      </c>
      <c r="H1795" s="12"/>
    </row>
    <row r="1796" spans="1:8" x14ac:dyDescent="0.3">
      <c r="A1796" s="2">
        <v>1134982</v>
      </c>
      <c r="B1796" s="3" t="s">
        <v>1456</v>
      </c>
      <c r="C1796" s="3" t="s">
        <v>1010</v>
      </c>
      <c r="D1796" s="3" t="s">
        <v>209</v>
      </c>
      <c r="E1796" s="3" t="s">
        <v>228</v>
      </c>
      <c r="F1796" s="1">
        <v>45959</v>
      </c>
      <c r="G1796" t="str">
        <f t="shared" si="29"/>
        <v>Oct -2025</v>
      </c>
      <c r="H1796" s="12"/>
    </row>
    <row r="1797" spans="1:8" x14ac:dyDescent="0.3">
      <c r="A1797" s="2">
        <v>200001476</v>
      </c>
      <c r="B1797" s="3" t="s">
        <v>1222</v>
      </c>
      <c r="C1797" s="3" t="s">
        <v>1010</v>
      </c>
      <c r="D1797" s="3" t="s">
        <v>1229</v>
      </c>
      <c r="E1797" s="3" t="s">
        <v>7</v>
      </c>
      <c r="F1797" s="1">
        <v>45960</v>
      </c>
      <c r="G1797" t="str">
        <f t="shared" si="29"/>
        <v>Oct -2025</v>
      </c>
      <c r="H1797" s="12"/>
    </row>
    <row r="1798" spans="1:8" x14ac:dyDescent="0.3">
      <c r="A1798" s="2">
        <v>1136531</v>
      </c>
      <c r="B1798" s="3" t="s">
        <v>1457</v>
      </c>
      <c r="C1798" s="3" t="s">
        <v>1010</v>
      </c>
      <c r="D1798" s="3" t="s">
        <v>1259</v>
      </c>
      <c r="E1798" s="3" t="s">
        <v>228</v>
      </c>
      <c r="F1798" s="1">
        <v>45960</v>
      </c>
      <c r="G1798" t="str">
        <f t="shared" si="29"/>
        <v>Oct -2025</v>
      </c>
      <c r="H1798" s="12"/>
    </row>
    <row r="1799" spans="1:8" x14ac:dyDescent="0.3">
      <c r="A1799" s="2">
        <v>1104310</v>
      </c>
      <c r="B1799" s="3" t="s">
        <v>1458</v>
      </c>
      <c r="C1799" s="3" t="s">
        <v>1010</v>
      </c>
      <c r="D1799" s="3" t="s">
        <v>1020</v>
      </c>
      <c r="E1799" s="3" t="s">
        <v>435</v>
      </c>
      <c r="F1799" s="1">
        <v>45960</v>
      </c>
      <c r="G1799" t="str">
        <f t="shared" si="29"/>
        <v>Oct -2025</v>
      </c>
      <c r="H1799" s="12"/>
    </row>
    <row r="1800" spans="1:8" x14ac:dyDescent="0.3">
      <c r="A1800" s="2">
        <v>1101203</v>
      </c>
      <c r="B1800" s="3" t="s">
        <v>1459</v>
      </c>
      <c r="C1800" s="3" t="s">
        <v>1010</v>
      </c>
      <c r="D1800" s="3" t="s">
        <v>1020</v>
      </c>
      <c r="E1800" s="3" t="s">
        <v>435</v>
      </c>
      <c r="F1800" s="1">
        <v>45960</v>
      </c>
      <c r="G1800" t="str">
        <f t="shared" si="29"/>
        <v>Oct -2025</v>
      </c>
      <c r="H1800" s="12"/>
    </row>
    <row r="1801" spans="1:8" x14ac:dyDescent="0.3">
      <c r="A1801" s="2">
        <v>1104249</v>
      </c>
      <c r="B1801" s="3" t="s">
        <v>1460</v>
      </c>
      <c r="C1801" s="3" t="s">
        <v>1010</v>
      </c>
      <c r="D1801" s="3" t="s">
        <v>1020</v>
      </c>
      <c r="E1801" s="3" t="s">
        <v>435</v>
      </c>
      <c r="F1801" s="1">
        <v>45960</v>
      </c>
      <c r="G1801" t="str">
        <f t="shared" si="29"/>
        <v>Oct -2025</v>
      </c>
      <c r="H1801" s="12"/>
    </row>
    <row r="1802" spans="1:8" x14ac:dyDescent="0.3">
      <c r="A1802" s="2">
        <v>100004374</v>
      </c>
      <c r="B1802" s="3" t="s">
        <v>1447</v>
      </c>
      <c r="C1802" s="3" t="s">
        <v>1011</v>
      </c>
      <c r="D1802" s="3" t="s">
        <v>972</v>
      </c>
      <c r="E1802" s="3" t="s">
        <v>967</v>
      </c>
      <c r="F1802" s="1">
        <v>45960</v>
      </c>
      <c r="G1802" t="str">
        <f t="shared" si="29"/>
        <v>Oct -2025</v>
      </c>
      <c r="H1802" s="12"/>
    </row>
    <row r="1803" spans="1:8" x14ac:dyDescent="0.3">
      <c r="A1803" s="2">
        <v>100004377</v>
      </c>
      <c r="B1803" s="3" t="s">
        <v>1241</v>
      </c>
      <c r="C1803" s="3" t="s">
        <v>1011</v>
      </c>
      <c r="D1803" s="3" t="s">
        <v>972</v>
      </c>
      <c r="E1803" s="3" t="s">
        <v>1103</v>
      </c>
      <c r="F1803" s="1">
        <v>45960</v>
      </c>
      <c r="G1803" t="str">
        <f t="shared" si="29"/>
        <v>Oct -2025</v>
      </c>
      <c r="H1803" s="12"/>
    </row>
    <row r="1804" spans="1:8" x14ac:dyDescent="0.3">
      <c r="A1804" s="2">
        <v>100004347</v>
      </c>
      <c r="B1804" s="3" t="s">
        <v>1461</v>
      </c>
      <c r="C1804" s="3" t="s">
        <v>1011</v>
      </c>
      <c r="D1804" s="3" t="s">
        <v>972</v>
      </c>
      <c r="E1804" s="3" t="s">
        <v>967</v>
      </c>
      <c r="F1804" s="1">
        <v>45961</v>
      </c>
      <c r="G1804" t="str">
        <f t="shared" si="29"/>
        <v>Oct -2025</v>
      </c>
      <c r="H1804" s="12"/>
    </row>
    <row r="1805" spans="1:8" x14ac:dyDescent="0.3">
      <c r="A1805" s="2">
        <v>100004396</v>
      </c>
      <c r="B1805" s="3" t="s">
        <v>1462</v>
      </c>
      <c r="C1805" s="3" t="s">
        <v>1011</v>
      </c>
      <c r="D1805" s="3" t="s">
        <v>972</v>
      </c>
      <c r="E1805" s="3" t="s">
        <v>970</v>
      </c>
      <c r="F1805" s="1">
        <v>45961</v>
      </c>
      <c r="G1805" t="str">
        <f t="shared" si="29"/>
        <v>Oct -2025</v>
      </c>
      <c r="H1805" s="12"/>
    </row>
    <row r="1806" spans="1:8" x14ac:dyDescent="0.3">
      <c r="A1806" s="2">
        <v>100004410</v>
      </c>
      <c r="B1806" s="3" t="s">
        <v>1463</v>
      </c>
      <c r="C1806" s="3" t="s">
        <v>1011</v>
      </c>
      <c r="D1806" s="3" t="s">
        <v>972</v>
      </c>
      <c r="E1806" s="3" t="s">
        <v>967</v>
      </c>
      <c r="F1806" s="1">
        <v>45961</v>
      </c>
      <c r="G1806" t="str">
        <f t="shared" si="29"/>
        <v>Oct -2025</v>
      </c>
      <c r="H1806" s="12"/>
    </row>
    <row r="1807" spans="1:8" x14ac:dyDescent="0.3">
      <c r="A1807" s="2">
        <v>100004378</v>
      </c>
      <c r="B1807" s="3" t="s">
        <v>1464</v>
      </c>
      <c r="C1807" s="3" t="s">
        <v>1011</v>
      </c>
      <c r="D1807" s="3" t="s">
        <v>973</v>
      </c>
      <c r="E1807" s="3" t="s">
        <v>966</v>
      </c>
      <c r="F1807" s="1">
        <v>45961</v>
      </c>
      <c r="G1807" t="str">
        <f t="shared" si="29"/>
        <v>Oct -2025</v>
      </c>
      <c r="H1807" s="12"/>
    </row>
    <row r="1808" spans="1:8" x14ac:dyDescent="0.3">
      <c r="A1808" s="2">
        <v>1145356</v>
      </c>
      <c r="B1808" s="3" t="s">
        <v>1439</v>
      </c>
      <c r="C1808" s="3" t="s">
        <v>1010</v>
      </c>
      <c r="D1808" s="3" t="s">
        <v>209</v>
      </c>
      <c r="E1808" s="3" t="s">
        <v>210</v>
      </c>
      <c r="F1808" s="1">
        <v>45961</v>
      </c>
      <c r="G1808" t="str">
        <f t="shared" si="29"/>
        <v>Oct -2025</v>
      </c>
      <c r="H1808" s="12"/>
    </row>
    <row r="1809" spans="1:8" x14ac:dyDescent="0.3">
      <c r="A1809" s="2">
        <v>1145354</v>
      </c>
      <c r="B1809" s="3" t="s">
        <v>1439</v>
      </c>
      <c r="C1809" s="3" t="s">
        <v>1010</v>
      </c>
      <c r="D1809" s="3" t="s">
        <v>209</v>
      </c>
      <c r="E1809" s="3" t="s">
        <v>210</v>
      </c>
      <c r="F1809" s="1">
        <v>45961</v>
      </c>
      <c r="G1809" t="str">
        <f t="shared" si="29"/>
        <v>Oct -2025</v>
      </c>
      <c r="H1809" s="12"/>
    </row>
    <row r="1810" spans="1:8" x14ac:dyDescent="0.3">
      <c r="A1810" s="2">
        <v>1145361</v>
      </c>
      <c r="B1810" s="3" t="s">
        <v>1439</v>
      </c>
      <c r="C1810" s="3" t="s">
        <v>1010</v>
      </c>
      <c r="D1810" s="3" t="s">
        <v>209</v>
      </c>
      <c r="E1810" s="3" t="s">
        <v>210</v>
      </c>
      <c r="F1810" s="1">
        <v>45961</v>
      </c>
      <c r="G1810" t="str">
        <f t="shared" si="29"/>
        <v>Oct -2025</v>
      </c>
      <c r="H1810" s="12"/>
    </row>
    <row r="1811" spans="1:8" x14ac:dyDescent="0.3">
      <c r="A1811" s="2">
        <v>1145355</v>
      </c>
      <c r="B1811" s="3" t="s">
        <v>1439</v>
      </c>
      <c r="C1811" s="3" t="s">
        <v>1010</v>
      </c>
      <c r="D1811" s="3" t="s">
        <v>209</v>
      </c>
      <c r="E1811" s="3" t="s">
        <v>210</v>
      </c>
      <c r="F1811" s="1">
        <v>45961</v>
      </c>
      <c r="G1811" t="str">
        <f t="shared" si="29"/>
        <v>Oct -2025</v>
      </c>
      <c r="H1811" s="12"/>
    </row>
    <row r="1812" spans="1:8" x14ac:dyDescent="0.3">
      <c r="A1812" s="2">
        <v>1136531</v>
      </c>
      <c r="B1812" s="3" t="s">
        <v>1457</v>
      </c>
      <c r="C1812" s="3" t="s">
        <v>1010</v>
      </c>
      <c r="D1812" s="3" t="s">
        <v>1259</v>
      </c>
      <c r="E1812" s="3" t="s">
        <v>228</v>
      </c>
      <c r="F1812" s="1">
        <v>45961</v>
      </c>
      <c r="G1812" t="str">
        <f t="shared" si="29"/>
        <v>Oct -2025</v>
      </c>
      <c r="H1812" s="12"/>
    </row>
    <row r="1813" spans="1:8" x14ac:dyDescent="0.3">
      <c r="A1813" s="2">
        <v>900004976</v>
      </c>
      <c r="B1813" s="3" t="s">
        <v>1465</v>
      </c>
      <c r="C1813" s="3" t="s">
        <v>1010</v>
      </c>
      <c r="D1813" s="3" t="s">
        <v>143</v>
      </c>
      <c r="E1813" s="3" t="s">
        <v>322</v>
      </c>
      <c r="F1813" s="1">
        <v>45961</v>
      </c>
      <c r="G1813" t="str">
        <f t="shared" si="29"/>
        <v>Oct -2025</v>
      </c>
      <c r="H1813" s="12"/>
    </row>
    <row r="1814" spans="1:8" x14ac:dyDescent="0.3">
      <c r="A1814" s="2">
        <v>1145627</v>
      </c>
      <c r="B1814" s="3" t="s">
        <v>407</v>
      </c>
      <c r="C1814" s="3" t="s">
        <v>1010</v>
      </c>
      <c r="D1814" s="3" t="s">
        <v>1020</v>
      </c>
      <c r="E1814" s="3" t="s">
        <v>338</v>
      </c>
      <c r="F1814" s="1">
        <v>45961</v>
      </c>
      <c r="G1814" t="str">
        <f t="shared" si="29"/>
        <v>Oct -2025</v>
      </c>
      <c r="H1814" s="12"/>
    </row>
    <row r="1815" spans="1:8" x14ac:dyDescent="0.3">
      <c r="A1815" s="2">
        <v>1145757</v>
      </c>
      <c r="B1815" s="3" t="s">
        <v>1466</v>
      </c>
      <c r="C1815" s="3" t="s">
        <v>1010</v>
      </c>
      <c r="D1815" s="3" t="s">
        <v>1020</v>
      </c>
      <c r="E1815" s="3" t="s">
        <v>338</v>
      </c>
      <c r="F1815" s="1">
        <v>45961</v>
      </c>
      <c r="G1815" t="str">
        <f t="shared" si="29"/>
        <v>Oct -2025</v>
      </c>
      <c r="H1815" s="12"/>
    </row>
    <row r="1816" spans="1:8" x14ac:dyDescent="0.3">
      <c r="A1816" s="2">
        <v>1145550</v>
      </c>
      <c r="B1816" s="3" t="s">
        <v>1467</v>
      </c>
      <c r="C1816" s="3" t="s">
        <v>1010</v>
      </c>
      <c r="D1816" s="3" t="s">
        <v>364</v>
      </c>
      <c r="E1816" s="3" t="s">
        <v>15</v>
      </c>
      <c r="F1816" s="1">
        <v>45961</v>
      </c>
      <c r="G1816" t="str">
        <f t="shared" si="29"/>
        <v>Oct -2025</v>
      </c>
      <c r="H1816" s="12"/>
    </row>
    <row r="1817" spans="1:8" x14ac:dyDescent="0.3">
      <c r="A1817" s="2">
        <v>1145627</v>
      </c>
      <c r="B1817" s="3" t="s">
        <v>1468</v>
      </c>
      <c r="C1817" s="3" t="s">
        <v>1010</v>
      </c>
      <c r="D1817" s="3" t="s">
        <v>1020</v>
      </c>
      <c r="E1817" s="3" t="s">
        <v>338</v>
      </c>
      <c r="F1817" s="1">
        <v>45961</v>
      </c>
      <c r="G1817" t="str">
        <f t="shared" si="29"/>
        <v>Oct -2025</v>
      </c>
      <c r="H1817" s="12"/>
    </row>
    <row r="1818" spans="1:8" x14ac:dyDescent="0.3">
      <c r="A1818" s="2">
        <v>1145955</v>
      </c>
      <c r="B1818" s="3" t="s">
        <v>1389</v>
      </c>
      <c r="C1818" s="3" t="s">
        <v>1010</v>
      </c>
      <c r="D1818" s="3" t="s">
        <v>209</v>
      </c>
      <c r="E1818" s="3" t="s">
        <v>228</v>
      </c>
      <c r="F1818" s="1">
        <v>45961</v>
      </c>
      <c r="G1818" t="str">
        <f t="shared" si="29"/>
        <v>Oct -2025</v>
      </c>
      <c r="H1818" s="12"/>
    </row>
    <row r="1819" spans="1:8" x14ac:dyDescent="0.3">
      <c r="A1819" s="2">
        <v>1145830</v>
      </c>
      <c r="B1819" s="3" t="s">
        <v>47</v>
      </c>
      <c r="C1819" s="3" t="s">
        <v>1010</v>
      </c>
      <c r="D1819" s="3" t="s">
        <v>1020</v>
      </c>
      <c r="E1819" s="3" t="s">
        <v>211</v>
      </c>
      <c r="F1819" s="1">
        <v>45961</v>
      </c>
      <c r="G1819" t="str">
        <f t="shared" si="29"/>
        <v>Oct -2025</v>
      </c>
      <c r="H1819" s="12"/>
    </row>
    <row r="1820" spans="1:8" x14ac:dyDescent="0.3">
      <c r="A1820" s="2">
        <v>1146388</v>
      </c>
      <c r="B1820" s="3" t="s">
        <v>1469</v>
      </c>
      <c r="C1820" s="3" t="s">
        <v>1010</v>
      </c>
      <c r="D1820" s="3" t="s">
        <v>1259</v>
      </c>
      <c r="E1820" s="3" t="s">
        <v>228</v>
      </c>
      <c r="F1820" s="1">
        <v>45961</v>
      </c>
      <c r="G1820" t="str">
        <f t="shared" si="29"/>
        <v>Oct -2025</v>
      </c>
      <c r="H1820" s="12"/>
    </row>
    <row r="1821" spans="1:8" x14ac:dyDescent="0.3">
      <c r="A1821" s="2">
        <v>1145757</v>
      </c>
      <c r="B1821" s="3" t="s">
        <v>1466</v>
      </c>
      <c r="C1821" s="3" t="s">
        <v>1010</v>
      </c>
      <c r="D1821" s="3" t="s">
        <v>1020</v>
      </c>
      <c r="E1821" s="3" t="s">
        <v>338</v>
      </c>
      <c r="F1821" s="1">
        <v>45964</v>
      </c>
      <c r="G1821" t="str">
        <f t="shared" si="29"/>
        <v>Nov -2025</v>
      </c>
      <c r="H1821" s="12"/>
    </row>
    <row r="1822" spans="1:8" x14ac:dyDescent="0.3">
      <c r="A1822" s="2">
        <v>1155977</v>
      </c>
      <c r="B1822" s="3" t="s">
        <v>1456</v>
      </c>
      <c r="C1822" s="3" t="s">
        <v>1010</v>
      </c>
      <c r="D1822" s="3" t="s">
        <v>209</v>
      </c>
      <c r="E1822" s="3" t="s">
        <v>225</v>
      </c>
      <c r="F1822" s="1">
        <v>45964</v>
      </c>
      <c r="G1822" t="str">
        <f t="shared" si="29"/>
        <v>Nov -2025</v>
      </c>
      <c r="H1822" s="12"/>
    </row>
    <row r="1823" spans="1:8" x14ac:dyDescent="0.3">
      <c r="A1823" s="2">
        <v>1156141</v>
      </c>
      <c r="B1823" s="3" t="s">
        <v>1456</v>
      </c>
      <c r="C1823" s="3" t="s">
        <v>1010</v>
      </c>
      <c r="D1823" s="3" t="s">
        <v>209</v>
      </c>
      <c r="E1823" s="3" t="s">
        <v>225</v>
      </c>
      <c r="F1823" s="1">
        <v>45964</v>
      </c>
      <c r="G1823" t="str">
        <f t="shared" si="29"/>
        <v>Nov -2025</v>
      </c>
      <c r="H1823" s="12"/>
    </row>
    <row r="1824" spans="1:8" x14ac:dyDescent="0.3">
      <c r="A1824" s="2">
        <v>200002598</v>
      </c>
      <c r="B1824" s="3" t="s">
        <v>1470</v>
      </c>
      <c r="C1824" s="3" t="s">
        <v>1010</v>
      </c>
      <c r="D1824" s="3" t="s">
        <v>192</v>
      </c>
      <c r="E1824" s="3" t="s">
        <v>287</v>
      </c>
      <c r="F1824" s="1">
        <v>45964</v>
      </c>
      <c r="G1824" t="str">
        <f t="shared" si="29"/>
        <v>Nov -2025</v>
      </c>
      <c r="H1824" s="12"/>
    </row>
    <row r="1825" spans="1:8" x14ac:dyDescent="0.3">
      <c r="A1825" s="2">
        <v>1146106</v>
      </c>
      <c r="B1825" s="3" t="s">
        <v>1471</v>
      </c>
      <c r="C1825" s="3" t="s">
        <v>1010</v>
      </c>
      <c r="D1825" s="3" t="s">
        <v>1020</v>
      </c>
      <c r="E1825" s="3" t="s">
        <v>435</v>
      </c>
      <c r="F1825" s="1">
        <v>45964</v>
      </c>
      <c r="G1825" t="str">
        <f t="shared" si="29"/>
        <v>Nov -2025</v>
      </c>
      <c r="H1825" s="12"/>
    </row>
    <row r="1826" spans="1:8" x14ac:dyDescent="0.3">
      <c r="A1826" s="2">
        <v>1147007</v>
      </c>
      <c r="B1826" s="3" t="s">
        <v>1472</v>
      </c>
      <c r="C1826" s="3" t="s">
        <v>1010</v>
      </c>
      <c r="D1826" s="3" t="s">
        <v>1020</v>
      </c>
      <c r="E1826" s="3" t="s">
        <v>435</v>
      </c>
      <c r="F1826" s="1">
        <v>45964</v>
      </c>
      <c r="G1826" t="str">
        <f t="shared" si="29"/>
        <v>Nov -2025</v>
      </c>
      <c r="H1826" s="12"/>
    </row>
    <row r="1827" spans="1:8" x14ac:dyDescent="0.3">
      <c r="A1827" s="2">
        <v>1155966</v>
      </c>
      <c r="B1827" s="3" t="s">
        <v>1473</v>
      </c>
      <c r="C1827" s="3" t="s">
        <v>1010</v>
      </c>
      <c r="D1827" s="3" t="s">
        <v>1020</v>
      </c>
      <c r="E1827" s="3" t="s">
        <v>453</v>
      </c>
      <c r="F1827" s="1">
        <v>45964</v>
      </c>
      <c r="G1827" t="str">
        <f t="shared" si="29"/>
        <v>Nov -2025</v>
      </c>
      <c r="H1827" s="12"/>
    </row>
    <row r="1828" spans="1:8" x14ac:dyDescent="0.3">
      <c r="A1828" s="2">
        <v>100004396</v>
      </c>
      <c r="B1828" s="3" t="s">
        <v>1462</v>
      </c>
      <c r="C1828" s="3" t="s">
        <v>1011</v>
      </c>
      <c r="D1828" s="3" t="s">
        <v>972</v>
      </c>
      <c r="E1828" s="3" t="s">
        <v>970</v>
      </c>
      <c r="F1828" s="1">
        <v>45964</v>
      </c>
      <c r="G1828" t="str">
        <f t="shared" si="29"/>
        <v>Nov -2025</v>
      </c>
      <c r="H1828" s="12"/>
    </row>
    <row r="1829" spans="1:8" x14ac:dyDescent="0.3">
      <c r="A1829" s="2">
        <v>100004440</v>
      </c>
      <c r="B1829" s="3" t="s">
        <v>1474</v>
      </c>
      <c r="C1829" s="3" t="s">
        <v>1011</v>
      </c>
      <c r="D1829" s="3" t="s">
        <v>972</v>
      </c>
      <c r="E1829" s="3" t="s">
        <v>970</v>
      </c>
      <c r="F1829" s="1">
        <v>45964</v>
      </c>
      <c r="G1829" t="str">
        <f t="shared" si="29"/>
        <v>Nov -2025</v>
      </c>
      <c r="H1829" s="12"/>
    </row>
    <row r="1830" spans="1:8" x14ac:dyDescent="0.3">
      <c r="A1830" s="2">
        <v>100004414</v>
      </c>
      <c r="B1830" s="3" t="s">
        <v>1447</v>
      </c>
      <c r="C1830" s="3" t="s">
        <v>1011</v>
      </c>
      <c r="D1830" s="3" t="s">
        <v>972</v>
      </c>
      <c r="E1830" s="3" t="s">
        <v>967</v>
      </c>
      <c r="F1830" s="1">
        <v>45964</v>
      </c>
      <c r="G1830" t="str">
        <f t="shared" si="29"/>
        <v>Nov -2025</v>
      </c>
      <c r="H1830" s="12"/>
    </row>
    <row r="1831" spans="1:8" x14ac:dyDescent="0.3">
      <c r="A1831" s="2">
        <v>100004415</v>
      </c>
      <c r="B1831" s="3" t="s">
        <v>1475</v>
      </c>
      <c r="C1831" s="3" t="s">
        <v>1011</v>
      </c>
      <c r="D1831" s="3" t="s">
        <v>972</v>
      </c>
      <c r="E1831" s="3" t="s">
        <v>967</v>
      </c>
      <c r="F1831" s="1">
        <v>45964</v>
      </c>
      <c r="G1831" t="str">
        <f t="shared" si="29"/>
        <v>Nov -2025</v>
      </c>
      <c r="H1831" s="12"/>
    </row>
    <row r="1832" spans="1:8" x14ac:dyDescent="0.3">
      <c r="A1832" s="2">
        <v>100004422</v>
      </c>
      <c r="B1832" s="3" t="s">
        <v>1475</v>
      </c>
      <c r="C1832" s="3" t="s">
        <v>1011</v>
      </c>
      <c r="D1832" s="3" t="s">
        <v>972</v>
      </c>
      <c r="E1832" s="3" t="s">
        <v>967</v>
      </c>
      <c r="F1832" s="1">
        <v>45964</v>
      </c>
      <c r="G1832" t="str">
        <f t="shared" si="29"/>
        <v>Nov -2025</v>
      </c>
      <c r="H1832" s="12"/>
    </row>
    <row r="1833" spans="1:8" x14ac:dyDescent="0.3">
      <c r="A1833" s="2">
        <v>100004422</v>
      </c>
      <c r="B1833" s="3" t="s">
        <v>1478</v>
      </c>
      <c r="C1833" s="3" t="s">
        <v>1011</v>
      </c>
      <c r="D1833" s="3" t="s">
        <v>972</v>
      </c>
      <c r="E1833" s="3" t="s">
        <v>967</v>
      </c>
      <c r="F1833" s="1">
        <v>45965</v>
      </c>
      <c r="G1833" t="str">
        <f t="shared" si="29"/>
        <v>Nov -2025</v>
      </c>
      <c r="H1833" s="12"/>
    </row>
    <row r="1834" spans="1:8" x14ac:dyDescent="0.3">
      <c r="A1834" s="2">
        <v>100004442</v>
      </c>
      <c r="B1834" s="3" t="s">
        <v>1479</v>
      </c>
      <c r="C1834" s="3" t="s">
        <v>1011</v>
      </c>
      <c r="D1834" s="3" t="s">
        <v>972</v>
      </c>
      <c r="E1834" s="3" t="s">
        <v>970</v>
      </c>
      <c r="F1834" s="1">
        <v>45965</v>
      </c>
      <c r="G1834" t="str">
        <f t="shared" si="29"/>
        <v>Nov -2025</v>
      </c>
      <c r="H1834" s="12"/>
    </row>
    <row r="1835" spans="1:8" x14ac:dyDescent="0.3">
      <c r="A1835" s="2">
        <v>100004445</v>
      </c>
      <c r="B1835" s="3" t="s">
        <v>1480</v>
      </c>
      <c r="C1835" s="3" t="s">
        <v>1011</v>
      </c>
      <c r="D1835" s="3" t="s">
        <v>972</v>
      </c>
      <c r="E1835" s="3" t="s">
        <v>970</v>
      </c>
      <c r="F1835" s="1">
        <v>45965</v>
      </c>
      <c r="G1835" t="str">
        <f t="shared" si="29"/>
        <v>Nov -2025</v>
      </c>
      <c r="H1835" s="12"/>
    </row>
    <row r="1836" spans="1:8" x14ac:dyDescent="0.3">
      <c r="A1836" s="2">
        <v>1155987</v>
      </c>
      <c r="B1836" s="3" t="s">
        <v>1481</v>
      </c>
      <c r="C1836" s="3" t="s">
        <v>1010</v>
      </c>
      <c r="D1836" s="3" t="s">
        <v>1020</v>
      </c>
      <c r="E1836" s="3" t="s">
        <v>435</v>
      </c>
      <c r="F1836" s="1">
        <v>45965</v>
      </c>
      <c r="G1836" t="str">
        <f t="shared" si="29"/>
        <v>Nov -2025</v>
      </c>
      <c r="H1836" s="12"/>
    </row>
    <row r="1837" spans="1:8" x14ac:dyDescent="0.3">
      <c r="A1837" s="2">
        <v>1155995</v>
      </c>
      <c r="B1837" s="3" t="s">
        <v>1482</v>
      </c>
      <c r="C1837" s="3" t="s">
        <v>1010</v>
      </c>
      <c r="D1837" s="3" t="s">
        <v>1020</v>
      </c>
      <c r="E1837" s="3" t="s">
        <v>435</v>
      </c>
      <c r="F1837" s="1">
        <v>45965</v>
      </c>
      <c r="G1837" t="str">
        <f t="shared" si="29"/>
        <v>Nov -2025</v>
      </c>
      <c r="H1837" s="12"/>
    </row>
    <row r="1838" spans="1:8" x14ac:dyDescent="0.3">
      <c r="A1838" s="2">
        <v>1155978</v>
      </c>
      <c r="B1838" s="3" t="s">
        <v>1483</v>
      </c>
      <c r="C1838" s="3" t="s">
        <v>1010</v>
      </c>
      <c r="D1838" s="3" t="s">
        <v>1020</v>
      </c>
      <c r="E1838" s="3" t="s">
        <v>435</v>
      </c>
      <c r="F1838" s="1">
        <v>45965</v>
      </c>
      <c r="G1838" t="str">
        <f t="shared" si="29"/>
        <v>Nov -2025</v>
      </c>
      <c r="H1838" s="12"/>
    </row>
    <row r="1839" spans="1:8" x14ac:dyDescent="0.3">
      <c r="A1839" s="2">
        <v>1155980</v>
      </c>
      <c r="B1839" s="3" t="s">
        <v>1484</v>
      </c>
      <c r="C1839" s="3" t="s">
        <v>1010</v>
      </c>
      <c r="D1839" s="3" t="s">
        <v>1020</v>
      </c>
      <c r="E1839" s="3" t="s">
        <v>435</v>
      </c>
      <c r="F1839" s="1">
        <v>45965</v>
      </c>
      <c r="G1839" t="str">
        <f t="shared" si="29"/>
        <v>Nov -2025</v>
      </c>
      <c r="H1839" s="12"/>
    </row>
    <row r="1840" spans="1:8" x14ac:dyDescent="0.3">
      <c r="A1840" s="2">
        <v>1156181</v>
      </c>
      <c r="B1840" s="3" t="s">
        <v>1485</v>
      </c>
      <c r="C1840" s="3" t="s">
        <v>1010</v>
      </c>
      <c r="D1840" s="3" t="s">
        <v>1020</v>
      </c>
      <c r="E1840" s="3" t="s">
        <v>435</v>
      </c>
      <c r="F1840" s="1">
        <v>45965</v>
      </c>
      <c r="G1840" t="str">
        <f t="shared" si="29"/>
        <v>Nov -2025</v>
      </c>
      <c r="H1840" s="12"/>
    </row>
    <row r="1841" spans="1:8" x14ac:dyDescent="0.3">
      <c r="A1841" s="2">
        <v>1157341</v>
      </c>
      <c r="B1841" s="3" t="s">
        <v>356</v>
      </c>
      <c r="C1841" s="3" t="s">
        <v>1010</v>
      </c>
      <c r="D1841" s="3" t="s">
        <v>209</v>
      </c>
      <c r="E1841" s="3" t="s">
        <v>357</v>
      </c>
      <c r="F1841" s="1">
        <v>45965</v>
      </c>
      <c r="G1841" t="str">
        <f t="shared" si="29"/>
        <v>Nov -2025</v>
      </c>
      <c r="H1841" s="12"/>
    </row>
    <row r="1842" spans="1:8" x14ac:dyDescent="0.3">
      <c r="A1842" s="2">
        <v>1160037</v>
      </c>
      <c r="B1842" s="3" t="s">
        <v>1486</v>
      </c>
      <c r="C1842" s="3" t="s">
        <v>1010</v>
      </c>
      <c r="D1842" s="3" t="s">
        <v>209</v>
      </c>
      <c r="E1842" s="3" t="s">
        <v>225</v>
      </c>
      <c r="F1842" s="1">
        <v>45965</v>
      </c>
      <c r="G1842" t="str">
        <f t="shared" si="29"/>
        <v>Nov -2025</v>
      </c>
      <c r="H1842" s="12"/>
    </row>
    <row r="1843" spans="1:8" x14ac:dyDescent="0.3">
      <c r="A1843" s="2">
        <v>1160546</v>
      </c>
      <c r="B1843" s="3" t="s">
        <v>1487</v>
      </c>
      <c r="C1843" s="3" t="s">
        <v>1010</v>
      </c>
      <c r="D1843" s="3" t="s">
        <v>209</v>
      </c>
      <c r="E1843" s="3" t="s">
        <v>225</v>
      </c>
      <c r="F1843" s="1">
        <v>45965</v>
      </c>
      <c r="G1843" t="str">
        <f t="shared" si="29"/>
        <v>Nov -2025</v>
      </c>
      <c r="H1843" s="12"/>
    </row>
    <row r="1844" spans="1:8" x14ac:dyDescent="0.3">
      <c r="A1844" s="2">
        <v>1160625</v>
      </c>
      <c r="B1844" s="3" t="s">
        <v>1487</v>
      </c>
      <c r="C1844" s="3" t="s">
        <v>1010</v>
      </c>
      <c r="D1844" s="3" t="s">
        <v>209</v>
      </c>
      <c r="E1844" s="3" t="s">
        <v>225</v>
      </c>
      <c r="F1844" s="1">
        <v>45965</v>
      </c>
      <c r="G1844" t="str">
        <f t="shared" si="29"/>
        <v>Nov -2025</v>
      </c>
      <c r="H1844" s="12"/>
    </row>
    <row r="1845" spans="1:8" x14ac:dyDescent="0.3">
      <c r="A1845" s="2">
        <v>1160626</v>
      </c>
      <c r="B1845" s="3" t="s">
        <v>1487</v>
      </c>
      <c r="C1845" s="3" t="s">
        <v>1010</v>
      </c>
      <c r="D1845" s="3" t="s">
        <v>209</v>
      </c>
      <c r="E1845" s="3" t="s">
        <v>225</v>
      </c>
      <c r="F1845" s="1">
        <v>45965</v>
      </c>
      <c r="G1845" t="str">
        <f t="shared" si="29"/>
        <v>Nov -2025</v>
      </c>
      <c r="H1845" s="12"/>
    </row>
    <row r="1846" spans="1:8" x14ac:dyDescent="0.3">
      <c r="A1846" s="2">
        <v>1160624</v>
      </c>
      <c r="B1846" s="3" t="s">
        <v>1487</v>
      </c>
      <c r="C1846" s="3" t="s">
        <v>1010</v>
      </c>
      <c r="D1846" s="3" t="s">
        <v>209</v>
      </c>
      <c r="E1846" s="3" t="s">
        <v>225</v>
      </c>
      <c r="F1846" s="1">
        <v>45965</v>
      </c>
      <c r="G1846" t="str">
        <f t="shared" si="29"/>
        <v>Nov -2025</v>
      </c>
      <c r="H1846" s="12"/>
    </row>
    <row r="1847" spans="1:8" x14ac:dyDescent="0.3">
      <c r="A1847" s="2">
        <v>1160615</v>
      </c>
      <c r="B1847" s="3" t="s">
        <v>1487</v>
      </c>
      <c r="C1847" s="3" t="s">
        <v>1010</v>
      </c>
      <c r="D1847" s="3" t="s">
        <v>209</v>
      </c>
      <c r="E1847" s="3" t="s">
        <v>225</v>
      </c>
      <c r="F1847" s="1">
        <v>45965</v>
      </c>
      <c r="G1847" t="str">
        <f t="shared" si="29"/>
        <v>Nov -2025</v>
      </c>
      <c r="H1847" s="12"/>
    </row>
    <row r="1848" spans="1:8" x14ac:dyDescent="0.3">
      <c r="A1848" s="2">
        <v>1160547</v>
      </c>
      <c r="B1848" s="3" t="s">
        <v>1487</v>
      </c>
      <c r="C1848" s="3" t="s">
        <v>1010</v>
      </c>
      <c r="D1848" s="3" t="s">
        <v>209</v>
      </c>
      <c r="E1848" s="3" t="s">
        <v>225</v>
      </c>
      <c r="F1848" s="1">
        <v>45965</v>
      </c>
      <c r="G1848" t="str">
        <f t="shared" si="29"/>
        <v>Nov -2025</v>
      </c>
      <c r="H1848" s="12"/>
    </row>
    <row r="1849" spans="1:8" x14ac:dyDescent="0.3">
      <c r="A1849" s="2">
        <v>200001477</v>
      </c>
      <c r="B1849" s="3" t="s">
        <v>1222</v>
      </c>
      <c r="C1849" s="3" t="s">
        <v>1010</v>
      </c>
      <c r="D1849" s="3" t="s">
        <v>1229</v>
      </c>
      <c r="E1849" s="3" t="s">
        <v>7</v>
      </c>
      <c r="F1849" s="1">
        <v>45965</v>
      </c>
      <c r="G1849" t="str">
        <f t="shared" si="29"/>
        <v>Nov -2025</v>
      </c>
      <c r="H1849" s="12"/>
    </row>
    <row r="1850" spans="1:8" x14ac:dyDescent="0.3">
      <c r="A1850" s="2">
        <v>1163685</v>
      </c>
      <c r="B1850" s="3" t="s">
        <v>1488</v>
      </c>
      <c r="C1850" s="3" t="s">
        <v>1010</v>
      </c>
      <c r="D1850" s="3" t="s">
        <v>209</v>
      </c>
      <c r="E1850" s="3" t="s">
        <v>196</v>
      </c>
      <c r="F1850" s="1">
        <v>45966</v>
      </c>
      <c r="G1850" t="str">
        <f t="shared" si="29"/>
        <v>Nov -2025</v>
      </c>
      <c r="H1850" s="12"/>
    </row>
    <row r="1851" spans="1:8" x14ac:dyDescent="0.3">
      <c r="A1851" s="2">
        <v>1141997</v>
      </c>
      <c r="B1851" s="3" t="s">
        <v>1489</v>
      </c>
      <c r="C1851" s="3" t="s">
        <v>1010</v>
      </c>
      <c r="D1851" s="3" t="s">
        <v>1020</v>
      </c>
      <c r="E1851" s="3" t="s">
        <v>338</v>
      </c>
      <c r="F1851" s="1">
        <v>45966</v>
      </c>
      <c r="G1851" t="str">
        <f t="shared" si="29"/>
        <v>Nov -2025</v>
      </c>
      <c r="H1851" s="12"/>
    </row>
    <row r="1852" spans="1:8" x14ac:dyDescent="0.3">
      <c r="A1852" s="2">
        <v>1142133</v>
      </c>
      <c r="B1852" s="3" t="s">
        <v>1489</v>
      </c>
      <c r="C1852" s="3" t="s">
        <v>1010</v>
      </c>
      <c r="D1852" s="3" t="s">
        <v>1020</v>
      </c>
      <c r="E1852" s="3" t="s">
        <v>338</v>
      </c>
      <c r="F1852" s="1">
        <v>45966</v>
      </c>
      <c r="G1852" t="str">
        <f t="shared" si="29"/>
        <v>Nov -2025</v>
      </c>
      <c r="H1852" s="12"/>
    </row>
    <row r="1853" spans="1:8" x14ac:dyDescent="0.3">
      <c r="A1853" s="2">
        <v>1160558</v>
      </c>
      <c r="B1853" s="3" t="s">
        <v>1490</v>
      </c>
      <c r="C1853" s="3" t="s">
        <v>1010</v>
      </c>
      <c r="D1853" s="3" t="s">
        <v>1259</v>
      </c>
      <c r="E1853" s="3" t="s">
        <v>228</v>
      </c>
      <c r="F1853" s="1">
        <v>45966</v>
      </c>
      <c r="G1853" t="str">
        <f t="shared" si="29"/>
        <v>Nov -2025</v>
      </c>
      <c r="H1853" s="12"/>
    </row>
    <row r="1854" spans="1:8" x14ac:dyDescent="0.3">
      <c r="A1854" s="2">
        <v>1164232</v>
      </c>
      <c r="B1854" s="3" t="s">
        <v>1354</v>
      </c>
      <c r="C1854" s="3" t="s">
        <v>1010</v>
      </c>
      <c r="D1854" s="3" t="s">
        <v>209</v>
      </c>
      <c r="E1854" s="3" t="s">
        <v>225</v>
      </c>
      <c r="F1854" s="1">
        <v>45966</v>
      </c>
      <c r="G1854" t="str">
        <f t="shared" si="29"/>
        <v>Nov -2025</v>
      </c>
      <c r="H1854" s="12"/>
    </row>
    <row r="1855" spans="1:8" x14ac:dyDescent="0.3">
      <c r="A1855" s="2">
        <v>100004445</v>
      </c>
      <c r="B1855" s="3" t="s">
        <v>1480</v>
      </c>
      <c r="C1855" s="3" t="s">
        <v>1011</v>
      </c>
      <c r="D1855" s="3" t="s">
        <v>972</v>
      </c>
      <c r="E1855" s="3" t="s">
        <v>970</v>
      </c>
      <c r="F1855" s="1">
        <v>45966</v>
      </c>
      <c r="G1855" t="str">
        <f t="shared" si="29"/>
        <v>Nov -2025</v>
      </c>
      <c r="H1855" s="12"/>
    </row>
    <row r="1856" spans="1:8" x14ac:dyDescent="0.3">
      <c r="A1856" s="2">
        <v>100004409</v>
      </c>
      <c r="B1856" s="3" t="s">
        <v>1491</v>
      </c>
      <c r="C1856" s="3" t="s">
        <v>1011</v>
      </c>
      <c r="D1856" s="3" t="s">
        <v>972</v>
      </c>
      <c r="E1856" s="3" t="s">
        <v>967</v>
      </c>
      <c r="F1856" s="1">
        <v>45966</v>
      </c>
      <c r="G1856" t="str">
        <f t="shared" si="29"/>
        <v>Nov -2025</v>
      </c>
      <c r="H1856" s="12"/>
    </row>
    <row r="1857" spans="1:8" x14ac:dyDescent="0.3">
      <c r="A1857" s="2">
        <v>100004435</v>
      </c>
      <c r="B1857" s="3" t="s">
        <v>1492</v>
      </c>
      <c r="C1857" s="3" t="s">
        <v>1011</v>
      </c>
      <c r="D1857" s="3" t="s">
        <v>972</v>
      </c>
      <c r="E1857" s="3" t="s">
        <v>982</v>
      </c>
      <c r="F1857" s="1">
        <v>45966</v>
      </c>
      <c r="G1857" t="str">
        <f t="shared" si="29"/>
        <v>Nov -2025</v>
      </c>
      <c r="H1857" s="12"/>
    </row>
    <row r="1858" spans="1:8" x14ac:dyDescent="0.3">
      <c r="A1858" s="2">
        <v>100004427</v>
      </c>
      <c r="B1858" s="3" t="s">
        <v>1243</v>
      </c>
      <c r="C1858" s="3" t="s">
        <v>1011</v>
      </c>
      <c r="D1858" s="3" t="s">
        <v>972</v>
      </c>
      <c r="E1858" s="3" t="s">
        <v>1103</v>
      </c>
      <c r="F1858" s="1">
        <v>45967</v>
      </c>
      <c r="G1858" t="str">
        <f t="shared" ref="G1858:G1907" si="30">TEXT(F1858,"mmm -YYYY")</f>
        <v>Nov -2025</v>
      </c>
      <c r="H1858" s="12"/>
    </row>
    <row r="1859" spans="1:8" x14ac:dyDescent="0.3">
      <c r="A1859" s="2">
        <v>100004461</v>
      </c>
      <c r="B1859" s="3" t="s">
        <v>1493</v>
      </c>
      <c r="C1859" s="3" t="s">
        <v>1011</v>
      </c>
      <c r="D1859" s="3" t="s">
        <v>972</v>
      </c>
      <c r="E1859" s="3" t="s">
        <v>969</v>
      </c>
      <c r="F1859" s="1">
        <v>45967</v>
      </c>
      <c r="G1859" t="str">
        <f t="shared" si="30"/>
        <v>Nov -2025</v>
      </c>
      <c r="H1859" s="12"/>
    </row>
    <row r="1860" spans="1:8" x14ac:dyDescent="0.3">
      <c r="A1860" s="2">
        <v>100004481</v>
      </c>
      <c r="B1860" s="3" t="s">
        <v>1494</v>
      </c>
      <c r="C1860" s="3" t="s">
        <v>1011</v>
      </c>
      <c r="D1860" s="3" t="s">
        <v>973</v>
      </c>
      <c r="E1860" s="3" t="s">
        <v>966</v>
      </c>
      <c r="F1860" s="1">
        <v>45967</v>
      </c>
      <c r="G1860" t="str">
        <f t="shared" si="30"/>
        <v>Nov -2025</v>
      </c>
      <c r="H1860" s="12"/>
    </row>
    <row r="1861" spans="1:8" x14ac:dyDescent="0.3">
      <c r="A1861" s="2">
        <v>100004131</v>
      </c>
      <c r="B1861" s="3" t="s">
        <v>1495</v>
      </c>
      <c r="C1861" s="3" t="s">
        <v>1011</v>
      </c>
      <c r="D1861" s="3" t="s">
        <v>972</v>
      </c>
      <c r="E1861" s="3" t="s">
        <v>979</v>
      </c>
      <c r="F1861" s="1">
        <v>45967</v>
      </c>
      <c r="G1861" t="str">
        <f t="shared" si="30"/>
        <v>Nov -2025</v>
      </c>
      <c r="H1861" s="12"/>
    </row>
    <row r="1862" spans="1:8" x14ac:dyDescent="0.3">
      <c r="A1862" s="2">
        <v>1145830</v>
      </c>
      <c r="B1862" s="3" t="s">
        <v>47</v>
      </c>
      <c r="C1862" s="3" t="s">
        <v>1010</v>
      </c>
      <c r="D1862" s="3" t="s">
        <v>1020</v>
      </c>
      <c r="E1862" s="3" t="s">
        <v>211</v>
      </c>
      <c r="F1862" s="1">
        <v>45967</v>
      </c>
      <c r="G1862" t="str">
        <f t="shared" si="30"/>
        <v>Nov -2025</v>
      </c>
      <c r="H1862" s="12"/>
    </row>
    <row r="1863" spans="1:8" x14ac:dyDescent="0.3">
      <c r="A1863" s="2">
        <v>1140426</v>
      </c>
      <c r="B1863" s="3" t="s">
        <v>509</v>
      </c>
      <c r="C1863" s="3" t="s">
        <v>1010</v>
      </c>
      <c r="D1863" s="3" t="s">
        <v>1020</v>
      </c>
      <c r="E1863" s="3" t="s">
        <v>268</v>
      </c>
      <c r="F1863" s="1">
        <v>45967</v>
      </c>
      <c r="G1863" t="str">
        <f t="shared" si="30"/>
        <v>Nov -2025</v>
      </c>
      <c r="H1863" s="12"/>
    </row>
    <row r="1864" spans="1:8" x14ac:dyDescent="0.3">
      <c r="A1864" s="2">
        <v>1168714</v>
      </c>
      <c r="B1864" s="3" t="s">
        <v>1496</v>
      </c>
      <c r="C1864" s="3" t="s">
        <v>1010</v>
      </c>
      <c r="D1864" s="3" t="s">
        <v>1020</v>
      </c>
      <c r="E1864" s="3" t="s">
        <v>338</v>
      </c>
      <c r="F1864" s="1">
        <v>45967</v>
      </c>
      <c r="G1864" t="str">
        <f t="shared" si="30"/>
        <v>Nov -2025</v>
      </c>
      <c r="H1864" s="12"/>
    </row>
    <row r="1865" spans="1:8" x14ac:dyDescent="0.3">
      <c r="A1865" s="2">
        <v>1159126</v>
      </c>
      <c r="B1865" s="3" t="s">
        <v>1497</v>
      </c>
      <c r="C1865" s="3" t="s">
        <v>1010</v>
      </c>
      <c r="D1865" s="3" t="s">
        <v>209</v>
      </c>
      <c r="E1865" s="3" t="s">
        <v>210</v>
      </c>
      <c r="F1865" s="1">
        <v>45967</v>
      </c>
      <c r="G1865" t="str">
        <f t="shared" si="30"/>
        <v>Nov -2025</v>
      </c>
      <c r="H1865" s="12"/>
    </row>
    <row r="1866" spans="1:8" x14ac:dyDescent="0.3">
      <c r="A1866" s="2">
        <v>1159155</v>
      </c>
      <c r="B1866" s="3" t="s">
        <v>1497</v>
      </c>
      <c r="C1866" s="3" t="s">
        <v>1010</v>
      </c>
      <c r="D1866" s="3" t="s">
        <v>209</v>
      </c>
      <c r="E1866" s="3" t="s">
        <v>210</v>
      </c>
      <c r="F1866" s="1">
        <v>45967</v>
      </c>
      <c r="G1866" t="str">
        <f t="shared" si="30"/>
        <v>Nov -2025</v>
      </c>
      <c r="H1866" s="12"/>
    </row>
    <row r="1867" spans="1:8" x14ac:dyDescent="0.3">
      <c r="A1867" s="2">
        <v>1159156</v>
      </c>
      <c r="B1867" s="3" t="s">
        <v>1497</v>
      </c>
      <c r="C1867" s="3" t="s">
        <v>1010</v>
      </c>
      <c r="D1867" s="3" t="s">
        <v>209</v>
      </c>
      <c r="E1867" s="3" t="s">
        <v>210</v>
      </c>
      <c r="F1867" s="1">
        <v>45967</v>
      </c>
      <c r="G1867" t="str">
        <f t="shared" si="30"/>
        <v>Nov -2025</v>
      </c>
      <c r="H1867" s="12"/>
    </row>
    <row r="1868" spans="1:8" x14ac:dyDescent="0.3">
      <c r="A1868" s="2">
        <v>1159648</v>
      </c>
      <c r="B1868" s="3" t="s">
        <v>1497</v>
      </c>
      <c r="C1868" s="3" t="s">
        <v>1010</v>
      </c>
      <c r="D1868" s="3" t="s">
        <v>209</v>
      </c>
      <c r="E1868" s="3" t="s">
        <v>210</v>
      </c>
      <c r="F1868" s="1">
        <v>45967</v>
      </c>
      <c r="G1868" t="str">
        <f t="shared" si="30"/>
        <v>Nov -2025</v>
      </c>
      <c r="H1868" s="12"/>
    </row>
    <row r="1869" spans="1:8" x14ac:dyDescent="0.3">
      <c r="A1869" s="2">
        <v>1159687</v>
      </c>
      <c r="B1869" s="3" t="s">
        <v>1497</v>
      </c>
      <c r="C1869" s="3" t="s">
        <v>1010</v>
      </c>
      <c r="D1869" s="3" t="s">
        <v>209</v>
      </c>
      <c r="E1869" s="3" t="s">
        <v>210</v>
      </c>
      <c r="F1869" s="1">
        <v>45967</v>
      </c>
      <c r="G1869" t="str">
        <f t="shared" si="30"/>
        <v>Nov -2025</v>
      </c>
      <c r="H1869" s="12"/>
    </row>
    <row r="1870" spans="1:8" x14ac:dyDescent="0.3">
      <c r="A1870" s="2">
        <v>1159734</v>
      </c>
      <c r="B1870" s="3" t="s">
        <v>1497</v>
      </c>
      <c r="C1870" s="3" t="s">
        <v>1010</v>
      </c>
      <c r="D1870" s="3" t="s">
        <v>209</v>
      </c>
      <c r="E1870" s="3" t="s">
        <v>210</v>
      </c>
      <c r="F1870" s="1">
        <v>45967</v>
      </c>
      <c r="G1870" t="str">
        <f t="shared" si="30"/>
        <v>Nov -2025</v>
      </c>
      <c r="H1870" s="12"/>
    </row>
    <row r="1871" spans="1:8" x14ac:dyDescent="0.3">
      <c r="A1871" s="2">
        <v>1159793</v>
      </c>
      <c r="B1871" s="3" t="s">
        <v>1497</v>
      </c>
      <c r="C1871" s="3" t="s">
        <v>1010</v>
      </c>
      <c r="D1871" s="3" t="s">
        <v>209</v>
      </c>
      <c r="E1871" s="3" t="s">
        <v>210</v>
      </c>
      <c r="F1871" s="1">
        <v>45967</v>
      </c>
      <c r="G1871" t="str">
        <f t="shared" si="30"/>
        <v>Nov -2025</v>
      </c>
      <c r="H1871" s="12"/>
    </row>
    <row r="1872" spans="1:8" x14ac:dyDescent="0.3">
      <c r="A1872" s="2">
        <v>1159831</v>
      </c>
      <c r="B1872" s="3" t="s">
        <v>1497</v>
      </c>
      <c r="C1872" s="3" t="s">
        <v>1010</v>
      </c>
      <c r="D1872" s="3" t="s">
        <v>209</v>
      </c>
      <c r="E1872" s="3" t="s">
        <v>210</v>
      </c>
      <c r="F1872" s="1">
        <v>45967</v>
      </c>
      <c r="G1872" t="str">
        <f t="shared" si="30"/>
        <v>Nov -2025</v>
      </c>
      <c r="H1872" s="12"/>
    </row>
    <row r="1873" spans="1:8" x14ac:dyDescent="0.3">
      <c r="A1873" s="2">
        <v>1159116</v>
      </c>
      <c r="B1873" s="3" t="s">
        <v>1497</v>
      </c>
      <c r="C1873" s="3" t="s">
        <v>1010</v>
      </c>
      <c r="D1873" s="3" t="s">
        <v>209</v>
      </c>
      <c r="E1873" s="3" t="s">
        <v>210</v>
      </c>
      <c r="F1873" s="1">
        <v>45967</v>
      </c>
      <c r="G1873" t="str">
        <f t="shared" si="30"/>
        <v>Nov -2025</v>
      </c>
      <c r="H1873" s="12"/>
    </row>
    <row r="1874" spans="1:8" x14ac:dyDescent="0.3">
      <c r="A1874" s="2">
        <v>1159064</v>
      </c>
      <c r="B1874" s="3" t="s">
        <v>1497</v>
      </c>
      <c r="C1874" s="3" t="s">
        <v>1010</v>
      </c>
      <c r="D1874" s="3" t="s">
        <v>209</v>
      </c>
      <c r="E1874" s="3" t="s">
        <v>210</v>
      </c>
      <c r="F1874" s="1">
        <v>45967</v>
      </c>
      <c r="G1874" t="str">
        <f t="shared" si="30"/>
        <v>Nov -2025</v>
      </c>
      <c r="H1874" s="12"/>
    </row>
    <row r="1875" spans="1:8" x14ac:dyDescent="0.3">
      <c r="A1875" s="2">
        <v>1159113</v>
      </c>
      <c r="B1875" s="3" t="s">
        <v>1497</v>
      </c>
      <c r="C1875" s="3" t="s">
        <v>1010</v>
      </c>
      <c r="D1875" s="3" t="s">
        <v>209</v>
      </c>
      <c r="E1875" s="3" t="s">
        <v>210</v>
      </c>
      <c r="F1875" s="1">
        <v>45967</v>
      </c>
      <c r="G1875" t="str">
        <f t="shared" si="30"/>
        <v>Nov -2025</v>
      </c>
      <c r="H1875" s="12"/>
    </row>
    <row r="1876" spans="1:8" x14ac:dyDescent="0.3">
      <c r="A1876" s="2">
        <v>1164237</v>
      </c>
      <c r="B1876" s="3" t="s">
        <v>1498</v>
      </c>
      <c r="C1876" s="3" t="s">
        <v>1010</v>
      </c>
      <c r="D1876" s="3" t="s">
        <v>209</v>
      </c>
      <c r="E1876" s="3" t="s">
        <v>196</v>
      </c>
      <c r="F1876" s="1">
        <v>45967</v>
      </c>
      <c r="G1876" t="str">
        <f t="shared" si="30"/>
        <v>Nov -2025</v>
      </c>
      <c r="H1876" s="12"/>
    </row>
    <row r="1877" spans="1:8" x14ac:dyDescent="0.3">
      <c r="A1877" s="2">
        <v>1168624</v>
      </c>
      <c r="B1877" s="3" t="s">
        <v>1499</v>
      </c>
      <c r="C1877" s="3" t="s">
        <v>1010</v>
      </c>
      <c r="D1877" s="3" t="s">
        <v>364</v>
      </c>
      <c r="E1877" s="3" t="s">
        <v>15</v>
      </c>
      <c r="F1877" s="1">
        <v>45967</v>
      </c>
      <c r="G1877" t="str">
        <f t="shared" si="30"/>
        <v>Nov -2025</v>
      </c>
      <c r="H1877" s="12"/>
    </row>
    <row r="1878" spans="1:8" x14ac:dyDescent="0.3">
      <c r="A1878" s="2">
        <v>1168671</v>
      </c>
      <c r="B1878" s="3" t="s">
        <v>1500</v>
      </c>
      <c r="C1878" s="3" t="s">
        <v>1010</v>
      </c>
      <c r="D1878" s="3" t="s">
        <v>364</v>
      </c>
      <c r="E1878" s="3" t="s">
        <v>15</v>
      </c>
      <c r="F1878" s="1">
        <v>45967</v>
      </c>
      <c r="G1878" t="str">
        <f t="shared" si="30"/>
        <v>Nov -2025</v>
      </c>
      <c r="H1878" s="12"/>
    </row>
    <row r="1879" spans="1:8" x14ac:dyDescent="0.3">
      <c r="A1879" s="2">
        <v>1169080</v>
      </c>
      <c r="B1879" s="3" t="s">
        <v>1501</v>
      </c>
      <c r="C1879" s="3" t="s">
        <v>1010</v>
      </c>
      <c r="D1879" s="3" t="s">
        <v>209</v>
      </c>
      <c r="E1879" s="3" t="s">
        <v>210</v>
      </c>
      <c r="F1879" s="1">
        <v>45967</v>
      </c>
      <c r="G1879" t="str">
        <f t="shared" si="30"/>
        <v>Nov -2025</v>
      </c>
      <c r="H1879" s="12"/>
    </row>
    <row r="1880" spans="1:8" x14ac:dyDescent="0.3">
      <c r="A1880" s="2">
        <v>1168891</v>
      </c>
      <c r="B1880" s="3" t="s">
        <v>1502</v>
      </c>
      <c r="C1880" s="3" t="s">
        <v>1010</v>
      </c>
      <c r="D1880" s="3" t="s">
        <v>1259</v>
      </c>
      <c r="E1880" s="3" t="s">
        <v>228</v>
      </c>
      <c r="F1880" s="1">
        <v>45967</v>
      </c>
      <c r="G1880" t="str">
        <f t="shared" si="30"/>
        <v>Nov -2025</v>
      </c>
      <c r="H1880" s="12"/>
    </row>
    <row r="1881" spans="1:8" x14ac:dyDescent="0.3">
      <c r="A1881" s="2">
        <v>1169362</v>
      </c>
      <c r="B1881" s="3" t="s">
        <v>1503</v>
      </c>
      <c r="C1881" s="3" t="s">
        <v>1010</v>
      </c>
      <c r="D1881" s="3" t="s">
        <v>1259</v>
      </c>
      <c r="E1881" s="3" t="s">
        <v>228</v>
      </c>
      <c r="F1881" s="1">
        <v>45968</v>
      </c>
      <c r="G1881" t="str">
        <f t="shared" si="30"/>
        <v>Nov -2025</v>
      </c>
      <c r="H1881" s="12"/>
    </row>
    <row r="1882" spans="1:8" x14ac:dyDescent="0.3">
      <c r="A1882" s="2">
        <v>1168714</v>
      </c>
      <c r="B1882" s="3" t="s">
        <v>1496</v>
      </c>
      <c r="C1882" s="3" t="s">
        <v>1010</v>
      </c>
      <c r="D1882" s="3" t="s">
        <v>1020</v>
      </c>
      <c r="E1882" s="3" t="s">
        <v>338</v>
      </c>
      <c r="F1882" s="1">
        <v>45968</v>
      </c>
      <c r="G1882" t="str">
        <f t="shared" si="30"/>
        <v>Nov -2025</v>
      </c>
      <c r="H1882" s="12"/>
    </row>
    <row r="1883" spans="1:8" x14ac:dyDescent="0.3">
      <c r="A1883" s="2">
        <v>1168719</v>
      </c>
      <c r="B1883" s="3" t="s">
        <v>41</v>
      </c>
      <c r="C1883" s="3" t="s">
        <v>1010</v>
      </c>
      <c r="D1883" s="3" t="s">
        <v>1020</v>
      </c>
      <c r="E1883" s="3" t="s">
        <v>211</v>
      </c>
      <c r="F1883" s="1">
        <v>45968</v>
      </c>
      <c r="G1883" t="str">
        <f t="shared" si="30"/>
        <v>Nov -2025</v>
      </c>
      <c r="H1883" s="12"/>
    </row>
    <row r="1884" spans="1:8" x14ac:dyDescent="0.3">
      <c r="A1884" s="2">
        <v>1168720</v>
      </c>
      <c r="B1884" s="3" t="s">
        <v>41</v>
      </c>
      <c r="C1884" s="3" t="s">
        <v>1010</v>
      </c>
      <c r="D1884" s="3" t="s">
        <v>1020</v>
      </c>
      <c r="E1884" s="3" t="s">
        <v>211</v>
      </c>
      <c r="F1884" s="1">
        <v>45968</v>
      </c>
      <c r="G1884" t="str">
        <f t="shared" si="30"/>
        <v>Nov -2025</v>
      </c>
      <c r="H1884" s="12"/>
    </row>
    <row r="1885" spans="1:8" x14ac:dyDescent="0.3">
      <c r="A1885" s="2">
        <v>200002676</v>
      </c>
      <c r="B1885" s="3" t="s">
        <v>1504</v>
      </c>
      <c r="C1885" s="3" t="s">
        <v>1010</v>
      </c>
      <c r="D1885" s="3" t="s">
        <v>192</v>
      </c>
      <c r="E1885" s="3" t="s">
        <v>342</v>
      </c>
      <c r="F1885" s="1">
        <v>45968</v>
      </c>
      <c r="G1885" t="str">
        <f t="shared" si="30"/>
        <v>Nov -2025</v>
      </c>
      <c r="H1885" s="12"/>
    </row>
    <row r="1886" spans="1:8" x14ac:dyDescent="0.3">
      <c r="A1886" s="2">
        <v>200002775</v>
      </c>
      <c r="B1886" s="3" t="s">
        <v>1505</v>
      </c>
      <c r="C1886" s="3" t="s">
        <v>1010</v>
      </c>
      <c r="D1886" s="3" t="s">
        <v>192</v>
      </c>
      <c r="E1886" s="3" t="s">
        <v>193</v>
      </c>
      <c r="F1886" s="1">
        <v>45968</v>
      </c>
      <c r="G1886" t="str">
        <f t="shared" si="30"/>
        <v>Nov -2025</v>
      </c>
      <c r="H1886" s="12"/>
    </row>
    <row r="1887" spans="1:8" x14ac:dyDescent="0.3">
      <c r="A1887" s="2">
        <v>1173634</v>
      </c>
      <c r="B1887" s="3" t="s">
        <v>1506</v>
      </c>
      <c r="C1887" s="3" t="s">
        <v>1010</v>
      </c>
      <c r="D1887" s="3" t="s">
        <v>364</v>
      </c>
      <c r="E1887" s="3" t="s">
        <v>15</v>
      </c>
      <c r="F1887" s="1">
        <v>45968</v>
      </c>
      <c r="G1887" t="str">
        <f t="shared" si="30"/>
        <v>Nov -2025</v>
      </c>
      <c r="H1887" s="12"/>
    </row>
    <row r="1888" spans="1:8" x14ac:dyDescent="0.3">
      <c r="A1888" s="2">
        <v>100004466</v>
      </c>
      <c r="B1888" s="3" t="s">
        <v>1507</v>
      </c>
      <c r="C1888" s="3" t="s">
        <v>1011</v>
      </c>
      <c r="D1888" s="3" t="s">
        <v>972</v>
      </c>
      <c r="E1888" s="3" t="s">
        <v>988</v>
      </c>
      <c r="F1888" s="1">
        <v>45968</v>
      </c>
      <c r="G1888" t="str">
        <f t="shared" si="30"/>
        <v>Nov -2025</v>
      </c>
      <c r="H1888" s="12"/>
    </row>
    <row r="1889" spans="1:8" x14ac:dyDescent="0.3">
      <c r="A1889" s="2">
        <v>100004467</v>
      </c>
      <c r="B1889" s="3" t="s">
        <v>1508</v>
      </c>
      <c r="C1889" s="3" t="s">
        <v>1011</v>
      </c>
      <c r="D1889" s="3" t="s">
        <v>972</v>
      </c>
      <c r="E1889" s="3" t="s">
        <v>970</v>
      </c>
      <c r="F1889" s="1">
        <v>45968</v>
      </c>
      <c r="G1889" t="str">
        <f t="shared" si="30"/>
        <v>Nov -2025</v>
      </c>
      <c r="H1889" s="12"/>
    </row>
    <row r="1890" spans="1:8" x14ac:dyDescent="0.3">
      <c r="A1890" s="2">
        <v>100004468</v>
      </c>
      <c r="B1890" s="3" t="s">
        <v>1509</v>
      </c>
      <c r="C1890" s="3" t="s">
        <v>1011</v>
      </c>
      <c r="D1890" s="3" t="s">
        <v>972</v>
      </c>
      <c r="E1890" s="3" t="s">
        <v>970</v>
      </c>
      <c r="F1890" s="1">
        <v>45968</v>
      </c>
      <c r="G1890" t="str">
        <f t="shared" si="30"/>
        <v>Nov -2025</v>
      </c>
      <c r="H1890" s="12"/>
    </row>
    <row r="1891" spans="1:8" x14ac:dyDescent="0.3">
      <c r="A1891" s="2">
        <v>100004469</v>
      </c>
      <c r="B1891" s="3" t="s">
        <v>1510</v>
      </c>
      <c r="C1891" s="3" t="s">
        <v>1011</v>
      </c>
      <c r="D1891" s="3" t="s">
        <v>973</v>
      </c>
      <c r="E1891" s="3" t="s">
        <v>970</v>
      </c>
      <c r="F1891" s="1">
        <v>45968</v>
      </c>
      <c r="G1891" t="str">
        <f t="shared" si="30"/>
        <v>Nov -2025</v>
      </c>
      <c r="H1891" s="12"/>
    </row>
    <row r="1892" spans="1:8" x14ac:dyDescent="0.3">
      <c r="A1892" s="2">
        <v>200002775</v>
      </c>
      <c r="B1892" s="3" t="s">
        <v>1505</v>
      </c>
      <c r="C1892" s="3" t="s">
        <v>1010</v>
      </c>
      <c r="D1892" s="3" t="s">
        <v>192</v>
      </c>
      <c r="E1892" s="3" t="s">
        <v>193</v>
      </c>
      <c r="F1892" s="1">
        <v>45971</v>
      </c>
      <c r="G1892" t="str">
        <f t="shared" si="30"/>
        <v>Nov -2025</v>
      </c>
      <c r="H1892" s="12"/>
    </row>
    <row r="1893" spans="1:8" x14ac:dyDescent="0.3">
      <c r="A1893" s="2">
        <v>1173990</v>
      </c>
      <c r="B1893" s="3" t="s">
        <v>1511</v>
      </c>
      <c r="C1893" s="3" t="s">
        <v>1010</v>
      </c>
      <c r="D1893" s="3" t="s">
        <v>364</v>
      </c>
      <c r="E1893" s="3" t="s">
        <v>15</v>
      </c>
      <c r="F1893" s="1">
        <v>45971</v>
      </c>
      <c r="G1893" t="str">
        <f t="shared" si="30"/>
        <v>Nov -2025</v>
      </c>
      <c r="H1893" s="12"/>
    </row>
    <row r="1894" spans="1:8" x14ac:dyDescent="0.3">
      <c r="A1894" s="2">
        <v>1183807</v>
      </c>
      <c r="B1894" s="3" t="s">
        <v>1512</v>
      </c>
      <c r="C1894" s="3" t="s">
        <v>1010</v>
      </c>
      <c r="D1894" s="3" t="s">
        <v>1259</v>
      </c>
      <c r="E1894" s="3" t="s">
        <v>228</v>
      </c>
      <c r="F1894" s="1">
        <v>45971</v>
      </c>
      <c r="G1894" t="str">
        <f t="shared" si="30"/>
        <v>Nov -2025</v>
      </c>
      <c r="H1894" s="12"/>
    </row>
    <row r="1895" spans="1:8" x14ac:dyDescent="0.3">
      <c r="A1895" s="2">
        <v>1183922</v>
      </c>
      <c r="B1895" s="3" t="s">
        <v>1513</v>
      </c>
      <c r="C1895" s="3" t="s">
        <v>1010</v>
      </c>
      <c r="D1895" s="3" t="s">
        <v>1259</v>
      </c>
      <c r="E1895" s="3" t="s">
        <v>228</v>
      </c>
      <c r="F1895" s="1">
        <v>45971</v>
      </c>
      <c r="G1895" t="str">
        <f t="shared" si="30"/>
        <v>Nov -2025</v>
      </c>
      <c r="H1895" s="12"/>
    </row>
    <row r="1896" spans="1:8" x14ac:dyDescent="0.3">
      <c r="A1896" s="2">
        <v>1156992</v>
      </c>
      <c r="B1896" s="3" t="s">
        <v>1514</v>
      </c>
      <c r="C1896" s="3" t="s">
        <v>1010</v>
      </c>
      <c r="D1896" s="3" t="s">
        <v>1020</v>
      </c>
      <c r="E1896" s="3" t="s">
        <v>1301</v>
      </c>
      <c r="F1896" s="1">
        <v>45971</v>
      </c>
      <c r="G1896" t="str">
        <f t="shared" si="30"/>
        <v>Nov -2025</v>
      </c>
      <c r="H1896" s="12"/>
    </row>
    <row r="1897" spans="1:8" x14ac:dyDescent="0.3">
      <c r="A1897" s="2">
        <v>1184877</v>
      </c>
      <c r="B1897" s="3" t="s">
        <v>1514</v>
      </c>
      <c r="C1897" s="3" t="s">
        <v>1010</v>
      </c>
      <c r="D1897" s="3" t="s">
        <v>1020</v>
      </c>
      <c r="E1897" s="3" t="s">
        <v>435</v>
      </c>
      <c r="F1897" s="1">
        <v>45971</v>
      </c>
      <c r="G1897" t="str">
        <f t="shared" si="30"/>
        <v>Nov -2025</v>
      </c>
      <c r="H1897" s="12"/>
    </row>
    <row r="1898" spans="1:8" x14ac:dyDescent="0.3">
      <c r="A1898" s="2">
        <v>1184080</v>
      </c>
      <c r="B1898" s="3" t="s">
        <v>1486</v>
      </c>
      <c r="C1898" s="3" t="s">
        <v>1010</v>
      </c>
      <c r="D1898" s="3" t="s">
        <v>209</v>
      </c>
      <c r="E1898" s="3" t="s">
        <v>225</v>
      </c>
      <c r="F1898" s="1">
        <v>45971</v>
      </c>
      <c r="G1898" t="str">
        <f t="shared" si="30"/>
        <v>Nov -2025</v>
      </c>
      <c r="H1898" s="12"/>
    </row>
    <row r="1899" spans="1:8" x14ac:dyDescent="0.3">
      <c r="A1899" s="2">
        <v>1184862</v>
      </c>
      <c r="B1899" s="3" t="s">
        <v>1515</v>
      </c>
      <c r="C1899" s="3" t="s">
        <v>1010</v>
      </c>
      <c r="D1899" s="3" t="s">
        <v>209</v>
      </c>
      <c r="E1899" s="3" t="s">
        <v>196</v>
      </c>
      <c r="F1899" s="1">
        <v>45971</v>
      </c>
      <c r="G1899" t="str">
        <f t="shared" si="30"/>
        <v>Nov -2025</v>
      </c>
      <c r="H1899" s="12"/>
    </row>
    <row r="1900" spans="1:8" x14ac:dyDescent="0.3">
      <c r="A1900" s="2">
        <v>200002758</v>
      </c>
      <c r="B1900" s="3" t="s">
        <v>1516</v>
      </c>
      <c r="C1900" s="3" t="s">
        <v>1010</v>
      </c>
      <c r="D1900" s="3" t="s">
        <v>192</v>
      </c>
      <c r="E1900" s="3" t="s">
        <v>342</v>
      </c>
      <c r="F1900" s="1">
        <v>45971</v>
      </c>
      <c r="G1900" t="str">
        <f t="shared" si="30"/>
        <v>Nov -2025</v>
      </c>
      <c r="H1900" s="12"/>
    </row>
    <row r="1901" spans="1:8" x14ac:dyDescent="0.3">
      <c r="A1901" s="2">
        <v>1184486</v>
      </c>
      <c r="B1901" s="3" t="s">
        <v>1517</v>
      </c>
      <c r="C1901" s="3" t="s">
        <v>1010</v>
      </c>
      <c r="D1901" s="3" t="s">
        <v>1259</v>
      </c>
      <c r="E1901" s="3" t="s">
        <v>228</v>
      </c>
      <c r="F1901" s="1">
        <v>45971</v>
      </c>
      <c r="G1901" t="str">
        <f t="shared" si="30"/>
        <v>Nov -2025</v>
      </c>
      <c r="H1901" s="12"/>
    </row>
    <row r="1902" spans="1:8" x14ac:dyDescent="0.3">
      <c r="A1902" s="2">
        <v>1184883</v>
      </c>
      <c r="B1902" s="3" t="s">
        <v>1518</v>
      </c>
      <c r="C1902" s="3" t="s">
        <v>1010</v>
      </c>
      <c r="D1902" s="3" t="s">
        <v>364</v>
      </c>
      <c r="E1902" s="3" t="s">
        <v>15</v>
      </c>
      <c r="F1902" s="1">
        <v>45971</v>
      </c>
      <c r="G1902" t="str">
        <f t="shared" si="30"/>
        <v>Nov -2025</v>
      </c>
      <c r="H1902" s="12"/>
    </row>
    <row r="1903" spans="1:8" x14ac:dyDescent="0.3">
      <c r="A1903" s="2">
        <v>100004468</v>
      </c>
      <c r="B1903" s="3" t="s">
        <v>1509</v>
      </c>
      <c r="C1903" s="3" t="s">
        <v>1011</v>
      </c>
      <c r="D1903" s="3" t="s">
        <v>972</v>
      </c>
      <c r="E1903" s="3" t="s">
        <v>970</v>
      </c>
      <c r="F1903" s="1">
        <v>45971</v>
      </c>
      <c r="G1903" t="str">
        <f t="shared" si="30"/>
        <v>Nov -2025</v>
      </c>
      <c r="H1903" s="12"/>
    </row>
    <row r="1904" spans="1:8" x14ac:dyDescent="0.3">
      <c r="A1904" s="2">
        <v>100004469</v>
      </c>
      <c r="B1904" s="3" t="s">
        <v>1510</v>
      </c>
      <c r="C1904" s="3" t="s">
        <v>1011</v>
      </c>
      <c r="D1904" s="3" t="s">
        <v>972</v>
      </c>
      <c r="E1904" s="3" t="s">
        <v>970</v>
      </c>
      <c r="F1904" s="1">
        <v>45971</v>
      </c>
      <c r="G1904" t="str">
        <f t="shared" si="30"/>
        <v>Nov -2025</v>
      </c>
      <c r="H1904" s="12"/>
    </row>
    <row r="1905" spans="1:8" x14ac:dyDescent="0.3">
      <c r="A1905" s="2">
        <v>100004466</v>
      </c>
      <c r="B1905" s="3" t="s">
        <v>1507</v>
      </c>
      <c r="C1905" s="3" t="s">
        <v>1011</v>
      </c>
      <c r="D1905" s="3" t="s">
        <v>972</v>
      </c>
      <c r="E1905" s="3" t="s">
        <v>988</v>
      </c>
      <c r="F1905" s="1">
        <v>45971</v>
      </c>
      <c r="G1905" t="str">
        <f t="shared" si="30"/>
        <v>Nov -2025</v>
      </c>
      <c r="H1905" s="12"/>
    </row>
    <row r="1906" spans="1:8" x14ac:dyDescent="0.3">
      <c r="A1906" s="2">
        <v>100004493</v>
      </c>
      <c r="B1906" s="3" t="s">
        <v>1519</v>
      </c>
      <c r="C1906" s="3" t="s">
        <v>1011</v>
      </c>
      <c r="D1906" s="3" t="s">
        <v>972</v>
      </c>
      <c r="E1906" s="3" t="s">
        <v>967</v>
      </c>
      <c r="F1906" s="1">
        <v>45971</v>
      </c>
      <c r="G1906" t="str">
        <f t="shared" si="30"/>
        <v>Nov -2025</v>
      </c>
      <c r="H1906" s="12"/>
    </row>
    <row r="1907" spans="1:8" x14ac:dyDescent="0.3">
      <c r="A1907" s="2">
        <v>1183807</v>
      </c>
      <c r="B1907" s="3" t="s">
        <v>1512</v>
      </c>
      <c r="C1907" s="3" t="s">
        <v>1010</v>
      </c>
      <c r="D1907" s="3" t="s">
        <v>1259</v>
      </c>
      <c r="E1907" s="3" t="s">
        <v>228</v>
      </c>
      <c r="F1907" s="1">
        <v>45972</v>
      </c>
      <c r="G1907" t="str">
        <f t="shared" si="30"/>
        <v>Nov -2025</v>
      </c>
      <c r="H1907" s="12"/>
    </row>
    <row r="1908" spans="1:8" x14ac:dyDescent="0.3">
      <c r="A1908" s="2">
        <v>1183922</v>
      </c>
      <c r="B1908" s="3" t="s">
        <v>1513</v>
      </c>
      <c r="C1908" s="3" t="s">
        <v>1010</v>
      </c>
      <c r="D1908" s="3" t="s">
        <v>1259</v>
      </c>
      <c r="E1908" s="3" t="s">
        <v>228</v>
      </c>
      <c r="F1908" s="1">
        <v>45972</v>
      </c>
      <c r="G1908" t="str">
        <f t="shared" ref="G1908:G1922" si="31">TEXT(F1908,"mmm -YYYY")</f>
        <v>Nov -2025</v>
      </c>
      <c r="H1908" s="12"/>
    </row>
    <row r="1909" spans="1:8" x14ac:dyDescent="0.3">
      <c r="A1909" s="2">
        <v>1184486</v>
      </c>
      <c r="B1909" s="3" t="s">
        <v>1517</v>
      </c>
      <c r="C1909" s="3" t="s">
        <v>1010</v>
      </c>
      <c r="D1909" s="3" t="s">
        <v>1259</v>
      </c>
      <c r="E1909" s="3" t="s">
        <v>228</v>
      </c>
      <c r="F1909" s="1">
        <v>45972</v>
      </c>
      <c r="G1909" t="str">
        <f t="shared" si="31"/>
        <v>Nov -2025</v>
      </c>
      <c r="H1909" s="12"/>
    </row>
    <row r="1910" spans="1:8" x14ac:dyDescent="0.3">
      <c r="A1910" s="2">
        <v>1184877</v>
      </c>
      <c r="B1910" s="3" t="s">
        <v>1514</v>
      </c>
      <c r="C1910" s="3" t="s">
        <v>1010</v>
      </c>
      <c r="D1910" s="3" t="s">
        <v>1020</v>
      </c>
      <c r="E1910" s="3" t="s">
        <v>435</v>
      </c>
      <c r="F1910" s="1">
        <v>45972</v>
      </c>
      <c r="G1910" t="str">
        <f t="shared" si="31"/>
        <v>Nov -2025</v>
      </c>
      <c r="H1910" s="12"/>
    </row>
    <row r="1911" spans="1:8" x14ac:dyDescent="0.3">
      <c r="A1911" s="2">
        <v>1183804</v>
      </c>
      <c r="B1911" s="3" t="s">
        <v>1512</v>
      </c>
      <c r="C1911" s="3" t="s">
        <v>1010</v>
      </c>
      <c r="D1911" s="3" t="s">
        <v>1259</v>
      </c>
      <c r="E1911" s="3" t="s">
        <v>228</v>
      </c>
      <c r="F1911" s="1">
        <v>45972</v>
      </c>
      <c r="G1911" t="str">
        <f t="shared" si="31"/>
        <v>Nov -2025</v>
      </c>
      <c r="H1911" s="12"/>
    </row>
    <row r="1912" spans="1:8" x14ac:dyDescent="0.3">
      <c r="A1912" s="2">
        <v>1188121</v>
      </c>
      <c r="B1912" s="3" t="s">
        <v>1487</v>
      </c>
      <c r="C1912" s="3" t="s">
        <v>1010</v>
      </c>
      <c r="D1912" s="3" t="s">
        <v>209</v>
      </c>
      <c r="E1912" s="3" t="s">
        <v>225</v>
      </c>
      <c r="F1912" s="1">
        <v>45972</v>
      </c>
      <c r="G1912" t="str">
        <f t="shared" si="31"/>
        <v>Nov -2025</v>
      </c>
      <c r="H1912" s="12"/>
    </row>
    <row r="1913" spans="1:8" x14ac:dyDescent="0.3">
      <c r="A1913" s="2">
        <v>200002750</v>
      </c>
      <c r="B1913" s="3" t="s">
        <v>1520</v>
      </c>
      <c r="C1913" s="3" t="s">
        <v>1010</v>
      </c>
      <c r="D1913" s="3" t="s">
        <v>192</v>
      </c>
      <c r="E1913" s="3" t="s">
        <v>216</v>
      </c>
      <c r="F1913" s="1">
        <v>45972</v>
      </c>
      <c r="G1913" t="str">
        <f t="shared" si="31"/>
        <v>Nov -2025</v>
      </c>
      <c r="H1913" s="12"/>
    </row>
    <row r="1914" spans="1:8" x14ac:dyDescent="0.3">
      <c r="A1914" s="2">
        <v>200002734</v>
      </c>
      <c r="B1914" s="3" t="s">
        <v>1521</v>
      </c>
      <c r="C1914" s="3" t="s">
        <v>1010</v>
      </c>
      <c r="D1914" s="3" t="s">
        <v>192</v>
      </c>
      <c r="E1914" s="3" t="s">
        <v>216</v>
      </c>
      <c r="F1914" s="1">
        <v>45972</v>
      </c>
      <c r="G1914" t="str">
        <f t="shared" si="31"/>
        <v>Nov -2025</v>
      </c>
      <c r="H1914" s="12"/>
    </row>
    <row r="1915" spans="1:8" x14ac:dyDescent="0.3">
      <c r="A1915" s="2">
        <v>200002759</v>
      </c>
      <c r="B1915" s="3" t="s">
        <v>1522</v>
      </c>
      <c r="C1915" s="3" t="s">
        <v>1010</v>
      </c>
      <c r="D1915" s="3" t="s">
        <v>192</v>
      </c>
      <c r="E1915" s="3" t="s">
        <v>1069</v>
      </c>
      <c r="F1915" s="1">
        <v>45972</v>
      </c>
      <c r="G1915" t="str">
        <f t="shared" si="31"/>
        <v>Nov -2025</v>
      </c>
      <c r="H1915" s="12"/>
    </row>
    <row r="1916" spans="1:8" x14ac:dyDescent="0.3">
      <c r="A1916" s="2">
        <v>200002779</v>
      </c>
      <c r="B1916" s="3" t="s">
        <v>191</v>
      </c>
      <c r="C1916" s="3" t="s">
        <v>1010</v>
      </c>
      <c r="D1916" s="3" t="s">
        <v>192</v>
      </c>
      <c r="E1916" s="3" t="s">
        <v>193</v>
      </c>
      <c r="F1916" s="1">
        <v>45972</v>
      </c>
      <c r="G1916" t="str">
        <f t="shared" si="31"/>
        <v>Nov -2025</v>
      </c>
      <c r="H1916" s="12"/>
    </row>
    <row r="1917" spans="1:8" x14ac:dyDescent="0.3">
      <c r="A1917" s="2">
        <v>100004514</v>
      </c>
      <c r="B1917" s="3" t="s">
        <v>1523</v>
      </c>
      <c r="C1917" s="3" t="s">
        <v>1011</v>
      </c>
      <c r="D1917" s="3" t="s">
        <v>972</v>
      </c>
      <c r="E1917" s="3" t="s">
        <v>969</v>
      </c>
      <c r="F1917" s="1">
        <v>45972</v>
      </c>
      <c r="G1917" t="str">
        <f t="shared" si="31"/>
        <v>Nov -2025</v>
      </c>
      <c r="H1917" s="12"/>
    </row>
    <row r="1918" spans="1:8" x14ac:dyDescent="0.3">
      <c r="A1918" s="2">
        <v>100004505</v>
      </c>
      <c r="B1918" s="3" t="s">
        <v>1524</v>
      </c>
      <c r="C1918" s="3" t="s">
        <v>1011</v>
      </c>
      <c r="D1918" s="3" t="s">
        <v>972</v>
      </c>
      <c r="E1918" s="3" t="s">
        <v>968</v>
      </c>
      <c r="F1918" s="1">
        <v>45972</v>
      </c>
      <c r="G1918" t="str">
        <f t="shared" si="31"/>
        <v>Nov -2025</v>
      </c>
      <c r="H1918" s="12"/>
    </row>
    <row r="1919" spans="1:8" x14ac:dyDescent="0.3">
      <c r="A1919" s="2">
        <v>100004466</v>
      </c>
      <c r="B1919" s="3" t="s">
        <v>1507</v>
      </c>
      <c r="C1919" s="3" t="s">
        <v>1011</v>
      </c>
      <c r="D1919" s="3" t="s">
        <v>972</v>
      </c>
      <c r="E1919" s="3" t="s">
        <v>988</v>
      </c>
      <c r="F1919" s="1">
        <v>45972</v>
      </c>
      <c r="G1919" t="str">
        <f t="shared" si="31"/>
        <v>Nov -2025</v>
      </c>
      <c r="H1919" s="12"/>
    </row>
    <row r="1920" spans="1:8" x14ac:dyDescent="0.3">
      <c r="A1920" s="2">
        <v>100004503</v>
      </c>
      <c r="B1920" s="3" t="s">
        <v>1525</v>
      </c>
      <c r="C1920" s="3" t="s">
        <v>1011</v>
      </c>
      <c r="D1920" s="3" t="s">
        <v>972</v>
      </c>
      <c r="E1920" s="3" t="s">
        <v>1526</v>
      </c>
      <c r="F1920" s="1">
        <v>45972</v>
      </c>
      <c r="G1920" t="str">
        <f t="shared" si="31"/>
        <v>Nov -2025</v>
      </c>
      <c r="H1920" s="12"/>
    </row>
    <row r="1921" spans="1:8" x14ac:dyDescent="0.3">
      <c r="A1921" s="2">
        <v>100004482</v>
      </c>
      <c r="B1921" s="3" t="s">
        <v>1527</v>
      </c>
      <c r="C1921" s="3" t="s">
        <v>1011</v>
      </c>
      <c r="D1921" s="3" t="s">
        <v>972</v>
      </c>
      <c r="E1921" s="3" t="s">
        <v>967</v>
      </c>
      <c r="F1921" s="1">
        <v>45972</v>
      </c>
      <c r="G1921" t="str">
        <f t="shared" si="31"/>
        <v>Nov -2025</v>
      </c>
      <c r="H1921" s="12"/>
    </row>
    <row r="1922" spans="1:8" x14ac:dyDescent="0.3">
      <c r="A1922" s="2">
        <v>1190646</v>
      </c>
      <c r="B1922" s="3" t="s">
        <v>1528</v>
      </c>
      <c r="C1922" s="3" t="s">
        <v>1010</v>
      </c>
      <c r="D1922" s="3" t="s">
        <v>209</v>
      </c>
      <c r="E1922" s="3" t="s">
        <v>210</v>
      </c>
      <c r="F1922" s="1">
        <v>45973</v>
      </c>
      <c r="G1922" t="str">
        <f t="shared" si="31"/>
        <v>Nov -2025</v>
      </c>
      <c r="H1922" s="12"/>
    </row>
    <row r="1923" spans="1:8" x14ac:dyDescent="0.3">
      <c r="A1923" s="2">
        <v>1190645</v>
      </c>
      <c r="B1923" s="3" t="s">
        <v>1529</v>
      </c>
      <c r="C1923" s="3" t="s">
        <v>1010</v>
      </c>
      <c r="D1923" s="3" t="s">
        <v>209</v>
      </c>
      <c r="E1923" s="3" t="s">
        <v>210</v>
      </c>
      <c r="F1923" s="1">
        <v>45973</v>
      </c>
      <c r="G1923" t="str">
        <f t="shared" ref="G1923:G1929" si="32">TEXT(F1923,"mmm -YYYY")</f>
        <v>Nov -2025</v>
      </c>
      <c r="H1923" s="12"/>
    </row>
    <row r="1924" spans="1:8" x14ac:dyDescent="0.3">
      <c r="A1924" s="2">
        <v>1112429</v>
      </c>
      <c r="B1924" s="3" t="s">
        <v>739</v>
      </c>
      <c r="C1924" s="3" t="s">
        <v>1010</v>
      </c>
      <c r="D1924" s="3" t="s">
        <v>209</v>
      </c>
      <c r="E1924" s="3" t="s">
        <v>1530</v>
      </c>
      <c r="F1924" s="1">
        <v>45973</v>
      </c>
      <c r="G1924" t="str">
        <f t="shared" si="32"/>
        <v>Nov -2025</v>
      </c>
      <c r="H1924" s="12"/>
    </row>
    <row r="1925" spans="1:8" x14ac:dyDescent="0.3">
      <c r="A1925" s="2">
        <v>1112434</v>
      </c>
      <c r="B1925" s="3" t="s">
        <v>739</v>
      </c>
      <c r="C1925" s="3" t="s">
        <v>1010</v>
      </c>
      <c r="D1925" s="3" t="s">
        <v>209</v>
      </c>
      <c r="E1925" s="3" t="s">
        <v>1530</v>
      </c>
      <c r="F1925" s="1">
        <v>45973</v>
      </c>
      <c r="G1925" t="str">
        <f t="shared" si="32"/>
        <v>Nov -2025</v>
      </c>
      <c r="H1925" s="12"/>
    </row>
    <row r="1926" spans="1:8" x14ac:dyDescent="0.3">
      <c r="A1926" s="2">
        <v>1193002</v>
      </c>
      <c r="B1926" s="3" t="s">
        <v>1487</v>
      </c>
      <c r="C1926" s="3" t="s">
        <v>1010</v>
      </c>
      <c r="D1926" s="3" t="s">
        <v>209</v>
      </c>
      <c r="E1926" s="3" t="s">
        <v>225</v>
      </c>
      <c r="F1926" s="1">
        <v>45973</v>
      </c>
      <c r="G1926" t="str">
        <f t="shared" si="32"/>
        <v>Nov -2025</v>
      </c>
      <c r="H1926" s="12"/>
    </row>
    <row r="1927" spans="1:8" x14ac:dyDescent="0.3">
      <c r="A1927" s="2">
        <v>1190644</v>
      </c>
      <c r="B1927" s="3" t="s">
        <v>628</v>
      </c>
      <c r="C1927" s="3" t="s">
        <v>1010</v>
      </c>
      <c r="D1927" s="3" t="s">
        <v>209</v>
      </c>
      <c r="E1927" s="3" t="s">
        <v>210</v>
      </c>
      <c r="F1927" s="1">
        <v>45973</v>
      </c>
      <c r="G1927" t="str">
        <f t="shared" si="32"/>
        <v>Nov -2025</v>
      </c>
      <c r="H1927" s="12"/>
    </row>
    <row r="1928" spans="1:8" x14ac:dyDescent="0.3">
      <c r="A1928" s="2">
        <v>1192589</v>
      </c>
      <c r="B1928" s="3" t="s">
        <v>1531</v>
      </c>
      <c r="C1928" s="3" t="s">
        <v>1010</v>
      </c>
      <c r="D1928" s="3" t="s">
        <v>209</v>
      </c>
      <c r="E1928" s="3" t="s">
        <v>225</v>
      </c>
      <c r="F1928" s="1">
        <v>45973</v>
      </c>
      <c r="G1928" t="str">
        <f t="shared" si="32"/>
        <v>Nov -2025</v>
      </c>
      <c r="H1928" s="12"/>
    </row>
    <row r="1929" spans="1:8" x14ac:dyDescent="0.3">
      <c r="A1929" s="2">
        <v>1193424</v>
      </c>
      <c r="B1929" s="3" t="s">
        <v>1532</v>
      </c>
      <c r="C1929" s="3" t="s">
        <v>1010</v>
      </c>
      <c r="D1929" s="3" t="s">
        <v>209</v>
      </c>
      <c r="E1929" s="3" t="s">
        <v>225</v>
      </c>
      <c r="F1929" s="1">
        <v>45973</v>
      </c>
      <c r="G1929" t="str">
        <f t="shared" si="32"/>
        <v>Nov -2025</v>
      </c>
      <c r="H1929" s="12"/>
    </row>
    <row r="1930" spans="1:8" x14ac:dyDescent="0.3">
      <c r="A1930" s="2">
        <v>100004466</v>
      </c>
      <c r="B1930" s="3" t="s">
        <v>1507</v>
      </c>
      <c r="C1930" s="3" t="s">
        <v>1011</v>
      </c>
      <c r="D1930" s="3" t="s">
        <v>972</v>
      </c>
      <c r="E1930" s="3" t="s">
        <v>988</v>
      </c>
      <c r="F1930" s="1">
        <v>45973</v>
      </c>
      <c r="G1930" t="str">
        <f t="shared" ref="G1930:G1933" si="33">TEXT(F1930,"mmm -YYYY")</f>
        <v>Nov -2025</v>
      </c>
      <c r="H1930" s="12"/>
    </row>
    <row r="1931" spans="1:8" x14ac:dyDescent="0.3">
      <c r="A1931" s="2">
        <v>100004507</v>
      </c>
      <c r="B1931" s="3" t="s">
        <v>1533</v>
      </c>
      <c r="C1931" s="3" t="s">
        <v>1011</v>
      </c>
      <c r="D1931" s="3" t="s">
        <v>972</v>
      </c>
      <c r="E1931" s="3" t="s">
        <v>967</v>
      </c>
      <c r="F1931" s="1">
        <v>45973</v>
      </c>
      <c r="G1931" t="str">
        <f t="shared" si="33"/>
        <v>Nov -2025</v>
      </c>
      <c r="H1931" s="12"/>
    </row>
    <row r="1932" spans="1:8" x14ac:dyDescent="0.3">
      <c r="A1932" s="2">
        <v>100004517</v>
      </c>
      <c r="B1932" s="3" t="s">
        <v>1534</v>
      </c>
      <c r="C1932" s="3" t="s">
        <v>1011</v>
      </c>
      <c r="D1932" s="3" t="s">
        <v>972</v>
      </c>
      <c r="E1932" s="3" t="s">
        <v>967</v>
      </c>
      <c r="F1932" s="1">
        <v>45973</v>
      </c>
      <c r="G1932" t="str">
        <f t="shared" si="33"/>
        <v>Nov -2025</v>
      </c>
      <c r="H1932" s="12"/>
    </row>
    <row r="1933" spans="1:8" x14ac:dyDescent="0.3">
      <c r="A1933" s="2">
        <v>100004517</v>
      </c>
      <c r="B1933" s="3" t="s">
        <v>1534</v>
      </c>
      <c r="C1933" s="3" t="s">
        <v>1011</v>
      </c>
      <c r="D1933" s="3" t="s">
        <v>972</v>
      </c>
      <c r="E1933" s="3" t="s">
        <v>967</v>
      </c>
      <c r="F1933" s="1">
        <v>45974</v>
      </c>
      <c r="G1933" t="str">
        <f t="shared" si="33"/>
        <v>Nov -2025</v>
      </c>
      <c r="H1933" s="12"/>
    </row>
    <row r="1934" spans="1:8" x14ac:dyDescent="0.3">
      <c r="A1934" s="2">
        <v>100004518</v>
      </c>
      <c r="B1934" s="3" t="s">
        <v>1534</v>
      </c>
      <c r="C1934" s="3" t="s">
        <v>1011</v>
      </c>
      <c r="D1934" s="3" t="s">
        <v>972</v>
      </c>
      <c r="E1934" s="3" t="s">
        <v>967</v>
      </c>
      <c r="F1934" s="1">
        <v>45974</v>
      </c>
      <c r="G1934" t="str">
        <f t="shared" ref="G1934:G1939" si="34">TEXT(F1934,"mmm -YYYY")</f>
        <v>Nov -2025</v>
      </c>
      <c r="H1934" s="12"/>
    </row>
    <row r="1935" spans="1:8" x14ac:dyDescent="0.3">
      <c r="A1935" s="2">
        <v>100004508</v>
      </c>
      <c r="B1935" s="3" t="s">
        <v>1535</v>
      </c>
      <c r="C1935" s="3" t="s">
        <v>1011</v>
      </c>
      <c r="D1935" s="3" t="s">
        <v>972</v>
      </c>
      <c r="E1935" s="3" t="s">
        <v>1536</v>
      </c>
      <c r="F1935" s="1">
        <v>45974</v>
      </c>
      <c r="G1935" t="str">
        <f t="shared" si="34"/>
        <v>Nov -2025</v>
      </c>
      <c r="H1935" s="12"/>
    </row>
    <row r="1936" spans="1:8" x14ac:dyDescent="0.3">
      <c r="A1936" s="2">
        <v>100004533</v>
      </c>
      <c r="B1936" s="3" t="s">
        <v>1537</v>
      </c>
      <c r="C1936" s="3" t="s">
        <v>1011</v>
      </c>
      <c r="D1936" s="3" t="s">
        <v>972</v>
      </c>
      <c r="E1936" s="3" t="s">
        <v>1536</v>
      </c>
      <c r="F1936" s="1">
        <v>45974</v>
      </c>
      <c r="G1936" t="str">
        <f t="shared" si="34"/>
        <v>Nov -2025</v>
      </c>
      <c r="H1936" s="12"/>
    </row>
    <row r="1937" spans="1:8" x14ac:dyDescent="0.3">
      <c r="A1937" s="2">
        <v>1193655</v>
      </c>
      <c r="B1937" s="3" t="s">
        <v>1538</v>
      </c>
      <c r="C1937" s="3" t="s">
        <v>1010</v>
      </c>
      <c r="D1937" s="3" t="s">
        <v>364</v>
      </c>
      <c r="E1937" s="3" t="s">
        <v>15</v>
      </c>
      <c r="F1937" s="1">
        <v>45974</v>
      </c>
      <c r="G1937" t="str">
        <f t="shared" si="34"/>
        <v>Nov -2025</v>
      </c>
      <c r="H1937" s="12"/>
    </row>
    <row r="1938" spans="1:8" x14ac:dyDescent="0.3">
      <c r="A1938" s="2">
        <v>200002788</v>
      </c>
      <c r="B1938" s="3" t="s">
        <v>1539</v>
      </c>
      <c r="C1938" s="3" t="s">
        <v>1010</v>
      </c>
      <c r="D1938" s="3" t="s">
        <v>192</v>
      </c>
      <c r="E1938" s="3" t="s">
        <v>287</v>
      </c>
      <c r="F1938" s="1">
        <v>45974</v>
      </c>
      <c r="G1938" t="str">
        <f t="shared" si="34"/>
        <v>Nov -2025</v>
      </c>
      <c r="H1938" s="12"/>
    </row>
    <row r="1939" spans="1:8" x14ac:dyDescent="0.3">
      <c r="A1939" s="2">
        <v>1193942</v>
      </c>
      <c r="B1939" s="3" t="s">
        <v>1540</v>
      </c>
      <c r="C1939" s="3" t="s">
        <v>1010</v>
      </c>
      <c r="D1939" s="3" t="s">
        <v>209</v>
      </c>
      <c r="E1939" s="3" t="s">
        <v>210</v>
      </c>
      <c r="F1939" s="1">
        <v>45974</v>
      </c>
      <c r="G1939" t="str">
        <f t="shared" si="34"/>
        <v>Nov -2025</v>
      </c>
      <c r="H1939" s="12"/>
    </row>
    <row r="1940" spans="1:8" x14ac:dyDescent="0.3">
      <c r="A1940" s="2">
        <v>900005151</v>
      </c>
      <c r="B1940" s="3" t="s">
        <v>1541</v>
      </c>
      <c r="C1940" s="3" t="s">
        <v>1010</v>
      </c>
      <c r="D1940" s="3" t="s">
        <v>209</v>
      </c>
      <c r="E1940" s="3" t="s">
        <v>322</v>
      </c>
      <c r="F1940" s="1">
        <v>45974</v>
      </c>
      <c r="G1940" t="str">
        <f t="shared" ref="G1940:G1944" si="35">TEXT(F1940,"mmm -YYYY")</f>
        <v>Nov -2025</v>
      </c>
      <c r="H1940" s="12"/>
    </row>
    <row r="1941" spans="1:8" x14ac:dyDescent="0.3">
      <c r="A1941" s="2">
        <v>1197664</v>
      </c>
      <c r="B1941" s="3" t="s">
        <v>1542</v>
      </c>
      <c r="C1941" s="3" t="s">
        <v>1010</v>
      </c>
      <c r="D1941" s="3" t="s">
        <v>364</v>
      </c>
      <c r="E1941" s="3" t="s">
        <v>15</v>
      </c>
      <c r="F1941" s="1">
        <v>45974</v>
      </c>
      <c r="G1941" t="str">
        <f t="shared" si="35"/>
        <v>Nov -2025</v>
      </c>
      <c r="H1941" s="12"/>
    </row>
    <row r="1942" spans="1:8" x14ac:dyDescent="0.3">
      <c r="A1942" s="2">
        <v>900005162</v>
      </c>
      <c r="B1942" s="3" t="s">
        <v>306</v>
      </c>
      <c r="C1942" s="3" t="s">
        <v>1010</v>
      </c>
      <c r="D1942" s="3" t="s">
        <v>1283</v>
      </c>
      <c r="E1942" s="3" t="s">
        <v>322</v>
      </c>
      <c r="F1942" s="1">
        <v>45974</v>
      </c>
      <c r="G1942" t="str">
        <f t="shared" si="35"/>
        <v>Nov -2025</v>
      </c>
      <c r="H1942" s="12"/>
    </row>
    <row r="1943" spans="1:8" x14ac:dyDescent="0.3">
      <c r="A1943" s="2">
        <v>200002824</v>
      </c>
      <c r="B1943" s="3" t="s">
        <v>1543</v>
      </c>
      <c r="C1943" s="3" t="s">
        <v>1010</v>
      </c>
      <c r="D1943" s="3" t="s">
        <v>192</v>
      </c>
      <c r="E1943" s="3" t="s">
        <v>1544</v>
      </c>
      <c r="F1943" s="1">
        <v>45974</v>
      </c>
      <c r="G1943" t="str">
        <f t="shared" si="35"/>
        <v>Nov -2025</v>
      </c>
      <c r="H1943" s="12"/>
    </row>
    <row r="1944" spans="1:8" x14ac:dyDescent="0.3">
      <c r="A1944" s="2">
        <v>1199221</v>
      </c>
      <c r="B1944" s="3" t="s">
        <v>740</v>
      </c>
      <c r="C1944" s="3" t="s">
        <v>1010</v>
      </c>
      <c r="D1944" s="3" t="s">
        <v>1020</v>
      </c>
      <c r="E1944" s="3" t="s">
        <v>228</v>
      </c>
      <c r="F1944" s="1">
        <v>45975</v>
      </c>
      <c r="G1944" t="str">
        <f t="shared" si="35"/>
        <v>Nov -2025</v>
      </c>
      <c r="H1944" s="12"/>
    </row>
    <row r="1945" spans="1:8" x14ac:dyDescent="0.3">
      <c r="A1945" s="2">
        <v>1199297</v>
      </c>
      <c r="B1945" s="3" t="s">
        <v>1545</v>
      </c>
      <c r="C1945" s="3" t="s">
        <v>1010</v>
      </c>
      <c r="D1945" s="3" t="s">
        <v>1259</v>
      </c>
      <c r="E1945" s="3" t="s">
        <v>228</v>
      </c>
      <c r="F1945" s="1">
        <v>45975</v>
      </c>
      <c r="G1945" t="str">
        <f t="shared" ref="G1945:G1956" si="36">TEXT(F1945,"mmm -YYYY")</f>
        <v>Nov -2025</v>
      </c>
      <c r="H1945" s="12"/>
    </row>
    <row r="1946" spans="1:8" x14ac:dyDescent="0.3">
      <c r="A1946" s="2">
        <v>900005107</v>
      </c>
      <c r="B1946" s="3" t="s">
        <v>1546</v>
      </c>
      <c r="C1946" s="3" t="s">
        <v>1010</v>
      </c>
      <c r="D1946" s="3" t="s">
        <v>1551</v>
      </c>
      <c r="E1946" s="3" t="s">
        <v>322</v>
      </c>
      <c r="F1946" s="1">
        <v>45975</v>
      </c>
      <c r="G1946" t="str">
        <f t="shared" si="36"/>
        <v>Nov -2025</v>
      </c>
      <c r="H1946" s="12"/>
    </row>
    <row r="1947" spans="1:8" x14ac:dyDescent="0.3">
      <c r="A1947" s="2">
        <v>1197721</v>
      </c>
      <c r="B1947" s="3" t="s">
        <v>1547</v>
      </c>
      <c r="C1947" s="3" t="s">
        <v>1010</v>
      </c>
      <c r="D1947" s="3" t="s">
        <v>364</v>
      </c>
      <c r="E1947" s="3" t="s">
        <v>15</v>
      </c>
      <c r="F1947" s="1">
        <v>45975</v>
      </c>
      <c r="G1947" t="str">
        <f t="shared" si="36"/>
        <v>Nov -2025</v>
      </c>
      <c r="H1947" s="12"/>
    </row>
    <row r="1948" spans="1:8" x14ac:dyDescent="0.3">
      <c r="A1948" s="2">
        <v>1202899</v>
      </c>
      <c r="B1948" s="3" t="s">
        <v>1548</v>
      </c>
      <c r="C1948" s="3" t="s">
        <v>1010</v>
      </c>
      <c r="D1948" s="3" t="s">
        <v>209</v>
      </c>
      <c r="E1948" s="3" t="s">
        <v>357</v>
      </c>
      <c r="F1948" s="1">
        <v>45975</v>
      </c>
      <c r="G1948" t="str">
        <f t="shared" si="36"/>
        <v>Nov -2025</v>
      </c>
      <c r="H1948" s="12"/>
    </row>
    <row r="1949" spans="1:8" x14ac:dyDescent="0.3">
      <c r="A1949" s="2">
        <v>11008156</v>
      </c>
      <c r="B1949" s="3" t="s">
        <v>1549</v>
      </c>
      <c r="C1949" s="3" t="s">
        <v>1010</v>
      </c>
      <c r="D1949" s="3" t="s">
        <v>209</v>
      </c>
      <c r="E1949" s="3" t="s">
        <v>228</v>
      </c>
      <c r="F1949" s="1">
        <v>45975</v>
      </c>
      <c r="G1949" t="str">
        <f t="shared" si="36"/>
        <v>Nov -2025</v>
      </c>
      <c r="H1949" s="12"/>
    </row>
    <row r="1950" spans="1:8" x14ac:dyDescent="0.3">
      <c r="A1950" s="2">
        <v>200002684</v>
      </c>
      <c r="B1950" s="3" t="s">
        <v>1550</v>
      </c>
      <c r="C1950" s="3" t="s">
        <v>1010</v>
      </c>
      <c r="D1950" s="3" t="s">
        <v>192</v>
      </c>
      <c r="E1950" s="3" t="s">
        <v>216</v>
      </c>
      <c r="F1950" s="1">
        <v>45975</v>
      </c>
      <c r="G1950" t="str">
        <f t="shared" si="36"/>
        <v>Nov -2025</v>
      </c>
      <c r="H1950" s="12"/>
    </row>
    <row r="1951" spans="1:8" x14ac:dyDescent="0.3">
      <c r="A1951" s="2">
        <v>100004518</v>
      </c>
      <c r="B1951" s="3" t="s">
        <v>1534</v>
      </c>
      <c r="C1951" s="3" t="s">
        <v>1011</v>
      </c>
      <c r="D1951" s="3" t="s">
        <v>972</v>
      </c>
      <c r="E1951" s="3" t="s">
        <v>967</v>
      </c>
      <c r="F1951" s="1">
        <v>45975</v>
      </c>
      <c r="G1951" t="str">
        <f t="shared" si="36"/>
        <v>Nov -2025</v>
      </c>
      <c r="H1951" s="12"/>
    </row>
    <row r="1952" spans="1:8" x14ac:dyDescent="0.3">
      <c r="A1952" s="2">
        <v>900005126</v>
      </c>
      <c r="B1952" s="3" t="s">
        <v>1552</v>
      </c>
      <c r="C1952" s="3" t="s">
        <v>1011</v>
      </c>
      <c r="D1952" s="3" t="s">
        <v>973</v>
      </c>
      <c r="E1952" s="3" t="s">
        <v>322</v>
      </c>
      <c r="F1952" s="1">
        <v>45975</v>
      </c>
      <c r="G1952" t="str">
        <f t="shared" si="36"/>
        <v>Nov -2025</v>
      </c>
      <c r="H1952" s="12"/>
    </row>
    <row r="1953" spans="1:8" x14ac:dyDescent="0.3">
      <c r="A1953" s="2">
        <v>100004524</v>
      </c>
      <c r="B1953" s="3" t="s">
        <v>1553</v>
      </c>
      <c r="C1953" s="3" t="s">
        <v>1011</v>
      </c>
      <c r="D1953" s="3" t="s">
        <v>972</v>
      </c>
      <c r="E1953" s="3" t="s">
        <v>968</v>
      </c>
      <c r="F1953" s="1">
        <v>45975</v>
      </c>
      <c r="G1953" t="str">
        <f t="shared" si="36"/>
        <v>Nov -2025</v>
      </c>
      <c r="H1953" s="12"/>
    </row>
    <row r="1954" spans="1:8" x14ac:dyDescent="0.3">
      <c r="A1954" s="2">
        <v>100004536</v>
      </c>
      <c r="B1954" s="3" t="s">
        <v>1462</v>
      </c>
      <c r="C1954" s="3" t="s">
        <v>1011</v>
      </c>
      <c r="D1954" s="3" t="s">
        <v>972</v>
      </c>
      <c r="E1954" s="3" t="s">
        <v>970</v>
      </c>
      <c r="F1954" s="1">
        <v>45975</v>
      </c>
      <c r="G1954" t="str">
        <f t="shared" si="36"/>
        <v>Nov -2025</v>
      </c>
      <c r="H1954" s="12"/>
    </row>
    <row r="1955" spans="1:8" x14ac:dyDescent="0.3">
      <c r="A1955" s="2">
        <v>100004478</v>
      </c>
      <c r="B1955" s="3" t="s">
        <v>1554</v>
      </c>
      <c r="C1955" s="3" t="s">
        <v>1011</v>
      </c>
      <c r="D1955" s="3" t="s">
        <v>972</v>
      </c>
      <c r="E1955" s="3" t="s">
        <v>985</v>
      </c>
      <c r="F1955" s="1">
        <v>45975</v>
      </c>
      <c r="G1955" t="str">
        <f t="shared" si="36"/>
        <v>Nov -2025</v>
      </c>
      <c r="H1955" s="12"/>
    </row>
    <row r="1956" spans="1:8" x14ac:dyDescent="0.3">
      <c r="A1956" s="2">
        <v>100004550</v>
      </c>
      <c r="B1956" s="3" t="s">
        <v>1243</v>
      </c>
      <c r="C1956" s="3" t="s">
        <v>1011</v>
      </c>
      <c r="D1956" s="3" t="s">
        <v>972</v>
      </c>
      <c r="E1956" s="3" t="s">
        <v>1103</v>
      </c>
      <c r="F1956" s="1">
        <v>45978</v>
      </c>
      <c r="G1956" t="str">
        <f t="shared" si="36"/>
        <v>Nov -2025</v>
      </c>
      <c r="H1956" s="12"/>
    </row>
    <row r="1957" spans="1:8" x14ac:dyDescent="0.3">
      <c r="A1957" s="2">
        <v>100004537</v>
      </c>
      <c r="B1957" s="3" t="s">
        <v>1462</v>
      </c>
      <c r="C1957" s="3" t="s">
        <v>1011</v>
      </c>
      <c r="D1957" s="3" t="s">
        <v>972</v>
      </c>
      <c r="E1957" s="3" t="s">
        <v>970</v>
      </c>
      <c r="F1957" s="1">
        <v>45978</v>
      </c>
      <c r="G1957" t="str">
        <f t="shared" ref="G1957:G1964" si="37">TEXT(F1957,"mmm -YYYY")</f>
        <v>Nov -2025</v>
      </c>
      <c r="H1957" s="12"/>
    </row>
    <row r="1958" spans="1:8" x14ac:dyDescent="0.3">
      <c r="A1958" s="2">
        <v>100004536</v>
      </c>
      <c r="B1958" s="3" t="s">
        <v>1462</v>
      </c>
      <c r="C1958" s="3" t="s">
        <v>1011</v>
      </c>
      <c r="D1958" s="3" t="s">
        <v>972</v>
      </c>
      <c r="E1958" s="3" t="s">
        <v>970</v>
      </c>
      <c r="F1958" s="1">
        <v>45978</v>
      </c>
      <c r="G1958" t="str">
        <f t="shared" si="37"/>
        <v>Nov -2025</v>
      </c>
      <c r="H1958" s="12"/>
    </row>
    <row r="1959" spans="1:8" x14ac:dyDescent="0.3">
      <c r="A1959" s="2">
        <v>100004553</v>
      </c>
      <c r="B1959" s="3" t="s">
        <v>1555</v>
      </c>
      <c r="C1959" s="3" t="s">
        <v>1011</v>
      </c>
      <c r="D1959" s="3" t="s">
        <v>972</v>
      </c>
      <c r="E1959" s="3" t="s">
        <v>967</v>
      </c>
      <c r="F1959" s="1">
        <v>45978</v>
      </c>
      <c r="G1959" t="str">
        <f t="shared" si="37"/>
        <v>Nov -2025</v>
      </c>
      <c r="H1959" s="12"/>
    </row>
    <row r="1960" spans="1:8" x14ac:dyDescent="0.3">
      <c r="A1960" s="2">
        <v>100004507</v>
      </c>
      <c r="B1960" s="3" t="s">
        <v>1533</v>
      </c>
      <c r="C1960" s="3" t="s">
        <v>1011</v>
      </c>
      <c r="D1960" s="3" t="s">
        <v>972</v>
      </c>
      <c r="E1960" s="3" t="s">
        <v>967</v>
      </c>
      <c r="F1960" s="1">
        <v>45978</v>
      </c>
      <c r="G1960" t="str">
        <f t="shared" si="37"/>
        <v>Nov -2025</v>
      </c>
      <c r="H1960" s="12"/>
    </row>
    <row r="1961" spans="1:8" x14ac:dyDescent="0.3">
      <c r="A1961" s="2">
        <v>1170496</v>
      </c>
      <c r="B1961" s="3" t="s">
        <v>1556</v>
      </c>
      <c r="C1961" s="3" t="s">
        <v>1010</v>
      </c>
      <c r="D1961" s="3" t="s">
        <v>1020</v>
      </c>
      <c r="E1961" s="3" t="s">
        <v>435</v>
      </c>
      <c r="F1961" s="1">
        <v>45978</v>
      </c>
      <c r="G1961" t="str">
        <f t="shared" si="37"/>
        <v>Nov -2025</v>
      </c>
      <c r="H1961" s="12"/>
    </row>
    <row r="1962" spans="1:8" x14ac:dyDescent="0.3">
      <c r="A1962" s="2">
        <v>1203342</v>
      </c>
      <c r="B1962" s="3" t="s">
        <v>1557</v>
      </c>
      <c r="C1962" s="3" t="s">
        <v>1010</v>
      </c>
      <c r="D1962" s="3" t="s">
        <v>1020</v>
      </c>
      <c r="E1962" s="3" t="s">
        <v>435</v>
      </c>
      <c r="F1962" s="1">
        <v>45978</v>
      </c>
      <c r="G1962" t="str">
        <f t="shared" si="37"/>
        <v>Nov -2025</v>
      </c>
      <c r="H1962" s="12"/>
    </row>
    <row r="1963" spans="1:8" x14ac:dyDescent="0.3">
      <c r="A1963" s="2">
        <v>1203357</v>
      </c>
      <c r="B1963" s="3" t="s">
        <v>1558</v>
      </c>
      <c r="C1963" s="3" t="s">
        <v>1010</v>
      </c>
      <c r="D1963" s="3" t="s">
        <v>1020</v>
      </c>
      <c r="E1963" s="3" t="s">
        <v>435</v>
      </c>
      <c r="F1963" s="1">
        <v>45978</v>
      </c>
      <c r="G1963" t="str">
        <f t="shared" si="37"/>
        <v>Nov -2025</v>
      </c>
      <c r="H1963" s="12"/>
    </row>
    <row r="1964" spans="1:8" x14ac:dyDescent="0.3">
      <c r="A1964" s="2">
        <v>200002684</v>
      </c>
      <c r="B1964" s="3" t="s">
        <v>1559</v>
      </c>
      <c r="C1964" s="3" t="s">
        <v>1010</v>
      </c>
      <c r="D1964" s="3" t="s">
        <v>192</v>
      </c>
      <c r="E1964" s="3" t="s">
        <v>216</v>
      </c>
      <c r="F1964" s="1">
        <v>45978</v>
      </c>
      <c r="G1964" t="str">
        <f t="shared" si="37"/>
        <v>Nov -2025</v>
      </c>
      <c r="H1964" s="12"/>
    </row>
    <row r="1965" spans="1:8" x14ac:dyDescent="0.3">
      <c r="A1965" s="2">
        <v>1199277</v>
      </c>
      <c r="B1965" s="3" t="s">
        <v>25</v>
      </c>
      <c r="C1965" s="3" t="s">
        <v>1010</v>
      </c>
      <c r="D1965" s="3" t="s">
        <v>1020</v>
      </c>
      <c r="E1965" s="3" t="s">
        <v>338</v>
      </c>
      <c r="F1965" s="1">
        <v>45978</v>
      </c>
      <c r="G1965" t="str">
        <f t="shared" ref="G1965:G1968" si="38">TEXT(F1965,"mmm -YYYY")</f>
        <v>Nov -2025</v>
      </c>
      <c r="H1965" s="12"/>
    </row>
    <row r="1966" spans="1:8" x14ac:dyDescent="0.3">
      <c r="A1966" s="2">
        <v>1212678</v>
      </c>
      <c r="B1966" s="3" t="s">
        <v>1560</v>
      </c>
      <c r="C1966" s="3" t="s">
        <v>1010</v>
      </c>
      <c r="D1966" s="3" t="s">
        <v>209</v>
      </c>
      <c r="E1966" s="3" t="s">
        <v>210</v>
      </c>
      <c r="F1966" s="1">
        <v>45978</v>
      </c>
      <c r="G1966" t="str">
        <f t="shared" si="38"/>
        <v>Nov -2025</v>
      </c>
      <c r="H1966" s="12"/>
    </row>
    <row r="1967" spans="1:8" x14ac:dyDescent="0.3">
      <c r="A1967" s="2">
        <v>1213131</v>
      </c>
      <c r="B1967" s="3" t="s">
        <v>1561</v>
      </c>
      <c r="C1967" s="3" t="s">
        <v>1010</v>
      </c>
      <c r="D1967" s="3" t="s">
        <v>1259</v>
      </c>
      <c r="E1967" s="3" t="s">
        <v>228</v>
      </c>
      <c r="F1967" s="1">
        <v>45978</v>
      </c>
      <c r="G1967" t="str">
        <f t="shared" si="38"/>
        <v>Nov -2025</v>
      </c>
      <c r="H1967" s="12"/>
    </row>
    <row r="1968" spans="1:8" x14ac:dyDescent="0.3">
      <c r="A1968" s="2">
        <v>1216154</v>
      </c>
      <c r="B1968" s="3" t="s">
        <v>1562</v>
      </c>
      <c r="C1968" s="3" t="s">
        <v>1010</v>
      </c>
      <c r="D1968" s="3" t="s">
        <v>209</v>
      </c>
      <c r="E1968" s="3" t="s">
        <v>210</v>
      </c>
      <c r="F1968" s="1">
        <v>45979</v>
      </c>
      <c r="G1968" t="str">
        <f t="shared" si="38"/>
        <v>Nov -2025</v>
      </c>
      <c r="H1968" s="12"/>
    </row>
    <row r="1969" spans="1:8" x14ac:dyDescent="0.3">
      <c r="A1969" s="2">
        <v>1216157</v>
      </c>
      <c r="B1969" s="3" t="s">
        <v>1563</v>
      </c>
      <c r="C1969" s="3" t="s">
        <v>1010</v>
      </c>
      <c r="D1969" s="3" t="s">
        <v>209</v>
      </c>
      <c r="E1969" s="3" t="s">
        <v>210</v>
      </c>
      <c r="F1969" s="1">
        <v>45979</v>
      </c>
      <c r="G1969" t="str">
        <f t="shared" ref="G1969:G1976" si="39">TEXT(F1969,"mmm -YYYY")</f>
        <v>Nov -2025</v>
      </c>
      <c r="H1969" s="12"/>
    </row>
    <row r="1970" spans="1:8" x14ac:dyDescent="0.3">
      <c r="A1970" s="2">
        <v>1198433</v>
      </c>
      <c r="B1970" s="3" t="s">
        <v>1300</v>
      </c>
      <c r="C1970" s="3" t="s">
        <v>1010</v>
      </c>
      <c r="D1970" s="3" t="s">
        <v>1020</v>
      </c>
      <c r="E1970" s="3" t="s">
        <v>435</v>
      </c>
      <c r="F1970" s="1">
        <v>45979</v>
      </c>
      <c r="G1970" t="str">
        <f t="shared" si="39"/>
        <v>Nov -2025</v>
      </c>
      <c r="H1970" s="12"/>
    </row>
    <row r="1971" spans="1:8" x14ac:dyDescent="0.3">
      <c r="A1971" s="2">
        <v>1194246</v>
      </c>
      <c r="B1971" s="3" t="s">
        <v>1299</v>
      </c>
      <c r="C1971" s="3" t="s">
        <v>1010</v>
      </c>
      <c r="D1971" s="3" t="s">
        <v>1020</v>
      </c>
      <c r="E1971" s="3" t="s">
        <v>435</v>
      </c>
      <c r="F1971" s="1">
        <v>45979</v>
      </c>
      <c r="G1971" t="str">
        <f t="shared" si="39"/>
        <v>Nov -2025</v>
      </c>
      <c r="H1971" s="12"/>
    </row>
    <row r="1972" spans="1:8" x14ac:dyDescent="0.3">
      <c r="A1972" s="2">
        <v>1213969</v>
      </c>
      <c r="B1972" s="3" t="s">
        <v>1564</v>
      </c>
      <c r="C1972" s="3" t="s">
        <v>1010</v>
      </c>
      <c r="D1972" s="3" t="s">
        <v>1259</v>
      </c>
      <c r="E1972" s="3" t="s">
        <v>228</v>
      </c>
      <c r="F1972" s="1">
        <v>45979</v>
      </c>
      <c r="G1972" t="str">
        <f t="shared" si="39"/>
        <v>Nov -2025</v>
      </c>
      <c r="H1972" s="12"/>
    </row>
    <row r="1973" spans="1:8" x14ac:dyDescent="0.3">
      <c r="A1973" s="2">
        <v>1214018</v>
      </c>
      <c r="B1973" s="3" t="s">
        <v>1565</v>
      </c>
      <c r="C1973" s="3" t="s">
        <v>1010</v>
      </c>
      <c r="D1973" s="3" t="s">
        <v>1259</v>
      </c>
      <c r="E1973" s="3" t="s">
        <v>228</v>
      </c>
      <c r="F1973" s="1">
        <v>45979</v>
      </c>
      <c r="G1973" t="str">
        <f t="shared" si="39"/>
        <v>Nov -2025</v>
      </c>
      <c r="H1973" s="12"/>
    </row>
    <row r="1974" spans="1:8" x14ac:dyDescent="0.3">
      <c r="A1974" s="2">
        <v>1216760</v>
      </c>
      <c r="B1974" s="3" t="s">
        <v>1566</v>
      </c>
      <c r="C1974" s="3" t="s">
        <v>1010</v>
      </c>
      <c r="D1974" s="3" t="s">
        <v>209</v>
      </c>
      <c r="E1974" s="3" t="s">
        <v>225</v>
      </c>
      <c r="F1974" s="1">
        <v>45979</v>
      </c>
      <c r="G1974" t="str">
        <f t="shared" si="39"/>
        <v>Nov -2025</v>
      </c>
      <c r="H1974" s="12"/>
    </row>
    <row r="1975" spans="1:8" x14ac:dyDescent="0.3">
      <c r="A1975" s="2">
        <v>1216886</v>
      </c>
      <c r="B1975" s="3" t="s">
        <v>1566</v>
      </c>
      <c r="C1975" s="3" t="s">
        <v>1010</v>
      </c>
      <c r="D1975" s="3" t="s">
        <v>209</v>
      </c>
      <c r="E1975" s="3" t="s">
        <v>225</v>
      </c>
      <c r="F1975" s="1">
        <v>45979</v>
      </c>
      <c r="G1975" t="str">
        <f t="shared" si="39"/>
        <v>Nov -2025</v>
      </c>
      <c r="H1975" s="12"/>
    </row>
    <row r="1976" spans="1:8" x14ac:dyDescent="0.3">
      <c r="A1976" s="2">
        <v>200002768</v>
      </c>
      <c r="B1976" s="3" t="s">
        <v>1567</v>
      </c>
      <c r="C1976" s="3" t="s">
        <v>1010</v>
      </c>
      <c r="D1976" s="3" t="s">
        <v>192</v>
      </c>
      <c r="E1976" s="3" t="s">
        <v>193</v>
      </c>
      <c r="F1976" s="1">
        <v>45979</v>
      </c>
      <c r="G1976" t="str">
        <f t="shared" si="39"/>
        <v>Nov -2025</v>
      </c>
      <c r="H1976" s="12"/>
    </row>
    <row r="1977" spans="1:8" x14ac:dyDescent="0.3">
      <c r="A1977" s="2">
        <v>100004585</v>
      </c>
      <c r="B1977" s="3" t="s">
        <v>1568</v>
      </c>
      <c r="C1977" s="3" t="s">
        <v>1011</v>
      </c>
      <c r="D1977" s="3" t="s">
        <v>972</v>
      </c>
      <c r="E1977" s="3" t="s">
        <v>1569</v>
      </c>
      <c r="F1977" s="1">
        <v>45979</v>
      </c>
      <c r="G1977" t="str">
        <f t="shared" ref="G1977:G1980" si="40">TEXT(F1977,"mmm -YYYY")</f>
        <v>Nov -2025</v>
      </c>
      <c r="H1977" s="12"/>
    </row>
    <row r="1978" spans="1:8" x14ac:dyDescent="0.3">
      <c r="A1978" s="2">
        <v>100004571</v>
      </c>
      <c r="B1978" s="3" t="s">
        <v>1570</v>
      </c>
      <c r="C1978" s="3" t="s">
        <v>1011</v>
      </c>
      <c r="D1978" s="3" t="s">
        <v>972</v>
      </c>
      <c r="E1978" s="3" t="s">
        <v>967</v>
      </c>
      <c r="F1978" s="1">
        <v>45979</v>
      </c>
      <c r="G1978" t="str">
        <f t="shared" si="40"/>
        <v>Nov -2025</v>
      </c>
      <c r="H1978" s="12"/>
    </row>
    <row r="1979" spans="1:8" x14ac:dyDescent="0.3">
      <c r="A1979" s="2">
        <v>100004554</v>
      </c>
      <c r="B1979" s="3" t="s">
        <v>1571</v>
      </c>
      <c r="C1979" s="3" t="s">
        <v>1011</v>
      </c>
      <c r="D1979" s="3" t="s">
        <v>972</v>
      </c>
      <c r="E1979" s="3" t="s">
        <v>968</v>
      </c>
      <c r="F1979" s="1">
        <v>45979</v>
      </c>
      <c r="G1979" t="str">
        <f t="shared" si="40"/>
        <v>Nov -2025</v>
      </c>
      <c r="H1979" s="12"/>
    </row>
    <row r="1980" spans="1:8" x14ac:dyDescent="0.3">
      <c r="A1980" s="2">
        <v>100004560</v>
      </c>
      <c r="B1980" s="3" t="s">
        <v>1525</v>
      </c>
      <c r="C1980" s="3" t="s">
        <v>1011</v>
      </c>
      <c r="D1980" s="3" t="s">
        <v>972</v>
      </c>
      <c r="E1980" s="3" t="s">
        <v>1526</v>
      </c>
      <c r="F1980" s="1">
        <v>45979</v>
      </c>
      <c r="G1980" t="str">
        <f t="shared" si="40"/>
        <v>Nov -2025</v>
      </c>
      <c r="H1980" s="12"/>
    </row>
    <row r="1981" spans="1:8" x14ac:dyDescent="0.3">
      <c r="A1981" s="2">
        <v>100004591</v>
      </c>
      <c r="B1981" s="3" t="s">
        <v>1572</v>
      </c>
      <c r="C1981" s="3" t="s">
        <v>1011</v>
      </c>
      <c r="D1981" s="3" t="s">
        <v>972</v>
      </c>
      <c r="E1981" s="3" t="s">
        <v>968</v>
      </c>
      <c r="F1981" s="1">
        <v>45979</v>
      </c>
      <c r="G1981" t="str">
        <f t="shared" ref="G1981:G1983" si="41">TEXT(F1981,"mmm -YYYY")</f>
        <v>Nov -2025</v>
      </c>
      <c r="H1981" s="12"/>
    </row>
    <row r="1982" spans="1:8" x14ac:dyDescent="0.3">
      <c r="A1982" s="2">
        <v>900004633</v>
      </c>
      <c r="B1982" s="3" t="s">
        <v>1573</v>
      </c>
      <c r="C1982" s="3" t="s">
        <v>1010</v>
      </c>
      <c r="D1982" s="3" t="s">
        <v>209</v>
      </c>
      <c r="E1982" s="3" t="s">
        <v>322</v>
      </c>
      <c r="F1982" s="1">
        <v>45979</v>
      </c>
      <c r="G1982" t="str">
        <f t="shared" si="41"/>
        <v>Nov -2025</v>
      </c>
      <c r="H1982" s="12"/>
    </row>
    <row r="1983" spans="1:8" x14ac:dyDescent="0.3">
      <c r="A1983" s="2">
        <v>900004633</v>
      </c>
      <c r="B1983" s="3" t="s">
        <v>1573</v>
      </c>
      <c r="C1983" s="3" t="s">
        <v>1010</v>
      </c>
      <c r="D1983" s="3" t="s">
        <v>209</v>
      </c>
      <c r="E1983" s="3" t="s">
        <v>322</v>
      </c>
      <c r="F1983" s="1">
        <v>45980</v>
      </c>
      <c r="G1983" t="str">
        <f t="shared" si="41"/>
        <v>Nov -2025</v>
      </c>
      <c r="H1983" s="12"/>
    </row>
    <row r="1984" spans="1:8" x14ac:dyDescent="0.3">
      <c r="A1984" s="2">
        <v>1220844</v>
      </c>
      <c r="B1984" s="3" t="s">
        <v>1574</v>
      </c>
      <c r="C1984" s="3" t="s">
        <v>1010</v>
      </c>
      <c r="D1984" s="3" t="s">
        <v>209</v>
      </c>
      <c r="E1984" s="3" t="s">
        <v>225</v>
      </c>
      <c r="F1984" s="1">
        <v>45980</v>
      </c>
      <c r="G1984" t="str">
        <f t="shared" ref="G1984:G1994" si="42">TEXT(F1984,"mmm -YYYY")</f>
        <v>Nov -2025</v>
      </c>
      <c r="H1984" s="12"/>
    </row>
    <row r="1985" spans="1:8" x14ac:dyDescent="0.3">
      <c r="A1985" s="2">
        <v>1217882</v>
      </c>
      <c r="B1985" s="3" t="s">
        <v>1575</v>
      </c>
      <c r="C1985" s="3" t="s">
        <v>1010</v>
      </c>
      <c r="D1985" s="3" t="s">
        <v>1259</v>
      </c>
      <c r="E1985" s="3" t="s">
        <v>228</v>
      </c>
      <c r="F1985" s="1">
        <v>45980</v>
      </c>
      <c r="G1985" t="str">
        <f t="shared" si="42"/>
        <v>Nov -2025</v>
      </c>
      <c r="H1985" s="12"/>
    </row>
    <row r="1986" spans="1:8" x14ac:dyDescent="0.3">
      <c r="A1986" s="2">
        <v>200002768</v>
      </c>
      <c r="B1986" s="3" t="s">
        <v>1567</v>
      </c>
      <c r="C1986" s="3" t="s">
        <v>1010</v>
      </c>
      <c r="D1986" s="3" t="s">
        <v>192</v>
      </c>
      <c r="E1986" s="3" t="s">
        <v>193</v>
      </c>
      <c r="F1986" s="1">
        <v>45980</v>
      </c>
      <c r="G1986" t="str">
        <f t="shared" si="42"/>
        <v>Nov -2025</v>
      </c>
      <c r="H1986" s="12"/>
    </row>
    <row r="1987" spans="1:8" x14ac:dyDescent="0.3">
      <c r="A1987" s="2">
        <v>1194767</v>
      </c>
      <c r="B1987" s="3" t="s">
        <v>1576</v>
      </c>
      <c r="C1987" s="3" t="s">
        <v>1010</v>
      </c>
      <c r="D1987" s="3" t="s">
        <v>1020</v>
      </c>
      <c r="E1987" s="3" t="s">
        <v>435</v>
      </c>
      <c r="F1987" s="1">
        <v>45980</v>
      </c>
      <c r="G1987" t="str">
        <f t="shared" si="42"/>
        <v>Nov -2025</v>
      </c>
      <c r="H1987" s="12"/>
    </row>
    <row r="1988" spans="1:8" x14ac:dyDescent="0.3">
      <c r="A1988" s="2">
        <v>1212013</v>
      </c>
      <c r="B1988" s="3" t="s">
        <v>1577</v>
      </c>
      <c r="C1988" s="3" t="s">
        <v>1010</v>
      </c>
      <c r="D1988" s="3" t="s">
        <v>1020</v>
      </c>
      <c r="E1988" s="3" t="s">
        <v>435</v>
      </c>
      <c r="F1988" s="1">
        <v>45980</v>
      </c>
      <c r="G1988" t="str">
        <f t="shared" si="42"/>
        <v>Nov -2025</v>
      </c>
      <c r="H1988" s="12"/>
    </row>
    <row r="1989" spans="1:8" x14ac:dyDescent="0.3">
      <c r="A1989" s="2">
        <v>1204078</v>
      </c>
      <c r="B1989" s="3" t="s">
        <v>1578</v>
      </c>
      <c r="C1989" s="3" t="s">
        <v>1010</v>
      </c>
      <c r="D1989" s="3" t="s">
        <v>1020</v>
      </c>
      <c r="E1989" s="3" t="s">
        <v>338</v>
      </c>
      <c r="F1989" s="1">
        <v>45980</v>
      </c>
      <c r="G1989" t="str">
        <f t="shared" si="42"/>
        <v>Nov -2025</v>
      </c>
      <c r="H1989" s="12"/>
    </row>
    <row r="1990" spans="1:8" x14ac:dyDescent="0.3">
      <c r="A1990" s="2">
        <v>1204173</v>
      </c>
      <c r="B1990" s="3" t="s">
        <v>1578</v>
      </c>
      <c r="C1990" s="3" t="s">
        <v>1010</v>
      </c>
      <c r="D1990" s="3" t="s">
        <v>1020</v>
      </c>
      <c r="E1990" s="3" t="s">
        <v>338</v>
      </c>
      <c r="F1990" s="1">
        <v>45980</v>
      </c>
      <c r="G1990" t="str">
        <f t="shared" si="42"/>
        <v>Nov -2025</v>
      </c>
      <c r="H1990" s="12"/>
    </row>
    <row r="1991" spans="1:8" x14ac:dyDescent="0.3">
      <c r="A1991" s="2">
        <v>1218451</v>
      </c>
      <c r="B1991" s="3" t="s">
        <v>495</v>
      </c>
      <c r="C1991" s="3" t="s">
        <v>1010</v>
      </c>
      <c r="D1991" s="3" t="s">
        <v>1020</v>
      </c>
      <c r="E1991" s="3" t="s">
        <v>338</v>
      </c>
      <c r="F1991" s="1">
        <v>45980</v>
      </c>
      <c r="G1991" t="str">
        <f t="shared" si="42"/>
        <v>Nov -2025</v>
      </c>
      <c r="H1991" s="12"/>
    </row>
    <row r="1992" spans="1:8" x14ac:dyDescent="0.3">
      <c r="A1992" s="2">
        <v>200002797</v>
      </c>
      <c r="B1992" s="3" t="s">
        <v>1579</v>
      </c>
      <c r="C1992" s="3" t="s">
        <v>1010</v>
      </c>
      <c r="D1992" s="3" t="s">
        <v>192</v>
      </c>
      <c r="E1992" s="3" t="s">
        <v>1069</v>
      </c>
      <c r="F1992" s="1">
        <v>45980</v>
      </c>
      <c r="G1992" t="str">
        <f t="shared" si="42"/>
        <v>Nov -2025</v>
      </c>
      <c r="H1992" s="12"/>
    </row>
    <row r="1993" spans="1:8" x14ac:dyDescent="0.3">
      <c r="A1993" s="2">
        <v>200002854</v>
      </c>
      <c r="B1993" s="3" t="s">
        <v>1580</v>
      </c>
      <c r="C1993" s="3" t="s">
        <v>1010</v>
      </c>
      <c r="D1993" s="3" t="s">
        <v>192</v>
      </c>
      <c r="E1993" s="3" t="s">
        <v>193</v>
      </c>
      <c r="F1993" s="1">
        <v>45980</v>
      </c>
      <c r="G1993" t="str">
        <f t="shared" si="42"/>
        <v>Nov -2025</v>
      </c>
      <c r="H1993" s="12"/>
    </row>
    <row r="1994" spans="1:8" x14ac:dyDescent="0.3">
      <c r="A1994" s="2">
        <v>200002863</v>
      </c>
      <c r="B1994" s="3" t="s">
        <v>1581</v>
      </c>
      <c r="C1994" s="3" t="s">
        <v>1010</v>
      </c>
      <c r="D1994" s="3" t="s">
        <v>192</v>
      </c>
      <c r="E1994" s="3" t="s">
        <v>418</v>
      </c>
      <c r="F1994" s="1">
        <v>45980</v>
      </c>
      <c r="G1994" t="str">
        <f t="shared" si="42"/>
        <v>Nov -2025</v>
      </c>
      <c r="H1994" s="12"/>
    </row>
    <row r="1995" spans="1:8" x14ac:dyDescent="0.3">
      <c r="A1995" s="2">
        <v>100004564</v>
      </c>
      <c r="B1995" s="3" t="s">
        <v>1582</v>
      </c>
      <c r="C1995" s="3" t="s">
        <v>1011</v>
      </c>
      <c r="D1995" s="3" t="s">
        <v>972</v>
      </c>
      <c r="E1995" s="3" t="s">
        <v>970</v>
      </c>
      <c r="F1995" s="1">
        <v>45980</v>
      </c>
      <c r="G1995" t="str">
        <f t="shared" ref="G1995:G1997" si="43">TEXT(F1995,"mmm -YYYY")</f>
        <v>Nov -2025</v>
      </c>
      <c r="H1995" s="12"/>
    </row>
    <row r="1996" spans="1:8" x14ac:dyDescent="0.3">
      <c r="A1996" s="2">
        <v>100004561</v>
      </c>
      <c r="B1996" s="3" t="s">
        <v>1525</v>
      </c>
      <c r="C1996" s="3" t="s">
        <v>1011</v>
      </c>
      <c r="D1996" s="3" t="s">
        <v>972</v>
      </c>
      <c r="E1996" s="3" t="s">
        <v>1526</v>
      </c>
      <c r="F1996" s="1">
        <v>45980</v>
      </c>
      <c r="G1996" t="str">
        <f t="shared" si="43"/>
        <v>Nov -2025</v>
      </c>
      <c r="H1996" s="12"/>
    </row>
    <row r="1997" spans="1:8" x14ac:dyDescent="0.3">
      <c r="A1997" s="2">
        <v>100004573</v>
      </c>
      <c r="B1997" s="3" t="s">
        <v>1583</v>
      </c>
      <c r="C1997" s="3" t="s">
        <v>1011</v>
      </c>
      <c r="D1997" s="3" t="s">
        <v>972</v>
      </c>
      <c r="E1997" s="3" t="s">
        <v>976</v>
      </c>
      <c r="F1997" s="1">
        <v>45981</v>
      </c>
      <c r="G1997" t="str">
        <f t="shared" si="43"/>
        <v>Nov -2025</v>
      </c>
      <c r="H1997" s="12"/>
    </row>
    <row r="1998" spans="1:8" x14ac:dyDescent="0.3">
      <c r="A1998" s="2">
        <v>100004568</v>
      </c>
      <c r="B1998" s="3" t="s">
        <v>1584</v>
      </c>
      <c r="C1998" s="3" t="s">
        <v>1011</v>
      </c>
      <c r="D1998" s="3" t="s">
        <v>972</v>
      </c>
      <c r="E1998" s="3" t="s">
        <v>970</v>
      </c>
      <c r="F1998" s="1">
        <v>45981</v>
      </c>
      <c r="G1998" t="str">
        <f t="shared" ref="G1998:G2001" si="44">TEXT(F1998,"mmm -YYYY")</f>
        <v>Nov -2025</v>
      </c>
      <c r="H1998" s="12"/>
    </row>
    <row r="1999" spans="1:8" x14ac:dyDescent="0.3">
      <c r="A1999" s="2">
        <v>100004574</v>
      </c>
      <c r="B1999" s="3" t="s">
        <v>1585</v>
      </c>
      <c r="C1999" s="3" t="s">
        <v>1011</v>
      </c>
      <c r="D1999" s="3" t="s">
        <v>972</v>
      </c>
      <c r="E1999" s="3" t="s">
        <v>971</v>
      </c>
      <c r="F1999" s="1">
        <v>45981</v>
      </c>
      <c r="G1999" t="str">
        <f t="shared" si="44"/>
        <v>Nov -2025</v>
      </c>
      <c r="H1999" s="12"/>
    </row>
    <row r="2000" spans="1:8" x14ac:dyDescent="0.3">
      <c r="A2000" s="2">
        <v>100004569</v>
      </c>
      <c r="B2000" s="3" t="s">
        <v>1586</v>
      </c>
      <c r="C2000" s="3" t="s">
        <v>1011</v>
      </c>
      <c r="D2000" s="3" t="s">
        <v>972</v>
      </c>
      <c r="E2000" s="3" t="s">
        <v>1526</v>
      </c>
      <c r="F2000" s="1">
        <v>45981</v>
      </c>
      <c r="G2000" t="str">
        <f t="shared" si="44"/>
        <v>Nov -2025</v>
      </c>
      <c r="H2000" s="12"/>
    </row>
    <row r="2001" spans="1:8" x14ac:dyDescent="0.3">
      <c r="A2001" s="2">
        <v>100004574</v>
      </c>
      <c r="B2001" s="3" t="s">
        <v>1585</v>
      </c>
      <c r="C2001" s="3" t="s">
        <v>1011</v>
      </c>
      <c r="D2001" s="3" t="s">
        <v>972</v>
      </c>
      <c r="E2001" s="3" t="s">
        <v>971</v>
      </c>
      <c r="F2001" s="1">
        <v>45981</v>
      </c>
      <c r="G2001" t="str">
        <f t="shared" si="44"/>
        <v>Nov -2025</v>
      </c>
      <c r="H2001" s="12"/>
    </row>
    <row r="2002" spans="1:8" x14ac:dyDescent="0.3">
      <c r="A2002" s="2">
        <v>1222160</v>
      </c>
      <c r="B2002" s="3" t="s">
        <v>1587</v>
      </c>
      <c r="C2002" s="3" t="s">
        <v>1010</v>
      </c>
      <c r="D2002" s="3" t="s">
        <v>1020</v>
      </c>
      <c r="E2002" s="3" t="s">
        <v>435</v>
      </c>
      <c r="F2002" s="1">
        <v>45981</v>
      </c>
      <c r="G2002" t="str">
        <f t="shared" ref="G2002:G2011" si="45">TEXT(F2002,"mmm -YYYY")</f>
        <v>Nov -2025</v>
      </c>
      <c r="H2002" s="12"/>
    </row>
    <row r="2003" spans="1:8" x14ac:dyDescent="0.3">
      <c r="A2003" s="2">
        <v>1224611</v>
      </c>
      <c r="B2003" s="3" t="s">
        <v>1588</v>
      </c>
      <c r="C2003" s="3" t="s">
        <v>1010</v>
      </c>
      <c r="D2003" s="3" t="s">
        <v>209</v>
      </c>
      <c r="E2003" s="3" t="s">
        <v>196</v>
      </c>
      <c r="F2003" s="1">
        <v>45981</v>
      </c>
      <c r="G2003" t="str">
        <f t="shared" si="45"/>
        <v>Nov -2025</v>
      </c>
      <c r="H2003" s="12"/>
    </row>
    <row r="2004" spans="1:8" x14ac:dyDescent="0.3">
      <c r="A2004" s="2">
        <v>1225418</v>
      </c>
      <c r="B2004" s="3" t="s">
        <v>1588</v>
      </c>
      <c r="C2004" s="3" t="s">
        <v>1010</v>
      </c>
      <c r="D2004" s="3" t="s">
        <v>209</v>
      </c>
      <c r="E2004" s="3" t="s">
        <v>228</v>
      </c>
      <c r="F2004" s="1">
        <v>45981</v>
      </c>
      <c r="G2004" t="str">
        <f t="shared" si="45"/>
        <v>Nov -2025</v>
      </c>
      <c r="H2004" s="12"/>
    </row>
    <row r="2005" spans="1:8" x14ac:dyDescent="0.3">
      <c r="A2005" s="2">
        <v>900004634</v>
      </c>
      <c r="B2005" s="3" t="s">
        <v>1589</v>
      </c>
      <c r="C2005" s="3" t="s">
        <v>1010</v>
      </c>
      <c r="D2005" s="3" t="s">
        <v>1229</v>
      </c>
      <c r="E2005" s="3" t="s">
        <v>322</v>
      </c>
      <c r="F2005" s="1">
        <v>45981</v>
      </c>
      <c r="G2005" t="str">
        <f t="shared" si="45"/>
        <v>Nov -2025</v>
      </c>
      <c r="H2005" s="12"/>
    </row>
    <row r="2006" spans="1:8" x14ac:dyDescent="0.3">
      <c r="A2006" s="2">
        <v>900005262</v>
      </c>
      <c r="B2006" s="3" t="s">
        <v>1590</v>
      </c>
      <c r="C2006" s="3" t="s">
        <v>1010</v>
      </c>
      <c r="D2006" s="3" t="s">
        <v>1591</v>
      </c>
      <c r="E2006" s="3" t="s">
        <v>322</v>
      </c>
      <c r="F2006" s="1">
        <v>45981</v>
      </c>
      <c r="G2006" t="str">
        <f t="shared" si="45"/>
        <v>Nov -2025</v>
      </c>
      <c r="H2006" s="12"/>
    </row>
    <row r="2007" spans="1:8" x14ac:dyDescent="0.3">
      <c r="A2007" s="2">
        <v>900005263</v>
      </c>
      <c r="B2007" s="3" t="s">
        <v>1592</v>
      </c>
      <c r="C2007" s="3" t="s">
        <v>1010</v>
      </c>
      <c r="D2007" s="3" t="s">
        <v>1591</v>
      </c>
      <c r="E2007" s="3" t="s">
        <v>322</v>
      </c>
      <c r="F2007" s="1">
        <v>45981</v>
      </c>
      <c r="G2007" t="str">
        <f t="shared" si="45"/>
        <v>Nov -2025</v>
      </c>
      <c r="H2007" s="12"/>
    </row>
    <row r="2008" spans="1:8" x14ac:dyDescent="0.3">
      <c r="A2008" s="2">
        <v>200002804</v>
      </c>
      <c r="B2008" s="3" t="s">
        <v>1593</v>
      </c>
      <c r="C2008" s="3" t="s">
        <v>1010</v>
      </c>
      <c r="D2008" s="3" t="s">
        <v>192</v>
      </c>
      <c r="E2008" s="3" t="s">
        <v>193</v>
      </c>
      <c r="F2008" s="1">
        <v>45981</v>
      </c>
      <c r="G2008" t="str">
        <f t="shared" si="45"/>
        <v>Nov -2025</v>
      </c>
      <c r="H2008" s="12"/>
    </row>
    <row r="2009" spans="1:8" x14ac:dyDescent="0.3">
      <c r="A2009" s="2">
        <v>200002870</v>
      </c>
      <c r="B2009" s="3" t="s">
        <v>1594</v>
      </c>
      <c r="C2009" s="3" t="s">
        <v>1010</v>
      </c>
      <c r="D2009" s="3" t="s">
        <v>192</v>
      </c>
      <c r="E2009" s="3" t="s">
        <v>342</v>
      </c>
      <c r="F2009" s="1">
        <v>45981</v>
      </c>
      <c r="G2009" t="str">
        <f t="shared" si="45"/>
        <v>Nov -2025</v>
      </c>
      <c r="H2009" s="12"/>
    </row>
    <row r="2010" spans="1:8" x14ac:dyDescent="0.3">
      <c r="A2010" s="2">
        <v>200002827</v>
      </c>
      <c r="B2010" s="3" t="s">
        <v>1595</v>
      </c>
      <c r="C2010" s="3" t="s">
        <v>1010</v>
      </c>
      <c r="D2010" s="3" t="s">
        <v>192</v>
      </c>
      <c r="E2010" s="3" t="s">
        <v>193</v>
      </c>
      <c r="F2010" s="1">
        <v>45981</v>
      </c>
      <c r="G2010" t="str">
        <f t="shared" si="45"/>
        <v>Nov -2025</v>
      </c>
      <c r="H2010" s="12"/>
    </row>
    <row r="2011" spans="1:8" x14ac:dyDescent="0.3">
      <c r="A2011" s="2">
        <v>1225831</v>
      </c>
      <c r="B2011" s="3" t="s">
        <v>47</v>
      </c>
      <c r="C2011" s="3" t="s">
        <v>1010</v>
      </c>
      <c r="D2011" s="3" t="s">
        <v>1020</v>
      </c>
      <c r="E2011" s="3" t="s">
        <v>211</v>
      </c>
      <c r="F2011" s="1">
        <v>45982</v>
      </c>
      <c r="G2011" t="str">
        <f t="shared" si="45"/>
        <v>Nov -2025</v>
      </c>
      <c r="H2011" s="12"/>
    </row>
    <row r="2012" spans="1:8" x14ac:dyDescent="0.3">
      <c r="A2012" s="2">
        <v>1228808</v>
      </c>
      <c r="B2012" s="3" t="s">
        <v>1596</v>
      </c>
      <c r="C2012" s="3" t="s">
        <v>1010</v>
      </c>
      <c r="D2012" s="3" t="s">
        <v>364</v>
      </c>
      <c r="E2012" s="3" t="s">
        <v>15</v>
      </c>
      <c r="F2012" s="1">
        <v>45982</v>
      </c>
      <c r="G2012" t="str">
        <f t="shared" ref="G2012:G2025" si="46">TEXT(F2012,"mmm -YYYY")</f>
        <v>Nov -2025</v>
      </c>
      <c r="H2012" s="12"/>
    </row>
    <row r="2013" spans="1:8" x14ac:dyDescent="0.3">
      <c r="A2013" s="2">
        <v>1228809</v>
      </c>
      <c r="B2013" s="3" t="s">
        <v>1597</v>
      </c>
      <c r="C2013" s="3" t="s">
        <v>1010</v>
      </c>
      <c r="D2013" s="3" t="s">
        <v>364</v>
      </c>
      <c r="E2013" s="3" t="s">
        <v>15</v>
      </c>
      <c r="F2013" s="1">
        <v>45982</v>
      </c>
      <c r="G2013" t="str">
        <f t="shared" si="46"/>
        <v>Nov -2025</v>
      </c>
      <c r="H2013" s="12"/>
    </row>
    <row r="2014" spans="1:8" x14ac:dyDescent="0.3">
      <c r="A2014" s="2">
        <v>1229190</v>
      </c>
      <c r="B2014" s="3" t="s">
        <v>1598</v>
      </c>
      <c r="C2014" s="3" t="s">
        <v>1010</v>
      </c>
      <c r="D2014" s="3" t="s">
        <v>209</v>
      </c>
      <c r="E2014" s="3" t="s">
        <v>228</v>
      </c>
      <c r="F2014" s="1">
        <v>45982</v>
      </c>
      <c r="G2014" t="str">
        <f t="shared" si="46"/>
        <v>Nov -2025</v>
      </c>
      <c r="H2014" s="12"/>
    </row>
    <row r="2015" spans="1:8" x14ac:dyDescent="0.3">
      <c r="A2015" s="2">
        <v>1229481</v>
      </c>
      <c r="B2015" s="3" t="s">
        <v>1599</v>
      </c>
      <c r="C2015" s="3" t="s">
        <v>1010</v>
      </c>
      <c r="D2015" s="3" t="s">
        <v>209</v>
      </c>
      <c r="E2015" s="3" t="s">
        <v>228</v>
      </c>
      <c r="F2015" s="1">
        <v>45982</v>
      </c>
      <c r="G2015" t="str">
        <f t="shared" si="46"/>
        <v>Nov -2025</v>
      </c>
      <c r="H2015" s="12"/>
    </row>
    <row r="2016" spans="1:8" x14ac:dyDescent="0.3">
      <c r="A2016" s="2">
        <v>1229235</v>
      </c>
      <c r="B2016" s="3" t="s">
        <v>1598</v>
      </c>
      <c r="C2016" s="3" t="s">
        <v>1010</v>
      </c>
      <c r="D2016" s="3" t="s">
        <v>209</v>
      </c>
      <c r="E2016" s="3" t="s">
        <v>228</v>
      </c>
      <c r="F2016" s="1">
        <v>45982</v>
      </c>
      <c r="G2016" t="str">
        <f t="shared" si="46"/>
        <v>Nov -2025</v>
      </c>
      <c r="H2016" s="12"/>
    </row>
    <row r="2017" spans="1:8" x14ac:dyDescent="0.3">
      <c r="A2017" s="2">
        <v>1229319</v>
      </c>
      <c r="B2017" s="3" t="s">
        <v>1598</v>
      </c>
      <c r="C2017" s="3" t="s">
        <v>1010</v>
      </c>
      <c r="D2017" s="3" t="s">
        <v>209</v>
      </c>
      <c r="E2017" s="3" t="s">
        <v>228</v>
      </c>
      <c r="F2017" s="1">
        <v>45982</v>
      </c>
      <c r="G2017" t="str">
        <f t="shared" si="46"/>
        <v>Nov -2025</v>
      </c>
      <c r="H2017" s="12"/>
    </row>
    <row r="2018" spans="1:8" x14ac:dyDescent="0.3">
      <c r="A2018" s="2">
        <v>1229117</v>
      </c>
      <c r="B2018" s="3" t="s">
        <v>1600</v>
      </c>
      <c r="C2018" s="3" t="s">
        <v>1010</v>
      </c>
      <c r="D2018" s="3" t="s">
        <v>364</v>
      </c>
      <c r="E2018" s="3" t="s">
        <v>15</v>
      </c>
      <c r="F2018" s="1">
        <v>45982</v>
      </c>
      <c r="G2018" t="str">
        <f t="shared" si="46"/>
        <v>Nov -2025</v>
      </c>
      <c r="H2018" s="12"/>
    </row>
    <row r="2019" spans="1:8" x14ac:dyDescent="0.3">
      <c r="A2019" s="2">
        <v>1229887</v>
      </c>
      <c r="B2019" s="3" t="s">
        <v>1601</v>
      </c>
      <c r="C2019" s="3" t="s">
        <v>1010</v>
      </c>
      <c r="D2019" s="3" t="s">
        <v>209</v>
      </c>
      <c r="E2019" s="3" t="s">
        <v>210</v>
      </c>
      <c r="F2019" s="1">
        <v>45982</v>
      </c>
      <c r="G2019" t="str">
        <f t="shared" si="46"/>
        <v>Nov -2025</v>
      </c>
      <c r="H2019" s="12"/>
    </row>
    <row r="2020" spans="1:8" x14ac:dyDescent="0.3">
      <c r="A2020" s="2">
        <v>200002869</v>
      </c>
      <c r="B2020" s="3" t="s">
        <v>1602</v>
      </c>
      <c r="C2020" s="3" t="s">
        <v>1010</v>
      </c>
      <c r="D2020" s="3" t="s">
        <v>192</v>
      </c>
      <c r="E2020" s="3" t="s">
        <v>193</v>
      </c>
      <c r="F2020" s="1">
        <v>45982</v>
      </c>
      <c r="G2020" t="str">
        <f t="shared" si="46"/>
        <v>Nov -2025</v>
      </c>
      <c r="H2020" s="12"/>
    </row>
    <row r="2021" spans="1:8" x14ac:dyDescent="0.3">
      <c r="A2021" s="2">
        <v>1229076</v>
      </c>
      <c r="B2021" s="3" t="s">
        <v>1603</v>
      </c>
      <c r="C2021" s="3" t="s">
        <v>1010</v>
      </c>
      <c r="D2021" s="3" t="s">
        <v>364</v>
      </c>
      <c r="E2021" s="3" t="s">
        <v>15</v>
      </c>
      <c r="F2021" s="1">
        <v>45982</v>
      </c>
      <c r="G2021" t="str">
        <f t="shared" si="46"/>
        <v>Nov -2025</v>
      </c>
      <c r="H2021" s="12"/>
    </row>
    <row r="2022" spans="1:8" x14ac:dyDescent="0.3">
      <c r="A2022" s="2">
        <v>900005263</v>
      </c>
      <c r="B2022" s="3" t="s">
        <v>1592</v>
      </c>
      <c r="C2022" s="3" t="s">
        <v>1010</v>
      </c>
      <c r="D2022" s="3" t="s">
        <v>1604</v>
      </c>
      <c r="E2022" s="3" t="s">
        <v>322</v>
      </c>
      <c r="F2022" s="1">
        <v>45982</v>
      </c>
      <c r="G2022" t="str">
        <f t="shared" si="46"/>
        <v>Nov -2025</v>
      </c>
      <c r="H2022" s="12"/>
    </row>
    <row r="2023" spans="1:8" x14ac:dyDescent="0.3">
      <c r="A2023" s="2">
        <v>900005273</v>
      </c>
      <c r="B2023" s="3" t="s">
        <v>306</v>
      </c>
      <c r="C2023" s="3" t="s">
        <v>1010</v>
      </c>
      <c r="D2023" s="3" t="s">
        <v>143</v>
      </c>
      <c r="E2023" s="3" t="s">
        <v>322</v>
      </c>
      <c r="F2023" s="1">
        <v>45982</v>
      </c>
      <c r="G2023" t="str">
        <f t="shared" si="46"/>
        <v>Nov -2025</v>
      </c>
      <c r="H2023" s="12"/>
    </row>
    <row r="2024" spans="1:8" x14ac:dyDescent="0.3">
      <c r="A2024" s="2">
        <v>1230006</v>
      </c>
      <c r="B2024" s="3" t="s">
        <v>1605</v>
      </c>
      <c r="C2024" s="3" t="s">
        <v>1010</v>
      </c>
      <c r="D2024" s="3" t="s">
        <v>364</v>
      </c>
      <c r="E2024" s="3" t="s">
        <v>15</v>
      </c>
      <c r="F2024" s="1">
        <v>45982</v>
      </c>
      <c r="G2024" t="str">
        <f t="shared" si="46"/>
        <v>Nov -2025</v>
      </c>
      <c r="H2024" s="12"/>
    </row>
    <row r="2025" spans="1:8" x14ac:dyDescent="0.3">
      <c r="A2025" s="2">
        <v>900005239</v>
      </c>
      <c r="B2025" s="3" t="s">
        <v>1606</v>
      </c>
      <c r="C2025" s="3" t="s">
        <v>1010</v>
      </c>
      <c r="D2025" s="3" t="s">
        <v>143</v>
      </c>
      <c r="E2025" s="3" t="s">
        <v>322</v>
      </c>
      <c r="F2025" s="1">
        <v>45982</v>
      </c>
      <c r="G2025" t="str">
        <f t="shared" si="46"/>
        <v>Nov -2025</v>
      </c>
      <c r="H2025" s="12"/>
    </row>
    <row r="2026" spans="1:8" x14ac:dyDescent="0.3">
      <c r="A2026" s="2">
        <v>100004575</v>
      </c>
      <c r="B2026" s="3" t="s">
        <v>1607</v>
      </c>
      <c r="C2026" s="3" t="s">
        <v>1011</v>
      </c>
      <c r="D2026" s="3" t="s">
        <v>972</v>
      </c>
      <c r="E2026" s="3" t="s">
        <v>1609</v>
      </c>
      <c r="F2026" s="1">
        <v>45982</v>
      </c>
      <c r="G2026" t="str">
        <f t="shared" ref="G2026:G2028" si="47">TEXT(F2026,"mmm -YYYY")</f>
        <v>Nov -2025</v>
      </c>
      <c r="H2026" s="12"/>
    </row>
    <row r="2027" spans="1:8" x14ac:dyDescent="0.3">
      <c r="A2027" s="2">
        <v>100004563</v>
      </c>
      <c r="B2027" s="3" t="s">
        <v>1608</v>
      </c>
      <c r="C2027" s="3" t="s">
        <v>1011</v>
      </c>
      <c r="D2027" s="3" t="s">
        <v>972</v>
      </c>
      <c r="E2027" s="3" t="s">
        <v>1526</v>
      </c>
      <c r="F2027" s="1">
        <v>45982</v>
      </c>
      <c r="G2027" t="str">
        <f t="shared" si="47"/>
        <v>Nov -2025</v>
      </c>
      <c r="H2027" s="12"/>
    </row>
    <row r="2028" spans="1:8" x14ac:dyDescent="0.3">
      <c r="A2028" s="2">
        <v>100004576</v>
      </c>
      <c r="B2028" s="3" t="s">
        <v>1610</v>
      </c>
      <c r="C2028" s="3" t="s">
        <v>1011</v>
      </c>
      <c r="D2028" s="3" t="s">
        <v>972</v>
      </c>
      <c r="E2028" s="3" t="s">
        <v>976</v>
      </c>
      <c r="F2028" s="1">
        <v>45985</v>
      </c>
      <c r="G2028" t="str">
        <f t="shared" si="47"/>
        <v>Nov -2025</v>
      </c>
      <c r="H2028" s="12"/>
    </row>
    <row r="2029" spans="1:8" x14ac:dyDescent="0.3">
      <c r="A2029" s="2">
        <v>100004632</v>
      </c>
      <c r="B2029" s="3" t="s">
        <v>1611</v>
      </c>
      <c r="C2029" s="3" t="s">
        <v>1011</v>
      </c>
      <c r="D2029" s="3" t="s">
        <v>972</v>
      </c>
      <c r="E2029" s="3" t="s">
        <v>970</v>
      </c>
      <c r="F2029" s="1">
        <v>45985</v>
      </c>
      <c r="G2029" t="str">
        <f t="shared" ref="G2029:G2031" si="48">TEXT(F2029,"mmm -YYYY")</f>
        <v>Nov -2025</v>
      </c>
      <c r="H2029" s="12"/>
    </row>
    <row r="2030" spans="1:8" x14ac:dyDescent="0.3">
      <c r="A2030" s="2">
        <v>100004633</v>
      </c>
      <c r="B2030" s="3" t="s">
        <v>1611</v>
      </c>
      <c r="C2030" s="3" t="s">
        <v>1011</v>
      </c>
      <c r="D2030" s="3" t="s">
        <v>972</v>
      </c>
      <c r="E2030" s="3" t="s">
        <v>970</v>
      </c>
      <c r="F2030" s="1">
        <v>45985</v>
      </c>
      <c r="G2030" t="str">
        <f t="shared" si="48"/>
        <v>Nov -2025</v>
      </c>
      <c r="H2030" s="12"/>
    </row>
    <row r="2031" spans="1:8" x14ac:dyDescent="0.3">
      <c r="A2031" s="2">
        <v>100004630</v>
      </c>
      <c r="B2031" s="3" t="s">
        <v>1612</v>
      </c>
      <c r="C2031" s="3" t="s">
        <v>1011</v>
      </c>
      <c r="D2031" s="3" t="s">
        <v>972</v>
      </c>
      <c r="E2031" s="3" t="s">
        <v>970</v>
      </c>
      <c r="F2031" s="1">
        <v>45985</v>
      </c>
      <c r="G2031" t="str">
        <f t="shared" si="48"/>
        <v>Nov -2025</v>
      </c>
      <c r="H2031" s="12"/>
    </row>
    <row r="2032" spans="1:8" x14ac:dyDescent="0.3">
      <c r="A2032" s="2">
        <v>1230308</v>
      </c>
      <c r="B2032" s="3" t="s">
        <v>1613</v>
      </c>
      <c r="C2032" s="3" t="s">
        <v>1010</v>
      </c>
      <c r="D2032" s="3" t="s">
        <v>1259</v>
      </c>
      <c r="E2032" s="3" t="s">
        <v>228</v>
      </c>
      <c r="F2032" s="1">
        <v>45985</v>
      </c>
      <c r="G2032" t="str">
        <f t="shared" ref="G2032:G2043" si="49">TEXT(F2032,"mmm -YYYY")</f>
        <v>Nov -2025</v>
      </c>
      <c r="H2032" s="12"/>
    </row>
    <row r="2033" spans="1:8" x14ac:dyDescent="0.3">
      <c r="A2033" s="2">
        <v>1230592</v>
      </c>
      <c r="B2033" s="3" t="s">
        <v>1614</v>
      </c>
      <c r="C2033" s="3" t="s">
        <v>1010</v>
      </c>
      <c r="D2033" s="3" t="s">
        <v>1259</v>
      </c>
      <c r="E2033" s="3" t="s">
        <v>228</v>
      </c>
      <c r="F2033" s="1">
        <v>45985</v>
      </c>
      <c r="G2033" t="str">
        <f t="shared" si="49"/>
        <v>Nov -2025</v>
      </c>
      <c r="H2033" s="12"/>
    </row>
    <row r="2034" spans="1:8" x14ac:dyDescent="0.3">
      <c r="A2034" s="2">
        <v>1230220</v>
      </c>
      <c r="B2034" s="3" t="s">
        <v>1615</v>
      </c>
      <c r="C2034" s="3" t="s">
        <v>1010</v>
      </c>
      <c r="D2034" s="3" t="s">
        <v>1259</v>
      </c>
      <c r="E2034" s="3" t="s">
        <v>228</v>
      </c>
      <c r="F2034" s="1">
        <v>45985</v>
      </c>
      <c r="G2034" t="str">
        <f t="shared" si="49"/>
        <v>Nov -2025</v>
      </c>
      <c r="H2034" s="12"/>
    </row>
    <row r="2035" spans="1:8" x14ac:dyDescent="0.3">
      <c r="A2035" s="2">
        <v>200002892</v>
      </c>
      <c r="B2035" s="3" t="s">
        <v>1616</v>
      </c>
      <c r="C2035" s="3" t="s">
        <v>1010</v>
      </c>
      <c r="D2035" s="3" t="s">
        <v>192</v>
      </c>
      <c r="E2035" s="3" t="s">
        <v>216</v>
      </c>
      <c r="F2035" s="1">
        <v>45985</v>
      </c>
      <c r="G2035" t="str">
        <f t="shared" si="49"/>
        <v>Nov -2025</v>
      </c>
      <c r="H2035" s="12"/>
    </row>
    <row r="2036" spans="1:8" x14ac:dyDescent="0.3">
      <c r="A2036" s="2">
        <v>200002777</v>
      </c>
      <c r="B2036" s="3" t="s">
        <v>1617</v>
      </c>
      <c r="C2036" s="3" t="s">
        <v>1010</v>
      </c>
      <c r="D2036" s="3" t="s">
        <v>192</v>
      </c>
      <c r="E2036" s="3" t="s">
        <v>1618</v>
      </c>
      <c r="F2036" s="1">
        <v>45985</v>
      </c>
      <c r="G2036" t="str">
        <f t="shared" si="49"/>
        <v>Nov -2025</v>
      </c>
      <c r="H2036" s="12"/>
    </row>
    <row r="2037" spans="1:8" x14ac:dyDescent="0.3">
      <c r="A2037" s="2">
        <v>900005300</v>
      </c>
      <c r="B2037" s="3" t="s">
        <v>321</v>
      </c>
      <c r="C2037" s="3" t="s">
        <v>1010</v>
      </c>
      <c r="D2037" s="3" t="s">
        <v>143</v>
      </c>
      <c r="E2037" s="3" t="s">
        <v>322</v>
      </c>
      <c r="F2037" s="1">
        <v>45985</v>
      </c>
      <c r="G2037" t="str">
        <f t="shared" si="49"/>
        <v>Nov -2025</v>
      </c>
      <c r="H2037" s="12"/>
    </row>
    <row r="2038" spans="1:8" x14ac:dyDescent="0.3">
      <c r="A2038" s="2">
        <v>900004634</v>
      </c>
      <c r="B2038" s="3" t="s">
        <v>1589</v>
      </c>
      <c r="C2038" s="3" t="s">
        <v>1010</v>
      </c>
      <c r="D2038" s="3" t="s">
        <v>1229</v>
      </c>
      <c r="E2038" s="3" t="s">
        <v>322</v>
      </c>
      <c r="F2038" s="1">
        <v>45985</v>
      </c>
      <c r="G2038" t="str">
        <f t="shared" si="49"/>
        <v>Nov -2025</v>
      </c>
      <c r="H2038" s="12"/>
    </row>
    <row r="2039" spans="1:8" x14ac:dyDescent="0.3">
      <c r="A2039" s="2">
        <v>200002881</v>
      </c>
      <c r="B2039" s="3" t="s">
        <v>191</v>
      </c>
      <c r="C2039" s="3" t="s">
        <v>1010</v>
      </c>
      <c r="D2039" s="3" t="s">
        <v>192</v>
      </c>
      <c r="E2039" s="3" t="s">
        <v>193</v>
      </c>
      <c r="F2039" s="1">
        <v>45985</v>
      </c>
      <c r="G2039" t="str">
        <f t="shared" si="49"/>
        <v>Nov -2025</v>
      </c>
      <c r="H2039" s="12"/>
    </row>
    <row r="2040" spans="1:8" x14ac:dyDescent="0.3">
      <c r="A2040" s="2">
        <v>200002872</v>
      </c>
      <c r="B2040" s="3" t="s">
        <v>1619</v>
      </c>
      <c r="C2040" s="3" t="s">
        <v>1010</v>
      </c>
      <c r="D2040" s="3" t="s">
        <v>192</v>
      </c>
      <c r="E2040" s="3" t="s">
        <v>1618</v>
      </c>
      <c r="F2040" s="1">
        <v>45985</v>
      </c>
      <c r="G2040" t="str">
        <f t="shared" si="49"/>
        <v>Nov -2025</v>
      </c>
      <c r="H2040" s="12"/>
    </row>
    <row r="2041" spans="1:8" x14ac:dyDescent="0.3">
      <c r="A2041" s="2">
        <v>1224968</v>
      </c>
      <c r="B2041" s="3" t="s">
        <v>41</v>
      </c>
      <c r="C2041" s="3" t="s">
        <v>1010</v>
      </c>
      <c r="D2041" s="3" t="s">
        <v>1020</v>
      </c>
      <c r="E2041" s="3" t="s">
        <v>211</v>
      </c>
      <c r="F2041" s="1">
        <v>45985</v>
      </c>
      <c r="G2041" t="str">
        <f t="shared" si="49"/>
        <v>Nov -2025</v>
      </c>
      <c r="H2041" s="12"/>
    </row>
    <row r="2042" spans="1:8" x14ac:dyDescent="0.3">
      <c r="A2042" s="2">
        <v>1225831</v>
      </c>
      <c r="B2042" s="3" t="s">
        <v>47</v>
      </c>
      <c r="C2042" s="3" t="s">
        <v>1010</v>
      </c>
      <c r="D2042" s="3" t="s">
        <v>1020</v>
      </c>
      <c r="E2042" s="3" t="s">
        <v>211</v>
      </c>
      <c r="F2042" s="1">
        <v>45985</v>
      </c>
      <c r="G2042" t="str">
        <f t="shared" si="49"/>
        <v>Nov -2025</v>
      </c>
      <c r="H2042" s="12"/>
    </row>
    <row r="2043" spans="1:8" x14ac:dyDescent="0.3">
      <c r="A2043" s="2">
        <v>900005105</v>
      </c>
      <c r="B2043" s="3" t="s">
        <v>1621</v>
      </c>
      <c r="C2043" s="3" t="s">
        <v>1010</v>
      </c>
      <c r="D2043" s="3" t="s">
        <v>1604</v>
      </c>
      <c r="E2043" s="3" t="s">
        <v>322</v>
      </c>
      <c r="F2043" s="1">
        <v>45986</v>
      </c>
      <c r="G2043" t="str">
        <f t="shared" si="49"/>
        <v>Nov -2025</v>
      </c>
      <c r="H2043" s="12"/>
    </row>
    <row r="2044" spans="1:8" x14ac:dyDescent="0.3">
      <c r="A2044" s="2">
        <v>900004635</v>
      </c>
      <c r="B2044" s="3" t="s">
        <v>1622</v>
      </c>
      <c r="C2044" s="3" t="s">
        <v>1010</v>
      </c>
      <c r="D2044" s="3" t="s">
        <v>209</v>
      </c>
      <c r="E2044" s="3" t="s">
        <v>322</v>
      </c>
      <c r="F2044" s="1">
        <v>45986</v>
      </c>
      <c r="G2044" t="str">
        <f t="shared" ref="G2044:G2060" si="50">TEXT(F2044,"mmm -YYYY")</f>
        <v>Nov -2025</v>
      </c>
      <c r="H2044" s="12"/>
    </row>
    <row r="2045" spans="1:8" x14ac:dyDescent="0.3">
      <c r="A2045" s="2">
        <v>1229187</v>
      </c>
      <c r="B2045" s="3" t="s">
        <v>1623</v>
      </c>
      <c r="C2045" s="3" t="s">
        <v>1010</v>
      </c>
      <c r="D2045" s="3" t="s">
        <v>1020</v>
      </c>
      <c r="E2045" s="3" t="s">
        <v>435</v>
      </c>
      <c r="F2045" s="1">
        <v>45986</v>
      </c>
      <c r="G2045" t="str">
        <f t="shared" si="50"/>
        <v>Nov -2025</v>
      </c>
      <c r="H2045" s="12"/>
    </row>
    <row r="2046" spans="1:8" x14ac:dyDescent="0.3">
      <c r="A2046" s="2">
        <v>1229130</v>
      </c>
      <c r="B2046" s="3" t="s">
        <v>1417</v>
      </c>
      <c r="C2046" s="3" t="s">
        <v>1010</v>
      </c>
      <c r="D2046" s="3" t="s">
        <v>1020</v>
      </c>
      <c r="E2046" s="3" t="s">
        <v>435</v>
      </c>
      <c r="F2046" s="1">
        <v>45986</v>
      </c>
      <c r="G2046" t="str">
        <f t="shared" si="50"/>
        <v>Nov -2025</v>
      </c>
      <c r="H2046" s="12"/>
    </row>
    <row r="2047" spans="1:8" x14ac:dyDescent="0.3">
      <c r="A2047" s="2">
        <v>200002894</v>
      </c>
      <c r="B2047" s="3" t="s">
        <v>1624</v>
      </c>
      <c r="C2047" s="3" t="s">
        <v>1010</v>
      </c>
      <c r="D2047" s="3" t="s">
        <v>192</v>
      </c>
      <c r="E2047" s="3" t="s">
        <v>216</v>
      </c>
      <c r="F2047" s="1">
        <v>45986</v>
      </c>
      <c r="G2047" t="str">
        <f t="shared" si="50"/>
        <v>Nov -2025</v>
      </c>
      <c r="H2047" s="12"/>
    </row>
    <row r="2048" spans="1:8" x14ac:dyDescent="0.3">
      <c r="A2048" s="2">
        <v>200002895</v>
      </c>
      <c r="B2048" s="3" t="s">
        <v>1625</v>
      </c>
      <c r="C2048" s="3" t="s">
        <v>1010</v>
      </c>
      <c r="D2048" s="3" t="s">
        <v>192</v>
      </c>
      <c r="E2048" s="3" t="s">
        <v>216</v>
      </c>
      <c r="F2048" s="1">
        <v>45986</v>
      </c>
      <c r="G2048" t="str">
        <f t="shared" si="50"/>
        <v>Nov -2025</v>
      </c>
      <c r="H2048" s="12"/>
    </row>
    <row r="2049" spans="1:8" x14ac:dyDescent="0.3">
      <c r="A2049" s="2">
        <v>1225292</v>
      </c>
      <c r="B2049" s="3" t="s">
        <v>1626</v>
      </c>
      <c r="C2049" s="3" t="s">
        <v>1010</v>
      </c>
      <c r="D2049" s="3" t="s">
        <v>1020</v>
      </c>
      <c r="E2049" s="3" t="s">
        <v>435</v>
      </c>
      <c r="F2049" s="1">
        <v>45986</v>
      </c>
      <c r="G2049" t="str">
        <f t="shared" si="50"/>
        <v>Nov -2025</v>
      </c>
      <c r="H2049" s="12"/>
    </row>
    <row r="2050" spans="1:8" x14ac:dyDescent="0.3">
      <c r="A2050" s="2">
        <v>1245063</v>
      </c>
      <c r="B2050" s="3" t="s">
        <v>1627</v>
      </c>
      <c r="C2050" s="3" t="s">
        <v>1010</v>
      </c>
      <c r="D2050" s="3" t="s">
        <v>209</v>
      </c>
      <c r="E2050" s="3" t="s">
        <v>225</v>
      </c>
      <c r="F2050" s="1">
        <v>45986</v>
      </c>
      <c r="G2050" t="str">
        <f t="shared" si="50"/>
        <v>Nov -2025</v>
      </c>
      <c r="H2050" s="12"/>
    </row>
    <row r="2051" spans="1:8" x14ac:dyDescent="0.3">
      <c r="A2051" s="2">
        <v>1244959</v>
      </c>
      <c r="B2051" s="3" t="s">
        <v>1628</v>
      </c>
      <c r="C2051" s="3" t="s">
        <v>1010</v>
      </c>
      <c r="D2051" s="3" t="s">
        <v>209</v>
      </c>
      <c r="E2051" s="3" t="s">
        <v>228</v>
      </c>
      <c r="F2051" s="1">
        <v>45986</v>
      </c>
      <c r="G2051" t="str">
        <f t="shared" si="50"/>
        <v>Nov -2025</v>
      </c>
      <c r="H2051" s="12"/>
    </row>
    <row r="2052" spans="1:8" x14ac:dyDescent="0.3">
      <c r="A2052" s="2">
        <v>1245011</v>
      </c>
      <c r="B2052" s="3" t="s">
        <v>1629</v>
      </c>
      <c r="C2052" s="3" t="s">
        <v>1010</v>
      </c>
      <c r="D2052" s="3" t="s">
        <v>209</v>
      </c>
      <c r="E2052" s="3" t="s">
        <v>228</v>
      </c>
      <c r="F2052" s="1">
        <v>45986</v>
      </c>
      <c r="G2052" t="str">
        <f t="shared" si="50"/>
        <v>Nov -2025</v>
      </c>
      <c r="H2052" s="12"/>
    </row>
    <row r="2053" spans="1:8" x14ac:dyDescent="0.3">
      <c r="A2053" s="2">
        <v>1245064</v>
      </c>
      <c r="B2053" s="3" t="s">
        <v>1627</v>
      </c>
      <c r="C2053" s="3" t="s">
        <v>1010</v>
      </c>
      <c r="D2053" s="3" t="s">
        <v>209</v>
      </c>
      <c r="E2053" s="3" t="s">
        <v>225</v>
      </c>
      <c r="F2053" s="1">
        <v>45986</v>
      </c>
      <c r="G2053" t="str">
        <f t="shared" si="50"/>
        <v>Nov -2025</v>
      </c>
      <c r="H2053" s="12"/>
    </row>
    <row r="2054" spans="1:8" x14ac:dyDescent="0.3">
      <c r="A2054" s="2">
        <v>1244583</v>
      </c>
      <c r="B2054" s="3" t="s">
        <v>1630</v>
      </c>
      <c r="C2054" s="3" t="s">
        <v>1010</v>
      </c>
      <c r="D2054" s="3" t="s">
        <v>209</v>
      </c>
      <c r="E2054" s="3" t="s">
        <v>228</v>
      </c>
      <c r="F2054" s="1">
        <v>45986</v>
      </c>
      <c r="G2054" t="str">
        <f t="shared" si="50"/>
        <v>Nov -2025</v>
      </c>
      <c r="H2054" s="12"/>
    </row>
    <row r="2055" spans="1:8" x14ac:dyDescent="0.3">
      <c r="A2055" s="2">
        <v>900005299</v>
      </c>
      <c r="B2055" s="3" t="s">
        <v>1631</v>
      </c>
      <c r="C2055" s="3" t="s">
        <v>1010</v>
      </c>
      <c r="D2055" s="3" t="s">
        <v>1604</v>
      </c>
      <c r="E2055" s="3" t="s">
        <v>322</v>
      </c>
      <c r="F2055" s="1">
        <v>45986</v>
      </c>
      <c r="G2055" t="str">
        <f t="shared" si="50"/>
        <v>Nov -2025</v>
      </c>
      <c r="H2055" s="12"/>
    </row>
    <row r="2056" spans="1:8" x14ac:dyDescent="0.3">
      <c r="A2056" s="2">
        <v>100004630</v>
      </c>
      <c r="B2056" s="3" t="s">
        <v>1612</v>
      </c>
      <c r="C2056" s="3" t="s">
        <v>1011</v>
      </c>
      <c r="D2056" s="3" t="s">
        <v>972</v>
      </c>
      <c r="E2056" s="3" t="s">
        <v>970</v>
      </c>
      <c r="F2056" s="1">
        <v>45986</v>
      </c>
      <c r="G2056" t="str">
        <f t="shared" si="50"/>
        <v>Nov -2025</v>
      </c>
      <c r="H2056" s="12"/>
    </row>
    <row r="2057" spans="1:8" x14ac:dyDescent="0.3">
      <c r="A2057" s="2">
        <v>100004611</v>
      </c>
      <c r="B2057" s="3" t="s">
        <v>1632</v>
      </c>
      <c r="C2057" s="3" t="s">
        <v>1011</v>
      </c>
      <c r="D2057" s="3" t="s">
        <v>972</v>
      </c>
      <c r="E2057" s="3" t="s">
        <v>967</v>
      </c>
      <c r="F2057" s="1">
        <v>45986</v>
      </c>
      <c r="G2057" t="str">
        <f t="shared" si="50"/>
        <v>Nov -2025</v>
      </c>
      <c r="H2057" s="12"/>
    </row>
    <row r="2058" spans="1:8" x14ac:dyDescent="0.3">
      <c r="A2058" s="2">
        <v>100004612</v>
      </c>
      <c r="B2058" s="3" t="s">
        <v>1633</v>
      </c>
      <c r="C2058" s="3" t="s">
        <v>1011</v>
      </c>
      <c r="D2058" s="3" t="s">
        <v>972</v>
      </c>
      <c r="E2058" s="3" t="s">
        <v>1569</v>
      </c>
      <c r="F2058" s="1">
        <v>45986</v>
      </c>
      <c r="G2058" t="str">
        <f t="shared" si="50"/>
        <v>Nov -2025</v>
      </c>
      <c r="H2058" s="12"/>
    </row>
    <row r="2059" spans="1:8" x14ac:dyDescent="0.3">
      <c r="A2059" s="2">
        <v>100004640</v>
      </c>
      <c r="B2059" s="3" t="s">
        <v>1634</v>
      </c>
      <c r="C2059" s="3" t="s">
        <v>1011</v>
      </c>
      <c r="D2059" s="3" t="s">
        <v>972</v>
      </c>
      <c r="E2059" s="3" t="s">
        <v>970</v>
      </c>
      <c r="F2059" s="1">
        <v>45986</v>
      </c>
      <c r="G2059" t="str">
        <f t="shared" si="50"/>
        <v>Nov -2025</v>
      </c>
      <c r="H2059" s="12"/>
    </row>
    <row r="2060" spans="1:8" x14ac:dyDescent="0.3">
      <c r="A2060" s="2">
        <v>100004608</v>
      </c>
      <c r="B2060" s="3" t="s">
        <v>1635</v>
      </c>
      <c r="C2060" s="3" t="s">
        <v>1011</v>
      </c>
      <c r="D2060" s="3" t="s">
        <v>972</v>
      </c>
      <c r="E2060" s="3" t="s">
        <v>967</v>
      </c>
      <c r="F2060" s="1">
        <v>45987</v>
      </c>
      <c r="G2060" t="str">
        <f t="shared" si="50"/>
        <v>Nov -2025</v>
      </c>
      <c r="H2060" s="12"/>
    </row>
    <row r="2061" spans="1:8" x14ac:dyDescent="0.3">
      <c r="A2061" s="2">
        <v>100004617</v>
      </c>
      <c r="B2061" s="3" t="s">
        <v>1636</v>
      </c>
      <c r="C2061" s="3" t="s">
        <v>1011</v>
      </c>
      <c r="D2061" s="3" t="s">
        <v>972</v>
      </c>
      <c r="E2061" s="3" t="s">
        <v>967</v>
      </c>
      <c r="F2061" s="1">
        <v>45987</v>
      </c>
      <c r="G2061" t="str">
        <f t="shared" ref="G2061:G2071" si="51">TEXT(F2061,"mmm -YYYY")</f>
        <v>Nov -2025</v>
      </c>
      <c r="H2061" s="12"/>
    </row>
    <row r="2062" spans="1:8" x14ac:dyDescent="0.3">
      <c r="A2062" s="2">
        <v>100004614</v>
      </c>
      <c r="B2062" s="3" t="s">
        <v>1637</v>
      </c>
      <c r="C2062" s="3" t="s">
        <v>1011</v>
      </c>
      <c r="D2062" s="3" t="s">
        <v>972</v>
      </c>
      <c r="E2062" s="3" t="s">
        <v>967</v>
      </c>
      <c r="F2062" s="1">
        <v>45987</v>
      </c>
      <c r="G2062" t="str">
        <f t="shared" si="51"/>
        <v>Nov -2025</v>
      </c>
      <c r="H2062" s="12"/>
    </row>
    <row r="2063" spans="1:8" x14ac:dyDescent="0.3">
      <c r="A2063" s="2">
        <v>100004612</v>
      </c>
      <c r="B2063" s="3" t="s">
        <v>1633</v>
      </c>
      <c r="C2063" s="3" t="s">
        <v>1011</v>
      </c>
      <c r="D2063" s="3" t="s">
        <v>972</v>
      </c>
      <c r="E2063" s="3" t="s">
        <v>1569</v>
      </c>
      <c r="F2063" s="1">
        <v>45987</v>
      </c>
      <c r="G2063" t="str">
        <f t="shared" si="51"/>
        <v>Nov -2025</v>
      </c>
      <c r="H2063" s="12"/>
    </row>
    <row r="2064" spans="1:8" x14ac:dyDescent="0.3">
      <c r="A2064" s="2">
        <v>1199262</v>
      </c>
      <c r="B2064" s="3" t="s">
        <v>403</v>
      </c>
      <c r="C2064" s="3" t="s">
        <v>1010</v>
      </c>
      <c r="D2064" s="3" t="s">
        <v>1020</v>
      </c>
      <c r="E2064" s="3" t="s">
        <v>338</v>
      </c>
      <c r="F2064" s="1">
        <v>45987</v>
      </c>
      <c r="G2064" t="str">
        <f t="shared" si="51"/>
        <v>Nov -2025</v>
      </c>
      <c r="H2064" s="12"/>
    </row>
    <row r="2065" spans="1:8" x14ac:dyDescent="0.3">
      <c r="A2065" s="2">
        <v>1230305</v>
      </c>
      <c r="B2065" s="3" t="s">
        <v>1417</v>
      </c>
      <c r="C2065" s="3" t="s">
        <v>1010</v>
      </c>
      <c r="D2065" s="3" t="s">
        <v>1020</v>
      </c>
      <c r="E2065" s="3" t="s">
        <v>435</v>
      </c>
      <c r="F2065" s="1">
        <v>45987</v>
      </c>
      <c r="G2065" t="str">
        <f t="shared" si="51"/>
        <v>Nov -2025</v>
      </c>
      <c r="H2065" s="12"/>
    </row>
    <row r="2066" spans="1:8" x14ac:dyDescent="0.3">
      <c r="A2066" s="2">
        <v>900005311</v>
      </c>
      <c r="B2066" s="3" t="s">
        <v>1638</v>
      </c>
      <c r="C2066" s="3" t="s">
        <v>1010</v>
      </c>
      <c r="D2066" s="3" t="s">
        <v>1551</v>
      </c>
      <c r="E2066" s="3" t="s">
        <v>322</v>
      </c>
      <c r="F2066" s="1">
        <v>45987</v>
      </c>
      <c r="G2066" t="str">
        <f t="shared" si="51"/>
        <v>Nov -2025</v>
      </c>
      <c r="H2066" s="12"/>
    </row>
    <row r="2067" spans="1:8" x14ac:dyDescent="0.3">
      <c r="A2067" s="2">
        <v>900005331</v>
      </c>
      <c r="B2067" s="3" t="s">
        <v>1546</v>
      </c>
      <c r="C2067" s="3" t="s">
        <v>1010</v>
      </c>
      <c r="D2067" s="3" t="s">
        <v>1551</v>
      </c>
      <c r="E2067" s="3" t="s">
        <v>322</v>
      </c>
      <c r="F2067" s="1">
        <v>45987</v>
      </c>
      <c r="G2067" t="str">
        <f t="shared" si="51"/>
        <v>Nov -2025</v>
      </c>
      <c r="H2067" s="12"/>
    </row>
    <row r="2068" spans="1:8" x14ac:dyDescent="0.3">
      <c r="A2068" s="2">
        <v>1224968</v>
      </c>
      <c r="B2068" s="3" t="s">
        <v>41</v>
      </c>
      <c r="C2068" s="3" t="s">
        <v>1010</v>
      </c>
      <c r="D2068" s="3" t="s">
        <v>1020</v>
      </c>
      <c r="E2068" s="3" t="s">
        <v>211</v>
      </c>
      <c r="F2068" s="1">
        <v>45987</v>
      </c>
      <c r="G2068" t="str">
        <f t="shared" si="51"/>
        <v>Nov -2025</v>
      </c>
      <c r="H2068" s="12"/>
    </row>
    <row r="2069" spans="1:8" x14ac:dyDescent="0.3">
      <c r="A2069" s="2">
        <v>900005334</v>
      </c>
      <c r="B2069" s="3" t="s">
        <v>1546</v>
      </c>
      <c r="C2069" s="3" t="s">
        <v>1010</v>
      </c>
      <c r="D2069" s="3" t="s">
        <v>1551</v>
      </c>
      <c r="E2069" s="3" t="s">
        <v>322</v>
      </c>
      <c r="F2069" s="1">
        <v>45987</v>
      </c>
      <c r="G2069" t="str">
        <f t="shared" si="51"/>
        <v>Nov -2025</v>
      </c>
      <c r="H2069" s="12"/>
    </row>
    <row r="2070" spans="1:8" x14ac:dyDescent="0.3">
      <c r="A2070" s="2">
        <v>200002901</v>
      </c>
      <c r="B2070" s="3" t="s">
        <v>1639</v>
      </c>
      <c r="C2070" s="3" t="s">
        <v>1010</v>
      </c>
      <c r="D2070" s="3" t="s">
        <v>192</v>
      </c>
      <c r="E2070" s="3" t="s">
        <v>216</v>
      </c>
      <c r="F2070" s="1">
        <v>45987</v>
      </c>
      <c r="G2070" t="str">
        <f t="shared" si="51"/>
        <v>Nov -2025</v>
      </c>
      <c r="H2070" s="12"/>
    </row>
    <row r="2071" spans="1:8" x14ac:dyDescent="0.3">
      <c r="A2071" s="2">
        <v>200002859</v>
      </c>
      <c r="B2071" s="3" t="s">
        <v>1640</v>
      </c>
      <c r="C2071" s="3" t="s">
        <v>1010</v>
      </c>
      <c r="D2071" s="3" t="s">
        <v>192</v>
      </c>
      <c r="E2071" s="3" t="s">
        <v>216</v>
      </c>
      <c r="F2071" s="1">
        <v>45988</v>
      </c>
      <c r="G2071" t="str">
        <f t="shared" si="51"/>
        <v>Nov -2025</v>
      </c>
      <c r="H2071" s="12"/>
    </row>
    <row r="2072" spans="1:8" x14ac:dyDescent="0.3">
      <c r="A2072" s="2">
        <v>200002809</v>
      </c>
      <c r="B2072" s="3" t="s">
        <v>1641</v>
      </c>
      <c r="C2072" s="3" t="s">
        <v>1010</v>
      </c>
      <c r="D2072" s="3" t="s">
        <v>192</v>
      </c>
      <c r="E2072" s="3" t="s">
        <v>216</v>
      </c>
      <c r="F2072" s="1">
        <v>45988</v>
      </c>
      <c r="G2072" t="str">
        <f t="shared" ref="G2072:G2077" si="52">TEXT(F2072,"mmm -YYYY")</f>
        <v>Nov -2025</v>
      </c>
      <c r="H2072" s="12"/>
    </row>
    <row r="2073" spans="1:8" x14ac:dyDescent="0.3">
      <c r="A2073" s="2">
        <v>200002913</v>
      </c>
      <c r="B2073" s="3" t="s">
        <v>1642</v>
      </c>
      <c r="C2073" s="3" t="s">
        <v>1010</v>
      </c>
      <c r="D2073" s="3" t="s">
        <v>192</v>
      </c>
      <c r="E2073" s="3" t="s">
        <v>287</v>
      </c>
      <c r="F2073" s="1">
        <v>45988</v>
      </c>
      <c r="G2073" t="str">
        <f t="shared" si="52"/>
        <v>Nov -2025</v>
      </c>
      <c r="H2073" s="12"/>
    </row>
    <row r="2074" spans="1:8" x14ac:dyDescent="0.3">
      <c r="A2074" s="2">
        <v>900005334</v>
      </c>
      <c r="B2074" s="3" t="s">
        <v>1546</v>
      </c>
      <c r="C2074" s="3" t="s">
        <v>1010</v>
      </c>
      <c r="D2074" s="3" t="s">
        <v>1551</v>
      </c>
      <c r="E2074" s="3" t="s">
        <v>322</v>
      </c>
      <c r="F2074" s="1">
        <v>45988</v>
      </c>
      <c r="G2074" t="str">
        <f t="shared" si="52"/>
        <v>Nov -2025</v>
      </c>
      <c r="H2074" s="12"/>
    </row>
    <row r="2075" spans="1:8" x14ac:dyDescent="0.3">
      <c r="A2075" s="2">
        <v>200001495</v>
      </c>
      <c r="B2075" s="3" t="s">
        <v>1643</v>
      </c>
      <c r="C2075" s="3" t="s">
        <v>1010</v>
      </c>
      <c r="D2075" s="3" t="s">
        <v>1229</v>
      </c>
      <c r="E2075" s="3" t="s">
        <v>7</v>
      </c>
      <c r="F2075" s="1">
        <v>45988</v>
      </c>
      <c r="G2075" t="str">
        <f t="shared" si="52"/>
        <v>Nov -2025</v>
      </c>
      <c r="H2075" s="12"/>
    </row>
    <row r="2076" spans="1:8" x14ac:dyDescent="0.3">
      <c r="A2076" s="2">
        <v>1253131</v>
      </c>
      <c r="B2076" s="3" t="s">
        <v>1644</v>
      </c>
      <c r="C2076" s="3" t="s">
        <v>1010</v>
      </c>
      <c r="D2076" s="3" t="s">
        <v>209</v>
      </c>
      <c r="E2076" s="3" t="s">
        <v>225</v>
      </c>
      <c r="F2076" s="1">
        <v>45988</v>
      </c>
      <c r="G2076" t="str">
        <f t="shared" si="52"/>
        <v>Nov -2025</v>
      </c>
      <c r="H2076" s="12"/>
    </row>
    <row r="2077" spans="1:8" x14ac:dyDescent="0.3">
      <c r="A2077" s="2">
        <v>900005327</v>
      </c>
      <c r="B2077" s="3" t="s">
        <v>1645</v>
      </c>
      <c r="C2077" s="3" t="s">
        <v>1010</v>
      </c>
      <c r="D2077" s="3" t="s">
        <v>1551</v>
      </c>
      <c r="E2077" s="3" t="s">
        <v>322</v>
      </c>
      <c r="F2077" s="1">
        <v>45988</v>
      </c>
      <c r="G2077" t="str">
        <f t="shared" si="52"/>
        <v>Nov -2025</v>
      </c>
      <c r="H2077" s="12"/>
    </row>
    <row r="2078" spans="1:8" x14ac:dyDescent="0.3">
      <c r="A2078" s="2">
        <v>100004661</v>
      </c>
      <c r="B2078" s="3" t="s">
        <v>1633</v>
      </c>
      <c r="C2078" s="3" t="s">
        <v>1011</v>
      </c>
      <c r="D2078" s="3" t="s">
        <v>972</v>
      </c>
      <c r="E2078" s="3" t="s">
        <v>1569</v>
      </c>
      <c r="F2078" s="1">
        <v>45988</v>
      </c>
      <c r="G2078" t="str">
        <f t="shared" ref="G2078:G2080" si="53">TEXT(F2078,"mmm -YYYY")</f>
        <v>Nov -2025</v>
      </c>
      <c r="H2078" s="12"/>
    </row>
    <row r="2079" spans="1:8" x14ac:dyDescent="0.3">
      <c r="A2079" s="2">
        <v>100004653</v>
      </c>
      <c r="B2079" s="3" t="s">
        <v>1646</v>
      </c>
      <c r="C2079" s="3" t="s">
        <v>1011</v>
      </c>
      <c r="D2079" s="3" t="s">
        <v>972</v>
      </c>
      <c r="E2079" s="3" t="s">
        <v>1569</v>
      </c>
      <c r="F2079" s="1">
        <v>45988</v>
      </c>
      <c r="G2079" t="str">
        <f t="shared" si="53"/>
        <v>Nov -2025</v>
      </c>
      <c r="H2079" s="12"/>
    </row>
    <row r="2080" spans="1:8" x14ac:dyDescent="0.3">
      <c r="A2080" s="2">
        <v>900005360</v>
      </c>
      <c r="B2080" s="3" t="s">
        <v>1647</v>
      </c>
      <c r="C2080" s="3" t="s">
        <v>1010</v>
      </c>
      <c r="D2080" s="3" t="s">
        <v>1551</v>
      </c>
      <c r="E2080" s="3" t="s">
        <v>322</v>
      </c>
      <c r="F2080" s="1">
        <v>45989</v>
      </c>
      <c r="G2080" t="str">
        <f t="shared" si="53"/>
        <v>Nov -2025</v>
      </c>
      <c r="H2080" s="12"/>
    </row>
    <row r="2081" spans="1:8" x14ac:dyDescent="0.3">
      <c r="A2081" s="2">
        <v>900005314</v>
      </c>
      <c r="B2081" s="3" t="s">
        <v>1648</v>
      </c>
      <c r="C2081" s="3" t="s">
        <v>1010</v>
      </c>
      <c r="D2081" s="3" t="s">
        <v>1551</v>
      </c>
      <c r="E2081" s="3" t="s">
        <v>322</v>
      </c>
      <c r="F2081" s="1">
        <v>45989</v>
      </c>
      <c r="G2081" t="str">
        <f t="shared" ref="G2081:G2091" si="54">TEXT(F2081,"mmm -YYYY")</f>
        <v>Nov -2025</v>
      </c>
      <c r="H2081" s="12"/>
    </row>
    <row r="2082" spans="1:8" x14ac:dyDescent="0.3">
      <c r="A2082" s="2">
        <v>900005334</v>
      </c>
      <c r="B2082" s="3" t="s">
        <v>1546</v>
      </c>
      <c r="C2082" s="3" t="s">
        <v>1010</v>
      </c>
      <c r="D2082" s="3" t="s">
        <v>1551</v>
      </c>
      <c r="E2082" s="3" t="s">
        <v>322</v>
      </c>
      <c r="F2082" s="1">
        <v>45989</v>
      </c>
      <c r="G2082" t="str">
        <f t="shared" si="54"/>
        <v>Nov -2025</v>
      </c>
      <c r="H2082" s="12"/>
    </row>
    <row r="2083" spans="1:8" x14ac:dyDescent="0.3">
      <c r="A2083" s="2">
        <v>200002942</v>
      </c>
      <c r="B2083" s="3" t="s">
        <v>1649</v>
      </c>
      <c r="C2083" s="3" t="s">
        <v>1010</v>
      </c>
      <c r="D2083" s="3" t="s">
        <v>192</v>
      </c>
      <c r="E2083" s="3" t="s">
        <v>193</v>
      </c>
      <c r="F2083" s="1">
        <v>45989</v>
      </c>
      <c r="G2083" t="str">
        <f t="shared" si="54"/>
        <v>Nov -2025</v>
      </c>
      <c r="H2083" s="12"/>
    </row>
    <row r="2084" spans="1:8" x14ac:dyDescent="0.3">
      <c r="A2084" s="2">
        <v>1254080</v>
      </c>
      <c r="B2084" s="3" t="s">
        <v>1650</v>
      </c>
      <c r="C2084" s="3" t="s">
        <v>1010</v>
      </c>
      <c r="D2084" s="3" t="s">
        <v>209</v>
      </c>
      <c r="E2084" s="3" t="s">
        <v>357</v>
      </c>
      <c r="F2084" s="1">
        <v>45989</v>
      </c>
      <c r="G2084" t="str">
        <f t="shared" si="54"/>
        <v>Nov -2025</v>
      </c>
      <c r="H2084" s="12"/>
    </row>
    <row r="2085" spans="1:8" x14ac:dyDescent="0.3">
      <c r="A2085" s="2">
        <v>1255037</v>
      </c>
      <c r="B2085" s="3" t="s">
        <v>1651</v>
      </c>
      <c r="C2085" s="3" t="s">
        <v>1010</v>
      </c>
      <c r="D2085" s="3" t="s">
        <v>1259</v>
      </c>
      <c r="E2085" s="3" t="s">
        <v>228</v>
      </c>
      <c r="F2085" s="1">
        <v>45989</v>
      </c>
      <c r="G2085" t="str">
        <f t="shared" si="54"/>
        <v>Nov -2025</v>
      </c>
      <c r="H2085" s="12"/>
    </row>
    <row r="2086" spans="1:8" x14ac:dyDescent="0.3">
      <c r="A2086" s="2">
        <v>900005342</v>
      </c>
      <c r="B2086" s="3" t="s">
        <v>1652</v>
      </c>
      <c r="C2086" s="3" t="s">
        <v>1010</v>
      </c>
      <c r="D2086" s="3" t="s">
        <v>1551</v>
      </c>
      <c r="E2086" s="3" t="s">
        <v>322</v>
      </c>
      <c r="F2086" s="1">
        <v>45989</v>
      </c>
      <c r="G2086" t="str">
        <f t="shared" si="54"/>
        <v>Nov -2025</v>
      </c>
      <c r="H2086" s="12"/>
    </row>
    <row r="2087" spans="1:8" x14ac:dyDescent="0.3">
      <c r="A2087" s="2">
        <v>900004636</v>
      </c>
      <c r="B2087" s="3" t="s">
        <v>1653</v>
      </c>
      <c r="C2087" s="3" t="s">
        <v>1010</v>
      </c>
      <c r="D2087" s="3" t="s">
        <v>209</v>
      </c>
      <c r="E2087" s="3" t="s">
        <v>322</v>
      </c>
      <c r="F2087" s="1">
        <v>45989</v>
      </c>
      <c r="G2087" t="str">
        <f t="shared" si="54"/>
        <v>Nov -2025</v>
      </c>
      <c r="H2087" s="12"/>
    </row>
    <row r="2088" spans="1:8" x14ac:dyDescent="0.3">
      <c r="A2088" s="2">
        <v>100004626</v>
      </c>
      <c r="B2088" s="3" t="s">
        <v>1654</v>
      </c>
      <c r="C2088" s="3" t="s">
        <v>1011</v>
      </c>
      <c r="D2088" s="3" t="s">
        <v>972</v>
      </c>
      <c r="E2088" s="3" t="s">
        <v>1569</v>
      </c>
      <c r="F2088" s="1">
        <v>45989</v>
      </c>
      <c r="G2088" t="str">
        <f t="shared" si="54"/>
        <v>Nov -2025</v>
      </c>
      <c r="H2088" s="12"/>
    </row>
    <row r="2089" spans="1:8" x14ac:dyDescent="0.3">
      <c r="A2089" s="2">
        <v>100004681</v>
      </c>
      <c r="B2089" s="3" t="s">
        <v>1655</v>
      </c>
      <c r="C2089" s="3" t="s">
        <v>1011</v>
      </c>
      <c r="D2089" s="3" t="s">
        <v>972</v>
      </c>
      <c r="E2089" s="3" t="s">
        <v>1569</v>
      </c>
      <c r="F2089" s="1">
        <v>45989</v>
      </c>
      <c r="G2089" t="str">
        <f t="shared" si="54"/>
        <v>Nov -2025</v>
      </c>
      <c r="H2089" s="12"/>
    </row>
    <row r="2090" spans="1:8" x14ac:dyDescent="0.3">
      <c r="A2090" s="2">
        <v>100004692</v>
      </c>
      <c r="B2090" s="3" t="s">
        <v>1656</v>
      </c>
      <c r="C2090" s="3" t="s">
        <v>1011</v>
      </c>
      <c r="D2090" s="3" t="s">
        <v>972</v>
      </c>
      <c r="E2090" s="3" t="s">
        <v>1569</v>
      </c>
      <c r="F2090" s="1">
        <v>45989</v>
      </c>
      <c r="G2090" t="str">
        <f t="shared" si="54"/>
        <v>Nov -2025</v>
      </c>
      <c r="H2090" s="12"/>
    </row>
    <row r="2091" spans="1:8" x14ac:dyDescent="0.3">
      <c r="A2091" s="2">
        <v>100004681</v>
      </c>
      <c r="B2091" s="3" t="s">
        <v>1655</v>
      </c>
      <c r="C2091" s="3" t="s">
        <v>1011</v>
      </c>
      <c r="D2091" s="3" t="s">
        <v>972</v>
      </c>
      <c r="E2091" s="3" t="s">
        <v>1569</v>
      </c>
      <c r="F2091" s="1">
        <v>45992</v>
      </c>
      <c r="G2091" t="str">
        <f t="shared" si="54"/>
        <v>Dec -2025</v>
      </c>
      <c r="H2091" s="12"/>
    </row>
    <row r="2092" spans="1:8" x14ac:dyDescent="0.3">
      <c r="A2092" s="2">
        <v>100004644</v>
      </c>
      <c r="B2092" s="3" t="s">
        <v>1586</v>
      </c>
      <c r="C2092" s="3" t="s">
        <v>1011</v>
      </c>
      <c r="D2092" s="3" t="s">
        <v>972</v>
      </c>
      <c r="E2092" s="3" t="s">
        <v>1526</v>
      </c>
      <c r="F2092" s="1">
        <v>45992</v>
      </c>
      <c r="G2092" t="str">
        <f t="shared" ref="G2092" si="55">TEXT(F2092,"mmm -YYYY")</f>
        <v>Dec -2025</v>
      </c>
      <c r="H2092" s="12"/>
    </row>
    <row r="2093" spans="1:8" x14ac:dyDescent="0.3">
      <c r="A2093" s="2">
        <v>900004636</v>
      </c>
      <c r="B2093" s="3" t="s">
        <v>1653</v>
      </c>
      <c r="C2093" s="3" t="s">
        <v>1010</v>
      </c>
      <c r="D2093" s="3" t="s">
        <v>209</v>
      </c>
      <c r="E2093" s="3" t="s">
        <v>322</v>
      </c>
      <c r="F2093" s="1">
        <v>45992</v>
      </c>
      <c r="G2093" t="str">
        <f t="shared" ref="G2093:G2109" si="56">TEXT(F2093,"mmm -YYYY")</f>
        <v>Dec -2025</v>
      </c>
      <c r="H2093" s="12"/>
    </row>
    <row r="2094" spans="1:8" x14ac:dyDescent="0.3">
      <c r="A2094" s="2">
        <v>1267075</v>
      </c>
      <c r="B2094" s="3" t="s">
        <v>1390</v>
      </c>
      <c r="C2094" s="3" t="s">
        <v>1010</v>
      </c>
      <c r="D2094" s="3" t="s">
        <v>209</v>
      </c>
      <c r="E2094" s="3" t="s">
        <v>225</v>
      </c>
      <c r="F2094" s="1">
        <v>45992</v>
      </c>
      <c r="G2094" t="str">
        <f t="shared" si="56"/>
        <v>Dec -2025</v>
      </c>
      <c r="H2094" s="12"/>
    </row>
    <row r="2095" spans="1:8" x14ac:dyDescent="0.3">
      <c r="A2095" s="2">
        <v>1267133</v>
      </c>
      <c r="B2095" s="3" t="s">
        <v>1390</v>
      </c>
      <c r="C2095" s="3" t="s">
        <v>1010</v>
      </c>
      <c r="D2095" s="3" t="s">
        <v>209</v>
      </c>
      <c r="E2095" s="3" t="s">
        <v>225</v>
      </c>
      <c r="F2095" s="1">
        <v>45992</v>
      </c>
      <c r="G2095" t="str">
        <f t="shared" si="56"/>
        <v>Dec -2025</v>
      </c>
      <c r="H2095" s="12"/>
    </row>
    <row r="2096" spans="1:8" x14ac:dyDescent="0.3">
      <c r="A2096" s="2">
        <v>200001497</v>
      </c>
      <c r="B2096" s="3" t="s">
        <v>1250</v>
      </c>
      <c r="C2096" s="3" t="s">
        <v>1010</v>
      </c>
      <c r="D2096" s="3" t="s">
        <v>1229</v>
      </c>
      <c r="E2096" s="3" t="s">
        <v>7</v>
      </c>
      <c r="F2096" s="1">
        <v>45992</v>
      </c>
      <c r="G2096" t="str">
        <f t="shared" si="56"/>
        <v>Dec -2025</v>
      </c>
      <c r="H2096" s="12"/>
    </row>
    <row r="2097" spans="1:8" x14ac:dyDescent="0.3">
      <c r="A2097" s="2">
        <v>1267138</v>
      </c>
      <c r="B2097" s="3" t="s">
        <v>47</v>
      </c>
      <c r="C2097" s="3" t="s">
        <v>1010</v>
      </c>
      <c r="D2097" s="3" t="s">
        <v>1020</v>
      </c>
      <c r="E2097" s="3" t="s">
        <v>211</v>
      </c>
      <c r="F2097" s="1">
        <v>45992</v>
      </c>
      <c r="G2097" t="str">
        <f t="shared" si="56"/>
        <v>Dec -2025</v>
      </c>
      <c r="H2097" s="12"/>
    </row>
    <row r="2098" spans="1:8" x14ac:dyDescent="0.3">
      <c r="A2098" s="2">
        <v>1267069</v>
      </c>
      <c r="B2098" s="3" t="s">
        <v>47</v>
      </c>
      <c r="C2098" s="3" t="s">
        <v>1010</v>
      </c>
      <c r="D2098" s="3" t="s">
        <v>1020</v>
      </c>
      <c r="E2098" s="3" t="s">
        <v>211</v>
      </c>
      <c r="F2098" s="1">
        <v>45992</v>
      </c>
      <c r="G2098" t="str">
        <f t="shared" si="56"/>
        <v>Dec -2025</v>
      </c>
      <c r="H2098" s="12"/>
    </row>
    <row r="2099" spans="1:8" x14ac:dyDescent="0.3">
      <c r="A2099" s="2">
        <v>900004637</v>
      </c>
      <c r="B2099" s="3" t="s">
        <v>1657</v>
      </c>
      <c r="C2099" s="3" t="s">
        <v>1010</v>
      </c>
      <c r="D2099" s="3" t="s">
        <v>209</v>
      </c>
      <c r="E2099" s="3" t="s">
        <v>322</v>
      </c>
      <c r="F2099" s="1">
        <v>45992</v>
      </c>
      <c r="G2099" t="str">
        <f t="shared" si="56"/>
        <v>Dec -2025</v>
      </c>
      <c r="H2099" s="12"/>
    </row>
    <row r="2100" spans="1:8" x14ac:dyDescent="0.3">
      <c r="A2100" s="2">
        <v>900004638</v>
      </c>
      <c r="B2100" s="3" t="s">
        <v>1658</v>
      </c>
      <c r="C2100" s="3" t="s">
        <v>1010</v>
      </c>
      <c r="D2100" s="3" t="s">
        <v>209</v>
      </c>
      <c r="E2100" s="3" t="s">
        <v>322</v>
      </c>
      <c r="F2100" s="1">
        <v>45992</v>
      </c>
      <c r="G2100" t="str">
        <f t="shared" si="56"/>
        <v>Dec -2025</v>
      </c>
      <c r="H2100" s="12"/>
    </row>
    <row r="2101" spans="1:8" x14ac:dyDescent="0.3">
      <c r="A2101" s="2">
        <v>1199281</v>
      </c>
      <c r="B2101" s="3" t="s">
        <v>403</v>
      </c>
      <c r="C2101" s="3" t="s">
        <v>1010</v>
      </c>
      <c r="D2101" s="3" t="s">
        <v>1020</v>
      </c>
      <c r="E2101" s="3" t="s">
        <v>338</v>
      </c>
      <c r="F2101" s="1">
        <v>45992</v>
      </c>
      <c r="G2101" t="str">
        <f t="shared" si="56"/>
        <v>Dec -2025</v>
      </c>
      <c r="H2101" s="12"/>
    </row>
    <row r="2102" spans="1:8" x14ac:dyDescent="0.3">
      <c r="A2102" s="2">
        <v>1267518</v>
      </c>
      <c r="B2102" s="3" t="s">
        <v>41</v>
      </c>
      <c r="C2102" s="3" t="s">
        <v>1010</v>
      </c>
      <c r="D2102" s="3" t="s">
        <v>1020</v>
      </c>
      <c r="E2102" s="3" t="s">
        <v>211</v>
      </c>
      <c r="F2102" s="1">
        <v>45992</v>
      </c>
      <c r="G2102" t="str">
        <f t="shared" si="56"/>
        <v>Dec -2025</v>
      </c>
      <c r="H2102" s="12"/>
    </row>
    <row r="2103" spans="1:8" x14ac:dyDescent="0.3">
      <c r="A2103" s="2">
        <v>1267649</v>
      </c>
      <c r="B2103" s="3" t="s">
        <v>41</v>
      </c>
      <c r="C2103" s="3" t="s">
        <v>1010</v>
      </c>
      <c r="D2103" s="3" t="s">
        <v>1020</v>
      </c>
      <c r="E2103" s="3" t="s">
        <v>211</v>
      </c>
      <c r="F2103" s="1">
        <v>45992</v>
      </c>
      <c r="G2103" t="str">
        <f t="shared" si="56"/>
        <v>Dec -2025</v>
      </c>
      <c r="H2103" s="12"/>
    </row>
    <row r="2104" spans="1:8" x14ac:dyDescent="0.3">
      <c r="A2104" s="2">
        <v>200001500</v>
      </c>
      <c r="B2104" s="3" t="s">
        <v>1250</v>
      </c>
      <c r="C2104" s="3" t="s">
        <v>1010</v>
      </c>
      <c r="D2104" s="3" t="s">
        <v>1229</v>
      </c>
      <c r="E2104" s="3" t="s">
        <v>7</v>
      </c>
      <c r="F2104" s="1">
        <v>45992</v>
      </c>
      <c r="G2104" t="str">
        <f t="shared" si="56"/>
        <v>Dec -2025</v>
      </c>
      <c r="H2104" s="12"/>
    </row>
    <row r="2105" spans="1:8" x14ac:dyDescent="0.3">
      <c r="A2105" s="2">
        <v>200001501</v>
      </c>
      <c r="B2105" s="3" t="s">
        <v>1250</v>
      </c>
      <c r="C2105" s="3" t="s">
        <v>1010</v>
      </c>
      <c r="D2105" s="3" t="s">
        <v>1229</v>
      </c>
      <c r="E2105" s="3" t="s">
        <v>7</v>
      </c>
      <c r="F2105" s="1">
        <v>45992</v>
      </c>
      <c r="G2105" t="str">
        <f t="shared" si="56"/>
        <v>Dec -2025</v>
      </c>
      <c r="H2105" s="12"/>
    </row>
    <row r="2106" spans="1:8" x14ac:dyDescent="0.3">
      <c r="A2106" s="2">
        <v>1267848</v>
      </c>
      <c r="B2106" s="3" t="s">
        <v>1659</v>
      </c>
      <c r="C2106" s="3" t="s">
        <v>1010</v>
      </c>
      <c r="D2106" s="3" t="s">
        <v>209</v>
      </c>
      <c r="E2106" s="3" t="s">
        <v>228</v>
      </c>
      <c r="F2106" s="1">
        <v>45992</v>
      </c>
      <c r="G2106" t="str">
        <f t="shared" si="56"/>
        <v>Dec -2025</v>
      </c>
      <c r="H2106" s="12"/>
    </row>
    <row r="2107" spans="1:8" x14ac:dyDescent="0.3">
      <c r="A2107" s="2">
        <v>100004695</v>
      </c>
      <c r="B2107" s="3" t="s">
        <v>1660</v>
      </c>
      <c r="C2107" s="3" t="s">
        <v>1011</v>
      </c>
      <c r="D2107" s="3" t="s">
        <v>972</v>
      </c>
      <c r="E2107" s="3" t="s">
        <v>981</v>
      </c>
      <c r="F2107" s="1">
        <v>45993</v>
      </c>
      <c r="G2107" t="str">
        <f t="shared" si="56"/>
        <v>Dec -2025</v>
      </c>
      <c r="H2107" s="12"/>
    </row>
    <row r="2108" spans="1:8" x14ac:dyDescent="0.3">
      <c r="A2108" s="2">
        <v>100004645</v>
      </c>
      <c r="B2108" s="3" t="s">
        <v>1586</v>
      </c>
      <c r="C2108" s="3" t="s">
        <v>1011</v>
      </c>
      <c r="D2108" s="3" t="s">
        <v>972</v>
      </c>
      <c r="E2108" s="3" t="s">
        <v>1526</v>
      </c>
      <c r="F2108" s="1">
        <v>45993</v>
      </c>
      <c r="G2108" t="str">
        <f t="shared" si="56"/>
        <v>Dec -2025</v>
      </c>
      <c r="H2108" s="12"/>
    </row>
    <row r="2109" spans="1:8" x14ac:dyDescent="0.3">
      <c r="A2109" s="2">
        <v>100004648</v>
      </c>
      <c r="B2109" s="3" t="s">
        <v>1661</v>
      </c>
      <c r="C2109" s="3" t="s">
        <v>1011</v>
      </c>
      <c r="D2109" s="3" t="s">
        <v>972</v>
      </c>
      <c r="E2109" s="3" t="s">
        <v>970</v>
      </c>
      <c r="F2109" s="1">
        <v>45993</v>
      </c>
      <c r="G2109" t="str">
        <f t="shared" si="56"/>
        <v>Dec -2025</v>
      </c>
      <c r="H2109" s="12"/>
    </row>
    <row r="2110" spans="1:8" x14ac:dyDescent="0.3">
      <c r="A2110" s="2">
        <v>1268527</v>
      </c>
      <c r="B2110" s="3" t="s">
        <v>53</v>
      </c>
      <c r="C2110" s="3" t="s">
        <v>1010</v>
      </c>
      <c r="D2110" s="3" t="s">
        <v>1020</v>
      </c>
      <c r="E2110" s="3" t="s">
        <v>268</v>
      </c>
      <c r="F2110" s="1">
        <v>45993</v>
      </c>
      <c r="G2110" t="str">
        <f t="shared" ref="G2110:G2137" si="57">TEXT(F2110,"mmm -YYYY")</f>
        <v>Dec -2025</v>
      </c>
      <c r="H2110" s="12"/>
    </row>
    <row r="2111" spans="1:8" x14ac:dyDescent="0.3">
      <c r="A2111" s="2">
        <v>1270672</v>
      </c>
      <c r="B2111" s="3" t="s">
        <v>1662</v>
      </c>
      <c r="C2111" s="3" t="s">
        <v>1010</v>
      </c>
      <c r="D2111" s="3" t="s">
        <v>209</v>
      </c>
      <c r="E2111" s="3" t="s">
        <v>210</v>
      </c>
      <c r="F2111" s="1">
        <v>45993</v>
      </c>
      <c r="G2111" t="str">
        <f t="shared" si="57"/>
        <v>Dec -2025</v>
      </c>
      <c r="H2111" s="12"/>
    </row>
    <row r="2112" spans="1:8" x14ac:dyDescent="0.3">
      <c r="A2112" s="2">
        <v>1270674</v>
      </c>
      <c r="B2112" s="3" t="s">
        <v>1663</v>
      </c>
      <c r="C2112" s="3" t="s">
        <v>1010</v>
      </c>
      <c r="D2112" s="3" t="s">
        <v>209</v>
      </c>
      <c r="E2112" s="3" t="s">
        <v>210</v>
      </c>
      <c r="F2112" s="1">
        <v>45993</v>
      </c>
      <c r="G2112" t="str">
        <f t="shared" si="57"/>
        <v>Dec -2025</v>
      </c>
      <c r="H2112" s="12"/>
    </row>
    <row r="2113" spans="1:8" x14ac:dyDescent="0.3">
      <c r="A2113" s="2">
        <v>1270675</v>
      </c>
      <c r="B2113" s="3" t="s">
        <v>1664</v>
      </c>
      <c r="C2113" s="3" t="s">
        <v>1010</v>
      </c>
      <c r="D2113" s="3" t="s">
        <v>209</v>
      </c>
      <c r="E2113" s="3" t="s">
        <v>210</v>
      </c>
      <c r="F2113" s="1">
        <v>45993</v>
      </c>
      <c r="G2113" t="str">
        <f t="shared" si="57"/>
        <v>Dec -2025</v>
      </c>
      <c r="H2113" s="12"/>
    </row>
    <row r="2114" spans="1:8" x14ac:dyDescent="0.3">
      <c r="A2114" s="2">
        <v>1270676</v>
      </c>
      <c r="B2114" s="3" t="s">
        <v>1665</v>
      </c>
      <c r="C2114" s="3" t="s">
        <v>1010</v>
      </c>
      <c r="D2114" s="3" t="s">
        <v>209</v>
      </c>
      <c r="E2114" s="3" t="s">
        <v>210</v>
      </c>
      <c r="F2114" s="1">
        <v>45993</v>
      </c>
      <c r="G2114" t="str">
        <f t="shared" si="57"/>
        <v>Dec -2025</v>
      </c>
      <c r="H2114" s="12"/>
    </row>
    <row r="2115" spans="1:8" x14ac:dyDescent="0.3">
      <c r="A2115" s="2">
        <v>1267133</v>
      </c>
      <c r="B2115" s="3" t="s">
        <v>1390</v>
      </c>
      <c r="C2115" s="3" t="s">
        <v>1010</v>
      </c>
      <c r="D2115" s="3" t="s">
        <v>209</v>
      </c>
      <c r="E2115" s="3" t="s">
        <v>225</v>
      </c>
      <c r="F2115" s="1">
        <v>45993</v>
      </c>
      <c r="G2115" t="str">
        <f t="shared" si="57"/>
        <v>Dec -2025</v>
      </c>
      <c r="H2115" s="12"/>
    </row>
    <row r="2116" spans="1:8" x14ac:dyDescent="0.3">
      <c r="A2116" s="2">
        <v>1190754</v>
      </c>
      <c r="B2116" s="3" t="s">
        <v>1666</v>
      </c>
      <c r="C2116" s="3" t="s">
        <v>1010</v>
      </c>
      <c r="D2116" s="3" t="s">
        <v>209</v>
      </c>
      <c r="E2116" s="3" t="s">
        <v>210</v>
      </c>
      <c r="F2116" s="1">
        <v>45993</v>
      </c>
      <c r="G2116" t="str">
        <f t="shared" si="57"/>
        <v>Dec -2025</v>
      </c>
      <c r="H2116" s="12"/>
    </row>
    <row r="2117" spans="1:8" x14ac:dyDescent="0.3">
      <c r="A2117" s="2">
        <v>1190755</v>
      </c>
      <c r="B2117" s="3" t="s">
        <v>1667</v>
      </c>
      <c r="C2117" s="3" t="s">
        <v>1010</v>
      </c>
      <c r="D2117" s="3" t="s">
        <v>209</v>
      </c>
      <c r="E2117" s="3" t="s">
        <v>210</v>
      </c>
      <c r="F2117" s="1">
        <v>45993</v>
      </c>
      <c r="G2117" t="str">
        <f t="shared" si="57"/>
        <v>Dec -2025</v>
      </c>
      <c r="H2117" s="12"/>
    </row>
    <row r="2118" spans="1:8" x14ac:dyDescent="0.3">
      <c r="A2118" s="2">
        <v>900004636</v>
      </c>
      <c r="B2118" s="3" t="s">
        <v>1653</v>
      </c>
      <c r="C2118" s="3" t="s">
        <v>1010</v>
      </c>
      <c r="D2118" s="3" t="s">
        <v>209</v>
      </c>
      <c r="E2118" s="3" t="s">
        <v>322</v>
      </c>
      <c r="F2118" s="1">
        <v>45993</v>
      </c>
      <c r="G2118" t="str">
        <f t="shared" si="57"/>
        <v>Dec -2025</v>
      </c>
      <c r="H2118" s="12"/>
    </row>
    <row r="2119" spans="1:8" x14ac:dyDescent="0.3">
      <c r="A2119" s="2">
        <v>200002767</v>
      </c>
      <c r="B2119" s="3" t="s">
        <v>1668</v>
      </c>
      <c r="C2119" s="3" t="s">
        <v>1010</v>
      </c>
      <c r="D2119" s="3" t="s">
        <v>192</v>
      </c>
      <c r="E2119" s="3" t="s">
        <v>1618</v>
      </c>
      <c r="F2119" s="1">
        <v>45993</v>
      </c>
      <c r="G2119" t="str">
        <f t="shared" si="57"/>
        <v>Dec -2025</v>
      </c>
      <c r="H2119" s="12"/>
    </row>
    <row r="2120" spans="1:8" x14ac:dyDescent="0.3">
      <c r="A2120" s="2">
        <v>1271518</v>
      </c>
      <c r="B2120" s="3" t="s">
        <v>1669</v>
      </c>
      <c r="C2120" s="3" t="s">
        <v>1010</v>
      </c>
      <c r="D2120" s="3" t="s">
        <v>209</v>
      </c>
      <c r="E2120" s="3" t="s">
        <v>210</v>
      </c>
      <c r="F2120" s="1">
        <v>45993</v>
      </c>
      <c r="G2120" t="str">
        <f t="shared" si="57"/>
        <v>Dec -2025</v>
      </c>
      <c r="H2120" s="12"/>
    </row>
    <row r="2121" spans="1:8" x14ac:dyDescent="0.3">
      <c r="A2121" s="2">
        <v>1271630</v>
      </c>
      <c r="B2121" s="3" t="s">
        <v>1669</v>
      </c>
      <c r="C2121" s="3" t="s">
        <v>1010</v>
      </c>
      <c r="D2121" s="3" t="s">
        <v>209</v>
      </c>
      <c r="E2121" s="3" t="s">
        <v>210</v>
      </c>
      <c r="F2121" s="1">
        <v>45993</v>
      </c>
      <c r="G2121" t="str">
        <f t="shared" si="57"/>
        <v>Dec -2025</v>
      </c>
      <c r="H2121" s="12"/>
    </row>
    <row r="2122" spans="1:8" x14ac:dyDescent="0.3">
      <c r="A2122" s="2">
        <v>1271692</v>
      </c>
      <c r="B2122" s="3" t="s">
        <v>1669</v>
      </c>
      <c r="C2122" s="3" t="s">
        <v>1010</v>
      </c>
      <c r="D2122" s="3" t="s">
        <v>209</v>
      </c>
      <c r="E2122" s="3" t="s">
        <v>210</v>
      </c>
      <c r="F2122" s="1">
        <v>45993</v>
      </c>
      <c r="G2122" t="str">
        <f t="shared" si="57"/>
        <v>Dec -2025</v>
      </c>
      <c r="H2122" s="12"/>
    </row>
    <row r="2123" spans="1:8" x14ac:dyDescent="0.3">
      <c r="A2123" s="2">
        <v>1271701</v>
      </c>
      <c r="B2123" s="3" t="s">
        <v>1669</v>
      </c>
      <c r="C2123" s="3" t="s">
        <v>1010</v>
      </c>
      <c r="D2123" s="3" t="s">
        <v>209</v>
      </c>
      <c r="E2123" s="3" t="s">
        <v>210</v>
      </c>
      <c r="F2123" s="1">
        <v>45993</v>
      </c>
      <c r="G2123" t="str">
        <f t="shared" si="57"/>
        <v>Dec -2025</v>
      </c>
      <c r="H2123" s="12"/>
    </row>
    <row r="2124" spans="1:8" x14ac:dyDescent="0.3">
      <c r="A2124" s="2">
        <v>1271702</v>
      </c>
      <c r="B2124" s="3" t="s">
        <v>1669</v>
      </c>
      <c r="C2124" s="3" t="s">
        <v>1010</v>
      </c>
      <c r="D2124" s="3" t="s">
        <v>209</v>
      </c>
      <c r="E2124" s="3" t="s">
        <v>210</v>
      </c>
      <c r="F2124" s="1">
        <v>45993</v>
      </c>
      <c r="G2124" t="str">
        <f t="shared" si="57"/>
        <v>Dec -2025</v>
      </c>
      <c r="H2124" s="12"/>
    </row>
    <row r="2125" spans="1:8" x14ac:dyDescent="0.3">
      <c r="A2125" s="2">
        <v>1271711</v>
      </c>
      <c r="B2125" s="3" t="s">
        <v>1669</v>
      </c>
      <c r="C2125" s="3" t="s">
        <v>1010</v>
      </c>
      <c r="D2125" s="3" t="s">
        <v>209</v>
      </c>
      <c r="E2125" s="3" t="s">
        <v>210</v>
      </c>
      <c r="F2125" s="1">
        <v>45993</v>
      </c>
      <c r="G2125" t="str">
        <f t="shared" si="57"/>
        <v>Dec -2025</v>
      </c>
      <c r="H2125" s="12"/>
    </row>
    <row r="2126" spans="1:8" x14ac:dyDescent="0.3">
      <c r="A2126" s="2">
        <v>1271751</v>
      </c>
      <c r="B2126" s="3" t="s">
        <v>1669</v>
      </c>
      <c r="C2126" s="3" t="s">
        <v>1010</v>
      </c>
      <c r="D2126" s="3" t="s">
        <v>209</v>
      </c>
      <c r="E2126" s="3" t="s">
        <v>210</v>
      </c>
      <c r="F2126" s="1">
        <v>45993</v>
      </c>
      <c r="G2126" t="str">
        <f t="shared" si="57"/>
        <v>Dec -2025</v>
      </c>
      <c r="H2126" s="12"/>
    </row>
    <row r="2127" spans="1:8" x14ac:dyDescent="0.3">
      <c r="A2127" s="2">
        <v>1271638</v>
      </c>
      <c r="B2127" s="3" t="s">
        <v>1669</v>
      </c>
      <c r="C2127" s="3" t="s">
        <v>1010</v>
      </c>
      <c r="D2127" s="3" t="s">
        <v>209</v>
      </c>
      <c r="E2127" s="3" t="s">
        <v>210</v>
      </c>
      <c r="F2127" s="1">
        <v>45993</v>
      </c>
      <c r="G2127" t="str">
        <f t="shared" si="57"/>
        <v>Dec -2025</v>
      </c>
      <c r="H2127" s="12"/>
    </row>
    <row r="2128" spans="1:8" x14ac:dyDescent="0.3">
      <c r="A2128" s="2">
        <v>1271640</v>
      </c>
      <c r="B2128" s="3" t="s">
        <v>1669</v>
      </c>
      <c r="C2128" s="3" t="s">
        <v>1010</v>
      </c>
      <c r="D2128" s="3" t="s">
        <v>209</v>
      </c>
      <c r="E2128" s="3" t="s">
        <v>210</v>
      </c>
      <c r="F2128" s="1">
        <v>45993</v>
      </c>
      <c r="G2128" t="str">
        <f t="shared" si="57"/>
        <v>Dec -2025</v>
      </c>
      <c r="H2128" s="12"/>
    </row>
    <row r="2129" spans="1:8" x14ac:dyDescent="0.3">
      <c r="A2129" s="2">
        <v>1271703</v>
      </c>
      <c r="B2129" s="3" t="s">
        <v>1669</v>
      </c>
      <c r="C2129" s="3" t="s">
        <v>1010</v>
      </c>
      <c r="D2129" s="3" t="s">
        <v>209</v>
      </c>
      <c r="E2129" s="3" t="s">
        <v>210</v>
      </c>
      <c r="F2129" s="1">
        <v>45993</v>
      </c>
      <c r="G2129" t="str">
        <f t="shared" si="57"/>
        <v>Dec -2025</v>
      </c>
      <c r="H2129" s="12"/>
    </row>
    <row r="2130" spans="1:8" x14ac:dyDescent="0.3">
      <c r="A2130" s="2">
        <v>1271716</v>
      </c>
      <c r="B2130" s="3" t="s">
        <v>1669</v>
      </c>
      <c r="C2130" s="3" t="s">
        <v>1010</v>
      </c>
      <c r="D2130" s="3" t="s">
        <v>209</v>
      </c>
      <c r="E2130" s="3" t="s">
        <v>210</v>
      </c>
      <c r="F2130" s="1">
        <v>45993</v>
      </c>
      <c r="G2130" t="str">
        <f t="shared" si="57"/>
        <v>Dec -2025</v>
      </c>
      <c r="H2130" s="12"/>
    </row>
    <row r="2131" spans="1:8" x14ac:dyDescent="0.3">
      <c r="A2131" s="2">
        <v>1271754</v>
      </c>
      <c r="B2131" s="3" t="s">
        <v>1669</v>
      </c>
      <c r="C2131" s="3" t="s">
        <v>1010</v>
      </c>
      <c r="D2131" s="3" t="s">
        <v>209</v>
      </c>
      <c r="E2131" s="3" t="s">
        <v>210</v>
      </c>
      <c r="F2131" s="1">
        <v>45993</v>
      </c>
      <c r="G2131" t="str">
        <f t="shared" si="57"/>
        <v>Dec -2025</v>
      </c>
      <c r="H2131" s="12"/>
    </row>
    <row r="2132" spans="1:8" x14ac:dyDescent="0.3">
      <c r="A2132" s="2">
        <v>1271798</v>
      </c>
      <c r="B2132" s="3" t="s">
        <v>1669</v>
      </c>
      <c r="C2132" s="3" t="s">
        <v>1010</v>
      </c>
      <c r="D2132" s="3" t="s">
        <v>209</v>
      </c>
      <c r="E2132" s="3" t="s">
        <v>210</v>
      </c>
      <c r="F2132" s="1">
        <v>45993</v>
      </c>
      <c r="G2132" t="str">
        <f t="shared" si="57"/>
        <v>Dec -2025</v>
      </c>
      <c r="H2132" s="12"/>
    </row>
    <row r="2133" spans="1:8" x14ac:dyDescent="0.3">
      <c r="A2133" s="2">
        <v>1271811</v>
      </c>
      <c r="B2133" s="3" t="s">
        <v>1669</v>
      </c>
      <c r="C2133" s="3" t="s">
        <v>1010</v>
      </c>
      <c r="D2133" s="3" t="s">
        <v>209</v>
      </c>
      <c r="E2133" s="3" t="s">
        <v>210</v>
      </c>
      <c r="F2133" s="1">
        <v>45993</v>
      </c>
      <c r="G2133" t="str">
        <f t="shared" si="57"/>
        <v>Dec -2025</v>
      </c>
      <c r="H2133" s="12"/>
    </row>
    <row r="2134" spans="1:8" x14ac:dyDescent="0.3">
      <c r="A2134" s="2">
        <v>1271199</v>
      </c>
      <c r="B2134" s="3" t="s">
        <v>1670</v>
      </c>
      <c r="C2134" s="3" t="s">
        <v>1010</v>
      </c>
      <c r="D2134" s="3" t="s">
        <v>209</v>
      </c>
      <c r="E2134" s="3" t="s">
        <v>210</v>
      </c>
      <c r="F2134" s="1">
        <v>45993</v>
      </c>
      <c r="G2134" t="str">
        <f t="shared" si="57"/>
        <v>Dec -2025</v>
      </c>
      <c r="H2134" s="12"/>
    </row>
    <row r="2135" spans="1:8" x14ac:dyDescent="0.3">
      <c r="A2135" s="2">
        <v>1271200</v>
      </c>
      <c r="B2135" s="3" t="s">
        <v>1670</v>
      </c>
      <c r="C2135" s="3" t="s">
        <v>1010</v>
      </c>
      <c r="D2135" s="3" t="s">
        <v>209</v>
      </c>
      <c r="E2135" s="3" t="s">
        <v>210</v>
      </c>
      <c r="F2135" s="1">
        <v>45993</v>
      </c>
      <c r="G2135" t="str">
        <f t="shared" si="57"/>
        <v>Dec -2025</v>
      </c>
      <c r="H2135" s="12"/>
    </row>
    <row r="2136" spans="1:8" x14ac:dyDescent="0.3">
      <c r="A2136" s="2">
        <v>900005359</v>
      </c>
      <c r="B2136" s="3" t="s">
        <v>1671</v>
      </c>
      <c r="C2136" s="3" t="s">
        <v>1010</v>
      </c>
      <c r="D2136" s="3" t="s">
        <v>209</v>
      </c>
      <c r="E2136" s="3" t="s">
        <v>322</v>
      </c>
      <c r="F2136" s="1">
        <v>45993</v>
      </c>
      <c r="G2136" t="str">
        <f t="shared" si="57"/>
        <v>Dec -2025</v>
      </c>
      <c r="H2136" s="12"/>
    </row>
    <row r="2137" spans="1:8" x14ac:dyDescent="0.3">
      <c r="A2137" s="2">
        <v>1271517</v>
      </c>
      <c r="B2137" s="3" t="s">
        <v>47</v>
      </c>
      <c r="C2137" s="3" t="s">
        <v>1010</v>
      </c>
      <c r="D2137" s="3" t="s">
        <v>1020</v>
      </c>
      <c r="E2137" s="3" t="s">
        <v>211</v>
      </c>
      <c r="F2137" s="1">
        <v>45994</v>
      </c>
      <c r="G2137" t="str">
        <f t="shared" si="57"/>
        <v>Dec -2025</v>
      </c>
      <c r="H2137" s="12"/>
    </row>
    <row r="2138" spans="1:8" x14ac:dyDescent="0.3">
      <c r="A2138" s="2">
        <v>200002764</v>
      </c>
      <c r="B2138" s="3" t="s">
        <v>1672</v>
      </c>
      <c r="C2138" s="3" t="s">
        <v>1010</v>
      </c>
      <c r="D2138" s="3" t="s">
        <v>192</v>
      </c>
      <c r="E2138" s="3" t="s">
        <v>342</v>
      </c>
      <c r="F2138" s="1">
        <v>45994</v>
      </c>
      <c r="G2138" t="str">
        <f t="shared" ref="G2138:G2147" si="58">TEXT(F2138,"mmm -YYYY")</f>
        <v>Dec -2025</v>
      </c>
      <c r="H2138" s="12"/>
    </row>
    <row r="2139" spans="1:8" x14ac:dyDescent="0.3">
      <c r="A2139" s="2">
        <v>1267518</v>
      </c>
      <c r="B2139" s="3" t="s">
        <v>41</v>
      </c>
      <c r="C2139" s="3" t="s">
        <v>1010</v>
      </c>
      <c r="D2139" s="3" t="s">
        <v>1020</v>
      </c>
      <c r="E2139" s="3" t="s">
        <v>211</v>
      </c>
      <c r="F2139" s="1">
        <v>45994</v>
      </c>
      <c r="G2139" t="str">
        <f t="shared" si="58"/>
        <v>Dec -2025</v>
      </c>
      <c r="H2139" s="12"/>
    </row>
    <row r="2140" spans="1:8" x14ac:dyDescent="0.3">
      <c r="A2140" s="2">
        <v>1267649</v>
      </c>
      <c r="B2140" s="3" t="s">
        <v>41</v>
      </c>
      <c r="C2140" s="3" t="s">
        <v>1010</v>
      </c>
      <c r="D2140" s="3" t="s">
        <v>1020</v>
      </c>
      <c r="E2140" s="3" t="s">
        <v>211</v>
      </c>
      <c r="F2140" s="1">
        <v>45994</v>
      </c>
      <c r="G2140" t="str">
        <f t="shared" si="58"/>
        <v>Dec -2025</v>
      </c>
      <c r="H2140" s="12"/>
    </row>
    <row r="2141" spans="1:8" x14ac:dyDescent="0.3">
      <c r="A2141" s="2">
        <v>1272291</v>
      </c>
      <c r="B2141" s="3" t="s">
        <v>1673</v>
      </c>
      <c r="C2141" s="3" t="s">
        <v>1010</v>
      </c>
      <c r="D2141" s="3" t="s">
        <v>1020</v>
      </c>
      <c r="E2141" s="3" t="s">
        <v>338</v>
      </c>
      <c r="F2141" s="1">
        <v>45994</v>
      </c>
      <c r="G2141" t="str">
        <f t="shared" si="58"/>
        <v>Dec -2025</v>
      </c>
      <c r="H2141" s="12"/>
    </row>
    <row r="2142" spans="1:8" x14ac:dyDescent="0.3">
      <c r="A2142" s="2">
        <v>900005409</v>
      </c>
      <c r="B2142" s="3" t="s">
        <v>1674</v>
      </c>
      <c r="C2142" s="3" t="s">
        <v>1010</v>
      </c>
      <c r="D2142" s="3" t="s">
        <v>143</v>
      </c>
      <c r="E2142" s="3" t="s">
        <v>322</v>
      </c>
      <c r="F2142" s="1">
        <v>45994</v>
      </c>
      <c r="G2142" t="str">
        <f t="shared" si="58"/>
        <v>Dec -2025</v>
      </c>
      <c r="H2142" s="12"/>
    </row>
    <row r="2143" spans="1:8" x14ac:dyDescent="0.3">
      <c r="A2143" s="2">
        <v>1275164</v>
      </c>
      <c r="B2143" s="3" t="s">
        <v>1675</v>
      </c>
      <c r="C2143" s="3" t="s">
        <v>1010</v>
      </c>
      <c r="D2143" s="3" t="s">
        <v>209</v>
      </c>
      <c r="E2143" s="3" t="s">
        <v>210</v>
      </c>
      <c r="F2143" s="1">
        <v>45994</v>
      </c>
      <c r="G2143" t="str">
        <f t="shared" si="58"/>
        <v>Dec -2025</v>
      </c>
      <c r="H2143" s="12"/>
    </row>
    <row r="2144" spans="1:8" x14ac:dyDescent="0.3">
      <c r="A2144" s="2">
        <v>1275166</v>
      </c>
      <c r="B2144" s="3" t="s">
        <v>1676</v>
      </c>
      <c r="C2144" s="3" t="s">
        <v>1010</v>
      </c>
      <c r="D2144" s="3" t="s">
        <v>209</v>
      </c>
      <c r="E2144" s="3" t="s">
        <v>210</v>
      </c>
      <c r="F2144" s="1">
        <v>45994</v>
      </c>
      <c r="G2144" t="str">
        <f t="shared" si="58"/>
        <v>Dec -2025</v>
      </c>
      <c r="H2144" s="12"/>
    </row>
    <row r="2145" spans="1:8" x14ac:dyDescent="0.3">
      <c r="A2145" s="2">
        <v>200001507</v>
      </c>
      <c r="B2145" s="3" t="s">
        <v>1222</v>
      </c>
      <c r="C2145" s="3" t="s">
        <v>1010</v>
      </c>
      <c r="D2145" s="3" t="s">
        <v>1229</v>
      </c>
      <c r="E2145" s="3" t="s">
        <v>7</v>
      </c>
      <c r="F2145" s="1">
        <v>45994</v>
      </c>
      <c r="G2145" t="str">
        <f t="shared" si="58"/>
        <v>Dec -2025</v>
      </c>
      <c r="H2145" s="12"/>
    </row>
    <row r="2146" spans="1:8" x14ac:dyDescent="0.3">
      <c r="A2146" s="2">
        <v>1275638</v>
      </c>
      <c r="B2146" s="3" t="s">
        <v>1677</v>
      </c>
      <c r="C2146" s="3" t="s">
        <v>1010</v>
      </c>
      <c r="D2146" s="3" t="s">
        <v>209</v>
      </c>
      <c r="E2146" s="3" t="s">
        <v>225</v>
      </c>
      <c r="F2146" s="1">
        <v>45994</v>
      </c>
      <c r="G2146" t="str">
        <f t="shared" si="58"/>
        <v>Dec -2025</v>
      </c>
      <c r="H2146" s="12"/>
    </row>
    <row r="2147" spans="1:8" x14ac:dyDescent="0.3">
      <c r="A2147" s="2">
        <v>900005356</v>
      </c>
      <c r="B2147" s="3" t="s">
        <v>1678</v>
      </c>
      <c r="C2147" s="3" t="s">
        <v>1010</v>
      </c>
      <c r="D2147" s="3" t="s">
        <v>1604</v>
      </c>
      <c r="E2147" s="3" t="s">
        <v>322</v>
      </c>
      <c r="F2147" s="1">
        <v>45994</v>
      </c>
      <c r="G2147" t="str">
        <f t="shared" si="58"/>
        <v>Dec -2025</v>
      </c>
      <c r="H2147" s="12"/>
    </row>
    <row r="2148" spans="1:8" x14ac:dyDescent="0.3">
      <c r="A2148" s="2">
        <v>100004649</v>
      </c>
      <c r="B2148" s="3" t="s">
        <v>1679</v>
      </c>
      <c r="C2148" s="3" t="s">
        <v>1011</v>
      </c>
      <c r="D2148" s="3" t="s">
        <v>972</v>
      </c>
      <c r="E2148" s="3" t="s">
        <v>970</v>
      </c>
      <c r="F2148" s="1">
        <v>45994</v>
      </c>
      <c r="G2148" t="str">
        <f t="shared" ref="G2148:G2150" si="59">TEXT(F2148,"mmm -YYYY")</f>
        <v>Dec -2025</v>
      </c>
      <c r="H2148" s="12"/>
    </row>
    <row r="2149" spans="1:8" x14ac:dyDescent="0.3">
      <c r="A2149" s="2">
        <v>100004669</v>
      </c>
      <c r="B2149" s="3" t="s">
        <v>1680</v>
      </c>
      <c r="C2149" s="3" t="s">
        <v>1011</v>
      </c>
      <c r="D2149" s="3" t="s">
        <v>972</v>
      </c>
      <c r="E2149" s="3" t="s">
        <v>1681</v>
      </c>
      <c r="F2149" s="1">
        <v>45994</v>
      </c>
      <c r="G2149" t="str">
        <f t="shared" si="59"/>
        <v>Dec -2025</v>
      </c>
      <c r="H2149" s="12"/>
    </row>
    <row r="2150" spans="1:8" x14ac:dyDescent="0.3">
      <c r="A2150" s="2">
        <v>100004685</v>
      </c>
      <c r="B2150" s="3" t="s">
        <v>1682</v>
      </c>
      <c r="C2150" s="3" t="s">
        <v>1011</v>
      </c>
      <c r="D2150" s="3" t="s">
        <v>972</v>
      </c>
      <c r="E2150" s="3" t="s">
        <v>1569</v>
      </c>
      <c r="F2150" s="1">
        <v>45995</v>
      </c>
      <c r="G2150" t="str">
        <f t="shared" si="59"/>
        <v>Dec -2025</v>
      </c>
      <c r="H2150" s="12"/>
    </row>
    <row r="2151" spans="1:8" x14ac:dyDescent="0.3">
      <c r="A2151" s="2">
        <v>100004740</v>
      </c>
      <c r="B2151" s="3" t="s">
        <v>1683</v>
      </c>
      <c r="C2151" s="3" t="s">
        <v>1011</v>
      </c>
      <c r="D2151" s="3" t="s">
        <v>972</v>
      </c>
      <c r="E2151" s="3" t="s">
        <v>1569</v>
      </c>
      <c r="F2151" s="1">
        <v>45995</v>
      </c>
      <c r="G2151" t="str">
        <f t="shared" ref="G2151:G2155" si="60">TEXT(F2151,"mmm -YYYY")</f>
        <v>Dec -2025</v>
      </c>
      <c r="H2151" s="12"/>
    </row>
    <row r="2152" spans="1:8" x14ac:dyDescent="0.3">
      <c r="A2152" s="2">
        <v>100004686</v>
      </c>
      <c r="B2152" s="3" t="s">
        <v>1684</v>
      </c>
      <c r="C2152" s="3" t="s">
        <v>1011</v>
      </c>
      <c r="D2152" s="3" t="s">
        <v>972</v>
      </c>
      <c r="E2152" s="3" t="s">
        <v>1569</v>
      </c>
      <c r="F2152" s="1">
        <v>45995</v>
      </c>
      <c r="G2152" t="str">
        <f t="shared" si="60"/>
        <v>Dec -2025</v>
      </c>
      <c r="H2152" s="12"/>
    </row>
    <row r="2153" spans="1:8" x14ac:dyDescent="0.3">
      <c r="A2153" s="2">
        <v>100004701</v>
      </c>
      <c r="B2153" s="3" t="s">
        <v>1685</v>
      </c>
      <c r="C2153" s="3" t="s">
        <v>1011</v>
      </c>
      <c r="D2153" s="3" t="s">
        <v>972</v>
      </c>
      <c r="E2153" s="3" t="s">
        <v>1569</v>
      </c>
      <c r="F2153" s="1">
        <v>45995</v>
      </c>
      <c r="G2153" t="str">
        <f t="shared" si="60"/>
        <v>Dec -2025</v>
      </c>
      <c r="H2153" s="12"/>
    </row>
    <row r="2154" spans="1:8" x14ac:dyDescent="0.3">
      <c r="A2154" s="2">
        <v>100004669</v>
      </c>
      <c r="B2154" s="3" t="s">
        <v>1680</v>
      </c>
      <c r="C2154" s="3" t="s">
        <v>1011</v>
      </c>
      <c r="D2154" s="3" t="s">
        <v>972</v>
      </c>
      <c r="E2154" s="3" t="s">
        <v>1681</v>
      </c>
      <c r="F2154" s="1">
        <v>45995</v>
      </c>
      <c r="G2154" t="str">
        <f t="shared" si="60"/>
        <v>Dec -2025</v>
      </c>
      <c r="H2154" s="12"/>
    </row>
    <row r="2155" spans="1:8" x14ac:dyDescent="0.3">
      <c r="A2155" s="2">
        <v>100004723</v>
      </c>
      <c r="B2155" s="3" t="s">
        <v>1686</v>
      </c>
      <c r="C2155" s="3" t="s">
        <v>1011</v>
      </c>
      <c r="D2155" s="3" t="s">
        <v>972</v>
      </c>
      <c r="E2155" s="3" t="s">
        <v>970</v>
      </c>
      <c r="F2155" s="1">
        <v>45995</v>
      </c>
      <c r="G2155" t="str">
        <f t="shared" si="60"/>
        <v>Dec -2025</v>
      </c>
      <c r="H2155" s="12"/>
    </row>
    <row r="2156" spans="1:8" x14ac:dyDescent="0.3">
      <c r="A2156" s="2">
        <v>1275721</v>
      </c>
      <c r="B2156" s="3" t="s">
        <v>47</v>
      </c>
      <c r="C2156" s="3" t="s">
        <v>1010</v>
      </c>
      <c r="D2156" s="3" t="s">
        <v>1020</v>
      </c>
      <c r="E2156" s="3" t="s">
        <v>211</v>
      </c>
      <c r="F2156" s="1">
        <v>45995</v>
      </c>
      <c r="G2156" t="str">
        <f t="shared" ref="G2156:G2167" si="61">TEXT(F2156,"mmm -YYYY")</f>
        <v>Dec -2025</v>
      </c>
      <c r="H2156" s="12"/>
    </row>
    <row r="2157" spans="1:8" x14ac:dyDescent="0.3">
      <c r="A2157" s="2">
        <v>900005393</v>
      </c>
      <c r="B2157" s="3" t="s">
        <v>1687</v>
      </c>
      <c r="C2157" s="3" t="s">
        <v>1010</v>
      </c>
      <c r="D2157" s="3" t="s">
        <v>1551</v>
      </c>
      <c r="E2157" s="3" t="s">
        <v>322</v>
      </c>
      <c r="F2157" s="1">
        <v>45995</v>
      </c>
      <c r="G2157" t="str">
        <f t="shared" si="61"/>
        <v>Dec -2025</v>
      </c>
      <c r="H2157" s="12"/>
    </row>
    <row r="2158" spans="1:8" x14ac:dyDescent="0.3">
      <c r="A2158" s="2">
        <v>200001507</v>
      </c>
      <c r="B2158" s="3" t="s">
        <v>1250</v>
      </c>
      <c r="C2158" s="3" t="s">
        <v>1010</v>
      </c>
      <c r="D2158" s="3" t="s">
        <v>1229</v>
      </c>
      <c r="E2158" s="3" t="s">
        <v>7</v>
      </c>
      <c r="F2158" s="1">
        <v>45995</v>
      </c>
      <c r="G2158" t="str">
        <f t="shared" si="61"/>
        <v>Dec -2025</v>
      </c>
      <c r="H2158" s="12"/>
    </row>
    <row r="2159" spans="1:8" x14ac:dyDescent="0.3">
      <c r="A2159" s="2">
        <v>900005346</v>
      </c>
      <c r="B2159" s="3" t="s">
        <v>1688</v>
      </c>
      <c r="C2159" s="3" t="s">
        <v>1010</v>
      </c>
      <c r="D2159" s="3" t="s">
        <v>1551</v>
      </c>
      <c r="E2159" s="3" t="s">
        <v>322</v>
      </c>
      <c r="F2159" s="1">
        <v>45995</v>
      </c>
      <c r="G2159" t="str">
        <f t="shared" si="61"/>
        <v>Dec -2025</v>
      </c>
      <c r="H2159" s="12"/>
    </row>
    <row r="2160" spans="1:8" x14ac:dyDescent="0.3">
      <c r="A2160" s="2">
        <v>900005390</v>
      </c>
      <c r="B2160" s="3" t="s">
        <v>1688</v>
      </c>
      <c r="C2160" s="3" t="s">
        <v>1010</v>
      </c>
      <c r="D2160" s="3" t="s">
        <v>1551</v>
      </c>
      <c r="E2160" s="3" t="s">
        <v>322</v>
      </c>
      <c r="F2160" s="1">
        <v>45995</v>
      </c>
      <c r="G2160" t="str">
        <f t="shared" si="61"/>
        <v>Dec -2025</v>
      </c>
      <c r="H2160" s="12"/>
    </row>
    <row r="2161" spans="1:8" x14ac:dyDescent="0.3">
      <c r="A2161" s="2">
        <v>1279512</v>
      </c>
      <c r="B2161" s="3" t="s">
        <v>1689</v>
      </c>
      <c r="C2161" s="3" t="s">
        <v>1010</v>
      </c>
      <c r="D2161" s="3" t="s">
        <v>209</v>
      </c>
      <c r="E2161" s="3" t="s">
        <v>228</v>
      </c>
      <c r="F2161" s="1">
        <v>45995</v>
      </c>
      <c r="G2161" t="str">
        <f t="shared" si="61"/>
        <v>Dec -2025</v>
      </c>
      <c r="H2161" s="12"/>
    </row>
    <row r="2162" spans="1:8" x14ac:dyDescent="0.3">
      <c r="A2162" s="2">
        <v>1279546</v>
      </c>
      <c r="B2162" s="3" t="s">
        <v>1689</v>
      </c>
      <c r="C2162" s="3" t="s">
        <v>1010</v>
      </c>
      <c r="D2162" s="3" t="s">
        <v>209</v>
      </c>
      <c r="E2162" s="3" t="s">
        <v>228</v>
      </c>
      <c r="F2162" s="1">
        <v>45995</v>
      </c>
      <c r="G2162" t="str">
        <f t="shared" si="61"/>
        <v>Dec -2025</v>
      </c>
      <c r="H2162" s="12"/>
    </row>
    <row r="2163" spans="1:8" x14ac:dyDescent="0.3">
      <c r="A2163" s="2">
        <v>1279329</v>
      </c>
      <c r="B2163" s="3" t="s">
        <v>1689</v>
      </c>
      <c r="C2163" s="3" t="s">
        <v>1010</v>
      </c>
      <c r="D2163" s="3" t="s">
        <v>209</v>
      </c>
      <c r="E2163" s="3" t="s">
        <v>228</v>
      </c>
      <c r="F2163" s="1">
        <v>45995</v>
      </c>
      <c r="G2163" t="str">
        <f t="shared" si="61"/>
        <v>Dec -2025</v>
      </c>
      <c r="H2163" s="12"/>
    </row>
    <row r="2164" spans="1:8" x14ac:dyDescent="0.3">
      <c r="A2164" s="2">
        <v>1279489</v>
      </c>
      <c r="B2164" s="3" t="s">
        <v>1690</v>
      </c>
      <c r="C2164" s="3" t="s">
        <v>1010</v>
      </c>
      <c r="D2164" s="3" t="s">
        <v>209</v>
      </c>
      <c r="E2164" s="3" t="s">
        <v>225</v>
      </c>
      <c r="F2164" s="1">
        <v>45995</v>
      </c>
      <c r="G2164" t="str">
        <f t="shared" si="61"/>
        <v>Dec -2025</v>
      </c>
      <c r="H2164" s="12"/>
    </row>
    <row r="2165" spans="1:8" x14ac:dyDescent="0.3">
      <c r="A2165" s="2">
        <v>1279801</v>
      </c>
      <c r="B2165" s="3" t="s">
        <v>1690</v>
      </c>
      <c r="C2165" s="3" t="s">
        <v>1010</v>
      </c>
      <c r="D2165" s="3" t="s">
        <v>209</v>
      </c>
      <c r="E2165" s="3" t="s">
        <v>225</v>
      </c>
      <c r="F2165" s="1">
        <v>45995</v>
      </c>
      <c r="G2165" t="str">
        <f t="shared" si="61"/>
        <v>Dec -2025</v>
      </c>
      <c r="H2165" s="12"/>
    </row>
    <row r="2166" spans="1:8" x14ac:dyDescent="0.3">
      <c r="A2166" s="2">
        <v>1279772</v>
      </c>
      <c r="B2166" s="3" t="s">
        <v>1691</v>
      </c>
      <c r="C2166" s="3" t="s">
        <v>1010</v>
      </c>
      <c r="D2166" s="3" t="s">
        <v>209</v>
      </c>
      <c r="E2166" s="3" t="s">
        <v>225</v>
      </c>
      <c r="F2166" s="1">
        <v>45995</v>
      </c>
      <c r="G2166" t="str">
        <f t="shared" si="61"/>
        <v>Dec -2025</v>
      </c>
      <c r="H2166" s="12"/>
    </row>
    <row r="2167" spans="1:8" x14ac:dyDescent="0.3">
      <c r="A2167" s="2">
        <v>1267138</v>
      </c>
      <c r="B2167" s="3" t="s">
        <v>47</v>
      </c>
      <c r="C2167" s="3" t="s">
        <v>1010</v>
      </c>
      <c r="D2167" s="3" t="s">
        <v>1020</v>
      </c>
      <c r="E2167" s="3" t="s">
        <v>211</v>
      </c>
      <c r="F2167" s="1">
        <v>45996</v>
      </c>
      <c r="G2167" t="str">
        <f t="shared" si="61"/>
        <v>Dec -2025</v>
      </c>
      <c r="H2167" s="12"/>
    </row>
    <row r="2168" spans="1:8" x14ac:dyDescent="0.3">
      <c r="A2168" s="2">
        <v>1268527</v>
      </c>
      <c r="B2168" s="3" t="s">
        <v>53</v>
      </c>
      <c r="C2168" s="3" t="s">
        <v>1010</v>
      </c>
      <c r="D2168" s="3" t="s">
        <v>1020</v>
      </c>
      <c r="E2168" s="3" t="s">
        <v>268</v>
      </c>
      <c r="F2168" s="1">
        <v>45996</v>
      </c>
      <c r="G2168" t="str">
        <f t="shared" ref="G2168:G2169" si="62">TEXT(F2168,"mmm -YYYY")</f>
        <v>Dec -2025</v>
      </c>
      <c r="H2168" s="12"/>
    </row>
    <row r="2169" spans="1:8" x14ac:dyDescent="0.3">
      <c r="A2169" s="2">
        <v>1268526</v>
      </c>
      <c r="B2169" s="3" t="s">
        <v>53</v>
      </c>
      <c r="C2169" s="3" t="s">
        <v>1010</v>
      </c>
      <c r="D2169" s="3" t="s">
        <v>1020</v>
      </c>
      <c r="E2169" s="3" t="s">
        <v>268</v>
      </c>
      <c r="F2169" s="1">
        <v>45996</v>
      </c>
      <c r="G2169" t="str">
        <f t="shared" si="62"/>
        <v>Dec -2025</v>
      </c>
      <c r="H2169" s="12"/>
    </row>
    <row r="2170" spans="1:8" x14ac:dyDescent="0.3">
      <c r="A2170" s="2">
        <v>100004668</v>
      </c>
      <c r="B2170" s="3" t="s">
        <v>1692</v>
      </c>
      <c r="C2170" s="3" t="s">
        <v>1011</v>
      </c>
      <c r="D2170" s="3" t="s">
        <v>972</v>
      </c>
      <c r="E2170" s="3" t="s">
        <v>1569</v>
      </c>
      <c r="F2170" s="1">
        <v>45996</v>
      </c>
      <c r="G2170" t="str">
        <f t="shared" ref="G2170:G2174" si="63">TEXT(F2170,"mmm -YYYY")</f>
        <v>Dec -2025</v>
      </c>
      <c r="H2170" s="12"/>
    </row>
    <row r="2171" spans="1:8" x14ac:dyDescent="0.3">
      <c r="A2171" s="2">
        <v>100004677</v>
      </c>
      <c r="B2171" s="3" t="s">
        <v>1693</v>
      </c>
      <c r="C2171" s="3" t="s">
        <v>1011</v>
      </c>
      <c r="D2171" s="3" t="s">
        <v>972</v>
      </c>
      <c r="E2171" s="3" t="s">
        <v>1569</v>
      </c>
      <c r="F2171" s="1">
        <v>45996</v>
      </c>
      <c r="G2171" t="str">
        <f t="shared" si="63"/>
        <v>Dec -2025</v>
      </c>
      <c r="H2171" s="12"/>
    </row>
    <row r="2172" spans="1:8" x14ac:dyDescent="0.3">
      <c r="A2172" s="2">
        <v>100004723</v>
      </c>
      <c r="B2172" s="3" t="s">
        <v>1686</v>
      </c>
      <c r="C2172" s="3" t="s">
        <v>1011</v>
      </c>
      <c r="D2172" s="3" t="s">
        <v>972</v>
      </c>
      <c r="E2172" s="3" t="s">
        <v>970</v>
      </c>
      <c r="F2172" s="1">
        <v>45996</v>
      </c>
      <c r="G2172" t="str">
        <f t="shared" si="63"/>
        <v>Dec -2025</v>
      </c>
      <c r="H2172" s="12"/>
    </row>
    <row r="2173" spans="1:8" x14ac:dyDescent="0.3">
      <c r="A2173" s="2">
        <v>100004732</v>
      </c>
      <c r="B2173" s="3" t="s">
        <v>1694</v>
      </c>
      <c r="C2173" s="3" t="s">
        <v>1011</v>
      </c>
      <c r="D2173" s="3" t="s">
        <v>972</v>
      </c>
      <c r="E2173" s="3" t="s">
        <v>1569</v>
      </c>
      <c r="F2173" s="1">
        <v>45996</v>
      </c>
      <c r="G2173" t="str">
        <f t="shared" si="63"/>
        <v>Dec -2025</v>
      </c>
      <c r="H2173" s="12"/>
    </row>
    <row r="2174" spans="1:8" x14ac:dyDescent="0.3">
      <c r="A2174" s="2">
        <v>100004787</v>
      </c>
      <c r="B2174" s="3" t="s">
        <v>1695</v>
      </c>
      <c r="C2174" s="3" t="s">
        <v>1011</v>
      </c>
      <c r="D2174" s="3" t="s">
        <v>972</v>
      </c>
      <c r="E2174" s="3" t="s">
        <v>982</v>
      </c>
      <c r="F2174" s="1">
        <v>46001</v>
      </c>
      <c r="G2174" t="str">
        <f t="shared" si="63"/>
        <v>Dec -2025</v>
      </c>
      <c r="H2174" s="12"/>
    </row>
    <row r="2175" spans="1:8" x14ac:dyDescent="0.3">
      <c r="A2175" s="2">
        <v>100004746</v>
      </c>
      <c r="B2175" s="3" t="s">
        <v>1696</v>
      </c>
      <c r="C2175" s="3" t="s">
        <v>1011</v>
      </c>
      <c r="D2175" s="3" t="s">
        <v>972</v>
      </c>
      <c r="E2175" s="3" t="s">
        <v>1569</v>
      </c>
      <c r="F2175" s="1">
        <v>46001</v>
      </c>
      <c r="G2175" t="str">
        <f t="shared" ref="G2175:G2180" si="64">TEXT(F2175,"mmm -YYYY")</f>
        <v>Dec -2025</v>
      </c>
      <c r="H2175" s="12"/>
    </row>
    <row r="2176" spans="1:8" x14ac:dyDescent="0.3">
      <c r="A2176" s="2">
        <v>100004679</v>
      </c>
      <c r="B2176" s="3" t="s">
        <v>1697</v>
      </c>
      <c r="C2176" s="3" t="s">
        <v>1011</v>
      </c>
      <c r="D2176" s="3" t="s">
        <v>972</v>
      </c>
      <c r="E2176" s="3" t="s">
        <v>1569</v>
      </c>
      <c r="F2176" s="1">
        <v>46001</v>
      </c>
      <c r="G2176" t="str">
        <f t="shared" si="64"/>
        <v>Dec -2025</v>
      </c>
      <c r="H2176" s="12"/>
    </row>
    <row r="2177" spans="1:8" x14ac:dyDescent="0.3">
      <c r="A2177" s="2">
        <v>100004796</v>
      </c>
      <c r="B2177" s="3" t="s">
        <v>1698</v>
      </c>
      <c r="C2177" s="3" t="s">
        <v>1011</v>
      </c>
      <c r="D2177" s="3" t="s">
        <v>972</v>
      </c>
      <c r="E2177" s="3" t="s">
        <v>1569</v>
      </c>
      <c r="F2177" s="1">
        <v>46001</v>
      </c>
      <c r="G2177" t="str">
        <f t="shared" si="64"/>
        <v>Dec -2025</v>
      </c>
      <c r="H2177" s="12"/>
    </row>
    <row r="2178" spans="1:8" x14ac:dyDescent="0.3">
      <c r="A2178" s="2">
        <v>100004800</v>
      </c>
      <c r="B2178" s="3" t="s">
        <v>1699</v>
      </c>
      <c r="C2178" s="3" t="s">
        <v>1011</v>
      </c>
      <c r="D2178" s="3" t="s">
        <v>972</v>
      </c>
      <c r="E2178" s="3" t="s">
        <v>1526</v>
      </c>
      <c r="F2178" s="1">
        <v>46001</v>
      </c>
      <c r="G2178" t="str">
        <f t="shared" si="64"/>
        <v>Dec -2025</v>
      </c>
      <c r="H2178" s="12"/>
    </row>
    <row r="2179" spans="1:8" x14ac:dyDescent="0.3">
      <c r="A2179" s="2">
        <v>100004801</v>
      </c>
      <c r="B2179" s="3" t="s">
        <v>1700</v>
      </c>
      <c r="C2179" s="3" t="s">
        <v>1011</v>
      </c>
      <c r="D2179" s="3" t="s">
        <v>972</v>
      </c>
      <c r="E2179" s="3" t="s">
        <v>1526</v>
      </c>
      <c r="F2179" s="1">
        <v>46001</v>
      </c>
      <c r="G2179" t="str">
        <f t="shared" si="64"/>
        <v>Dec -2025</v>
      </c>
      <c r="H2179" s="12"/>
    </row>
    <row r="2180" spans="1:8" x14ac:dyDescent="0.3">
      <c r="A2180" s="2">
        <v>100004821</v>
      </c>
      <c r="B2180" s="3" t="s">
        <v>1701</v>
      </c>
      <c r="C2180" s="3" t="s">
        <v>1011</v>
      </c>
      <c r="D2180" s="3" t="s">
        <v>972</v>
      </c>
      <c r="E2180" s="3" t="s">
        <v>1569</v>
      </c>
      <c r="F2180" s="1">
        <v>46001</v>
      </c>
      <c r="G2180" t="str">
        <f t="shared" si="64"/>
        <v>Dec -2025</v>
      </c>
      <c r="H2180" s="12"/>
    </row>
    <row r="2181" spans="1:8" x14ac:dyDescent="0.3">
      <c r="A2181" s="2">
        <v>900005455</v>
      </c>
      <c r="B2181" s="3" t="s">
        <v>1702</v>
      </c>
      <c r="C2181" s="3" t="s">
        <v>1010</v>
      </c>
      <c r="D2181" s="3" t="s">
        <v>1551</v>
      </c>
      <c r="E2181" s="3" t="s">
        <v>322</v>
      </c>
      <c r="F2181" s="1">
        <v>46001</v>
      </c>
      <c r="G2181" t="str">
        <f t="shared" ref="G2181:G2189" si="65">TEXT(F2181,"mmm -YYYY")</f>
        <v>Dec -2025</v>
      </c>
      <c r="H2181" s="12"/>
    </row>
    <row r="2182" spans="1:8" x14ac:dyDescent="0.3">
      <c r="A2182" s="2">
        <v>200001511</v>
      </c>
      <c r="B2182" s="3" t="s">
        <v>1250</v>
      </c>
      <c r="C2182" s="3" t="s">
        <v>1010</v>
      </c>
      <c r="D2182" s="3" t="s">
        <v>1229</v>
      </c>
      <c r="E2182" s="3" t="s">
        <v>7</v>
      </c>
      <c r="F2182" s="1">
        <v>46001</v>
      </c>
      <c r="G2182" t="str">
        <f t="shared" si="65"/>
        <v>Dec -2025</v>
      </c>
      <c r="H2182" s="12"/>
    </row>
    <row r="2183" spans="1:8" x14ac:dyDescent="0.3">
      <c r="A2183" s="2">
        <v>200001512</v>
      </c>
      <c r="B2183" s="3" t="s">
        <v>1250</v>
      </c>
      <c r="C2183" s="3" t="s">
        <v>1010</v>
      </c>
      <c r="D2183" s="3" t="s">
        <v>1229</v>
      </c>
      <c r="E2183" s="3" t="s">
        <v>7</v>
      </c>
      <c r="F2183" s="1">
        <v>46001</v>
      </c>
      <c r="G2183" t="str">
        <f t="shared" si="65"/>
        <v>Dec -2025</v>
      </c>
      <c r="H2183" s="12"/>
    </row>
    <row r="2184" spans="1:8" x14ac:dyDescent="0.3">
      <c r="A2184" s="2">
        <v>200001513</v>
      </c>
      <c r="B2184" s="3" t="s">
        <v>1250</v>
      </c>
      <c r="C2184" s="3" t="s">
        <v>1010</v>
      </c>
      <c r="D2184" s="3" t="s">
        <v>1229</v>
      </c>
      <c r="E2184" s="3" t="s">
        <v>7</v>
      </c>
      <c r="F2184" s="1">
        <v>46001</v>
      </c>
      <c r="G2184" t="str">
        <f t="shared" si="65"/>
        <v>Dec -2025</v>
      </c>
      <c r="H2184" s="12"/>
    </row>
    <row r="2185" spans="1:8" x14ac:dyDescent="0.3">
      <c r="A2185" s="2">
        <v>200002993</v>
      </c>
      <c r="B2185" s="3" t="s">
        <v>1703</v>
      </c>
      <c r="C2185" s="3" t="s">
        <v>1010</v>
      </c>
      <c r="D2185" s="3" t="s">
        <v>192</v>
      </c>
      <c r="E2185" s="3" t="s">
        <v>287</v>
      </c>
      <c r="F2185" s="1">
        <v>46001</v>
      </c>
      <c r="G2185" t="str">
        <f t="shared" si="65"/>
        <v>Dec -2025</v>
      </c>
      <c r="H2185" s="12"/>
    </row>
    <row r="2186" spans="1:8" x14ac:dyDescent="0.3">
      <c r="A2186" s="2">
        <v>1302274</v>
      </c>
      <c r="B2186" s="3" t="s">
        <v>1704</v>
      </c>
      <c r="C2186" s="3" t="s">
        <v>1010</v>
      </c>
      <c r="D2186" s="3" t="s">
        <v>209</v>
      </c>
      <c r="E2186" s="3" t="s">
        <v>228</v>
      </c>
      <c r="F2186" s="1">
        <v>46001</v>
      </c>
      <c r="G2186" t="str">
        <f t="shared" si="65"/>
        <v>Dec -2025</v>
      </c>
      <c r="H2186" s="12"/>
    </row>
    <row r="2187" spans="1:8" x14ac:dyDescent="0.3">
      <c r="A2187" s="2">
        <v>1302196</v>
      </c>
      <c r="B2187" s="3" t="s">
        <v>1406</v>
      </c>
      <c r="C2187" s="3" t="s">
        <v>1010</v>
      </c>
      <c r="D2187" s="3" t="s">
        <v>209</v>
      </c>
      <c r="E2187" s="3" t="s">
        <v>225</v>
      </c>
      <c r="F2187" s="1">
        <v>46001</v>
      </c>
      <c r="G2187" t="str">
        <f t="shared" si="65"/>
        <v>Dec -2025</v>
      </c>
      <c r="H2187" s="12"/>
    </row>
    <row r="2188" spans="1:8" x14ac:dyDescent="0.3">
      <c r="A2188" s="2">
        <v>900005386</v>
      </c>
      <c r="B2188" s="3" t="s">
        <v>1705</v>
      </c>
      <c r="C2188" s="3" t="s">
        <v>1010</v>
      </c>
      <c r="D2188" s="3" t="s">
        <v>1551</v>
      </c>
      <c r="E2188" s="3" t="s">
        <v>322</v>
      </c>
      <c r="F2188" s="1">
        <v>46001</v>
      </c>
      <c r="G2188" t="str">
        <f t="shared" si="65"/>
        <v>Dec -2025</v>
      </c>
      <c r="H2188" s="12"/>
    </row>
    <row r="2189" spans="1:8" x14ac:dyDescent="0.3">
      <c r="A2189" s="2">
        <v>900005513</v>
      </c>
      <c r="B2189" s="3" t="s">
        <v>1706</v>
      </c>
      <c r="C2189" s="3" t="s">
        <v>1010</v>
      </c>
      <c r="D2189" s="3" t="s">
        <v>1551</v>
      </c>
      <c r="E2189" s="3" t="s">
        <v>322</v>
      </c>
      <c r="F2189" s="1">
        <v>46002</v>
      </c>
      <c r="G2189" t="str">
        <f t="shared" si="65"/>
        <v>Dec -2025</v>
      </c>
      <c r="H2189" s="12"/>
    </row>
    <row r="2190" spans="1:8" x14ac:dyDescent="0.3">
      <c r="A2190" s="2">
        <v>1303169</v>
      </c>
      <c r="B2190" s="3" t="s">
        <v>1707</v>
      </c>
      <c r="C2190" s="3" t="s">
        <v>1010</v>
      </c>
      <c r="D2190" s="3" t="s">
        <v>209</v>
      </c>
      <c r="E2190" s="3" t="s">
        <v>228</v>
      </c>
      <c r="F2190" s="1">
        <v>46002</v>
      </c>
      <c r="G2190" t="str">
        <f t="shared" ref="G2190:G2205" si="66">TEXT(F2190,"mmm -YYYY")</f>
        <v>Dec -2025</v>
      </c>
      <c r="H2190" s="12"/>
    </row>
    <row r="2191" spans="1:8" x14ac:dyDescent="0.3">
      <c r="A2191" s="2">
        <v>1303322</v>
      </c>
      <c r="B2191" s="3" t="s">
        <v>1707</v>
      </c>
      <c r="C2191" s="3" t="s">
        <v>1010</v>
      </c>
      <c r="D2191" s="3" t="s">
        <v>209</v>
      </c>
      <c r="E2191" s="3" t="s">
        <v>228</v>
      </c>
      <c r="F2191" s="1">
        <v>46002</v>
      </c>
      <c r="G2191" t="str">
        <f t="shared" si="66"/>
        <v>Dec -2025</v>
      </c>
      <c r="H2191" s="12"/>
    </row>
    <row r="2192" spans="1:8" x14ac:dyDescent="0.3">
      <c r="A2192" s="2">
        <v>200002935</v>
      </c>
      <c r="B2192" s="3" t="s">
        <v>1708</v>
      </c>
      <c r="C2192" s="3" t="s">
        <v>1010</v>
      </c>
      <c r="D2192" s="3" t="s">
        <v>192</v>
      </c>
      <c r="E2192" s="3" t="s">
        <v>216</v>
      </c>
      <c r="F2192" s="1">
        <v>46002</v>
      </c>
      <c r="G2192" t="str">
        <f t="shared" si="66"/>
        <v>Dec -2025</v>
      </c>
      <c r="H2192" s="12"/>
    </row>
    <row r="2193" spans="1:8" x14ac:dyDescent="0.3">
      <c r="A2193" s="2">
        <v>200002941</v>
      </c>
      <c r="B2193" s="3" t="s">
        <v>1709</v>
      </c>
      <c r="C2193" s="3" t="s">
        <v>1010</v>
      </c>
      <c r="D2193" s="3" t="s">
        <v>192</v>
      </c>
      <c r="E2193" s="3" t="s">
        <v>1618</v>
      </c>
      <c r="F2193" s="1">
        <v>46002</v>
      </c>
      <c r="G2193" t="str">
        <f t="shared" si="66"/>
        <v>Dec -2025</v>
      </c>
      <c r="H2193" s="12"/>
    </row>
    <row r="2194" spans="1:8" x14ac:dyDescent="0.3">
      <c r="A2194" s="2">
        <v>900004639</v>
      </c>
      <c r="B2194" s="3" t="s">
        <v>1710</v>
      </c>
      <c r="C2194" s="3" t="s">
        <v>1010</v>
      </c>
      <c r="D2194" s="3" t="s">
        <v>209</v>
      </c>
      <c r="E2194" s="3" t="s">
        <v>322</v>
      </c>
      <c r="F2194" s="1">
        <v>46002</v>
      </c>
      <c r="G2194" t="str">
        <f t="shared" si="66"/>
        <v>Dec -2025</v>
      </c>
      <c r="H2194" s="12"/>
    </row>
    <row r="2195" spans="1:8" x14ac:dyDescent="0.3">
      <c r="A2195" s="2">
        <v>1306179</v>
      </c>
      <c r="B2195" s="3" t="s">
        <v>1711</v>
      </c>
      <c r="C2195" s="3" t="s">
        <v>1010</v>
      </c>
      <c r="D2195" s="3" t="s">
        <v>1020</v>
      </c>
      <c r="E2195" s="3" t="s">
        <v>228</v>
      </c>
      <c r="F2195" s="1">
        <v>46002</v>
      </c>
      <c r="G2195" t="str">
        <f t="shared" si="66"/>
        <v>Dec -2025</v>
      </c>
      <c r="H2195" s="12"/>
    </row>
    <row r="2196" spans="1:8" x14ac:dyDescent="0.3">
      <c r="A2196" s="2">
        <v>1306178</v>
      </c>
      <c r="B2196" s="3" t="s">
        <v>1711</v>
      </c>
      <c r="C2196" s="3" t="s">
        <v>1010</v>
      </c>
      <c r="D2196" s="3" t="s">
        <v>1020</v>
      </c>
      <c r="E2196" s="3" t="s">
        <v>228</v>
      </c>
      <c r="F2196" s="1">
        <v>46002</v>
      </c>
      <c r="G2196" t="str">
        <f t="shared" si="66"/>
        <v>Dec -2025</v>
      </c>
      <c r="H2196" s="12"/>
    </row>
    <row r="2197" spans="1:8" x14ac:dyDescent="0.3">
      <c r="A2197" s="2">
        <v>900005560</v>
      </c>
      <c r="B2197" s="3" t="s">
        <v>1712</v>
      </c>
      <c r="C2197" s="3" t="s">
        <v>1010</v>
      </c>
      <c r="D2197" s="3" t="s">
        <v>209</v>
      </c>
      <c r="E2197" s="3" t="s">
        <v>322</v>
      </c>
      <c r="F2197" s="1">
        <v>46002</v>
      </c>
      <c r="G2197" t="str">
        <f t="shared" si="66"/>
        <v>Dec -2025</v>
      </c>
      <c r="H2197" s="12"/>
    </row>
    <row r="2198" spans="1:8" x14ac:dyDescent="0.3">
      <c r="A2198" s="2">
        <v>1303092</v>
      </c>
      <c r="B2198" s="3" t="s">
        <v>1713</v>
      </c>
      <c r="C2198" s="3" t="s">
        <v>1010</v>
      </c>
      <c r="D2198" s="3" t="s">
        <v>209</v>
      </c>
      <c r="E2198" s="3" t="s">
        <v>228</v>
      </c>
      <c r="F2198" s="1">
        <v>46002</v>
      </c>
      <c r="G2198" t="str">
        <f t="shared" si="66"/>
        <v>Dec -2025</v>
      </c>
      <c r="H2198" s="12"/>
    </row>
    <row r="2199" spans="1:8" x14ac:dyDescent="0.3">
      <c r="A2199" s="2">
        <v>900005561</v>
      </c>
      <c r="B2199" s="3" t="s">
        <v>1714</v>
      </c>
      <c r="C2199" s="3" t="s">
        <v>1010</v>
      </c>
      <c r="D2199" s="3" t="s">
        <v>1604</v>
      </c>
      <c r="E2199" s="3" t="s">
        <v>322</v>
      </c>
      <c r="F2199" s="1">
        <v>46002</v>
      </c>
      <c r="G2199" t="str">
        <f t="shared" si="66"/>
        <v>Dec -2025</v>
      </c>
      <c r="H2199" s="12"/>
    </row>
    <row r="2200" spans="1:8" x14ac:dyDescent="0.3">
      <c r="A2200" s="2">
        <v>900005513</v>
      </c>
      <c r="B2200" s="3" t="s">
        <v>1706</v>
      </c>
      <c r="C2200" s="3" t="s">
        <v>1010</v>
      </c>
      <c r="D2200" s="3" t="s">
        <v>1551</v>
      </c>
      <c r="E2200" s="3" t="s">
        <v>322</v>
      </c>
      <c r="F2200" s="1">
        <v>46002</v>
      </c>
      <c r="G2200" t="str">
        <f t="shared" si="66"/>
        <v>Dec -2025</v>
      </c>
      <c r="H2200" s="12"/>
    </row>
    <row r="2201" spans="1:8" x14ac:dyDescent="0.3">
      <c r="A2201" s="2">
        <v>1307222</v>
      </c>
      <c r="B2201" s="3" t="s">
        <v>1715</v>
      </c>
      <c r="C2201" s="3" t="s">
        <v>1010</v>
      </c>
      <c r="D2201" s="3" t="s">
        <v>209</v>
      </c>
      <c r="E2201" s="3" t="s">
        <v>210</v>
      </c>
      <c r="F2201" s="1">
        <v>46002</v>
      </c>
      <c r="G2201" t="str">
        <f t="shared" si="66"/>
        <v>Dec -2025</v>
      </c>
      <c r="H2201" s="12"/>
    </row>
    <row r="2202" spans="1:8" x14ac:dyDescent="0.3">
      <c r="A2202" s="2">
        <v>100004852</v>
      </c>
      <c r="B2202" s="3" t="s">
        <v>1716</v>
      </c>
      <c r="C2202" s="3" t="s">
        <v>1011</v>
      </c>
      <c r="D2202" s="3" t="s">
        <v>972</v>
      </c>
      <c r="E2202" s="3" t="s">
        <v>1569</v>
      </c>
      <c r="F2202" s="1">
        <v>46002</v>
      </c>
      <c r="G2202" t="str">
        <f t="shared" si="66"/>
        <v>Dec -2025</v>
      </c>
      <c r="H2202" s="12"/>
    </row>
    <row r="2203" spans="1:8" x14ac:dyDescent="0.3">
      <c r="A2203" s="2">
        <v>100004784</v>
      </c>
      <c r="B2203" s="3" t="s">
        <v>1717</v>
      </c>
      <c r="C2203" s="3" t="s">
        <v>1011</v>
      </c>
      <c r="D2203" s="3" t="s">
        <v>972</v>
      </c>
      <c r="E2203" s="3" t="s">
        <v>1569</v>
      </c>
      <c r="F2203" s="1">
        <v>46002</v>
      </c>
      <c r="G2203" t="str">
        <f t="shared" si="66"/>
        <v>Dec -2025</v>
      </c>
      <c r="H2203" s="12"/>
    </row>
    <row r="2204" spans="1:8" x14ac:dyDescent="0.3">
      <c r="A2204" s="2">
        <v>100004753</v>
      </c>
      <c r="B2204" s="3" t="s">
        <v>1718</v>
      </c>
      <c r="C2204" s="3" t="s">
        <v>1011</v>
      </c>
      <c r="D2204" s="3" t="s">
        <v>972</v>
      </c>
      <c r="E2204" s="3" t="s">
        <v>1569</v>
      </c>
      <c r="F2204" s="1">
        <v>46002</v>
      </c>
      <c r="G2204" t="str">
        <f t="shared" si="66"/>
        <v>Dec -2025</v>
      </c>
      <c r="H2204" s="12"/>
    </row>
    <row r="2205" spans="1:8" x14ac:dyDescent="0.3">
      <c r="A2205" s="2">
        <v>100004834</v>
      </c>
      <c r="B2205" s="3" t="s">
        <v>1719</v>
      </c>
      <c r="C2205" s="3" t="s">
        <v>1011</v>
      </c>
      <c r="D2205" s="3" t="s">
        <v>972</v>
      </c>
      <c r="E2205" s="3" t="s">
        <v>1569</v>
      </c>
      <c r="F2205" s="1">
        <v>46003</v>
      </c>
      <c r="G2205" t="str">
        <f t="shared" si="66"/>
        <v>Dec -2025</v>
      </c>
      <c r="H2205" s="12"/>
    </row>
    <row r="2206" spans="1:8" x14ac:dyDescent="0.3">
      <c r="A2206" s="2">
        <v>100004780</v>
      </c>
      <c r="B2206" s="3" t="s">
        <v>1720</v>
      </c>
      <c r="C2206" s="3" t="s">
        <v>1011</v>
      </c>
      <c r="D2206" s="3" t="s">
        <v>972</v>
      </c>
      <c r="E2206" s="3" t="s">
        <v>1569</v>
      </c>
      <c r="F2206" s="1">
        <v>46003</v>
      </c>
      <c r="G2206" t="str">
        <f t="shared" ref="G2206:G2216" si="67">TEXT(F2206,"mmm -YYYY")</f>
        <v>Dec -2025</v>
      </c>
      <c r="H2206" s="12"/>
    </row>
    <row r="2207" spans="1:8" x14ac:dyDescent="0.3">
      <c r="A2207" s="2">
        <v>100004754</v>
      </c>
      <c r="B2207" s="3" t="s">
        <v>1721</v>
      </c>
      <c r="C2207" s="3" t="s">
        <v>1011</v>
      </c>
      <c r="D2207" s="3" t="s">
        <v>972</v>
      </c>
      <c r="E2207" s="3" t="s">
        <v>1569</v>
      </c>
      <c r="F2207" s="1">
        <v>46003</v>
      </c>
      <c r="G2207" t="str">
        <f t="shared" si="67"/>
        <v>Dec -2025</v>
      </c>
      <c r="H2207" s="12"/>
    </row>
    <row r="2208" spans="1:8" x14ac:dyDescent="0.3">
      <c r="A2208" s="2">
        <v>100004882</v>
      </c>
      <c r="B2208" s="3" t="s">
        <v>1722</v>
      </c>
      <c r="C2208" s="3" t="s">
        <v>1011</v>
      </c>
      <c r="D2208" s="3" t="s">
        <v>972</v>
      </c>
      <c r="E2208" s="3" t="s">
        <v>1569</v>
      </c>
      <c r="F2208" s="1">
        <v>46003</v>
      </c>
      <c r="G2208" t="str">
        <f t="shared" si="67"/>
        <v>Dec -2025</v>
      </c>
      <c r="H2208" s="12"/>
    </row>
    <row r="2209" spans="1:8" x14ac:dyDescent="0.3">
      <c r="A2209" s="2">
        <v>100004873</v>
      </c>
      <c r="B2209" s="3" t="s">
        <v>1723</v>
      </c>
      <c r="C2209" s="3" t="s">
        <v>1011</v>
      </c>
      <c r="D2209" s="3" t="s">
        <v>972</v>
      </c>
      <c r="E2209" s="3" t="s">
        <v>1569</v>
      </c>
      <c r="F2209" s="1">
        <v>46003</v>
      </c>
      <c r="G2209" t="str">
        <f t="shared" si="67"/>
        <v>Dec -2025</v>
      </c>
      <c r="H2209" s="12"/>
    </row>
    <row r="2210" spans="1:8" x14ac:dyDescent="0.3">
      <c r="A2210" s="2">
        <v>100004836</v>
      </c>
      <c r="B2210" s="3" t="s">
        <v>1724</v>
      </c>
      <c r="C2210" s="3" t="s">
        <v>1011</v>
      </c>
      <c r="D2210" s="3" t="s">
        <v>972</v>
      </c>
      <c r="E2210" s="3" t="s">
        <v>1569</v>
      </c>
      <c r="F2210" s="1">
        <v>46003</v>
      </c>
      <c r="G2210" t="str">
        <f t="shared" si="67"/>
        <v>Dec -2025</v>
      </c>
      <c r="H2210" s="12"/>
    </row>
    <row r="2211" spans="1:8" x14ac:dyDescent="0.3">
      <c r="A2211" s="2">
        <v>1307099</v>
      </c>
      <c r="B2211" s="3" t="s">
        <v>356</v>
      </c>
      <c r="C2211" s="3" t="s">
        <v>1010</v>
      </c>
      <c r="D2211" s="3" t="s">
        <v>209</v>
      </c>
      <c r="E2211" s="3" t="s">
        <v>357</v>
      </c>
      <c r="F2211" s="1">
        <v>46003</v>
      </c>
      <c r="G2211" t="str">
        <f t="shared" si="67"/>
        <v>Dec -2025</v>
      </c>
      <c r="H2211" s="12"/>
    </row>
    <row r="2212" spans="1:8" x14ac:dyDescent="0.3">
      <c r="A2212" s="2">
        <v>1307096</v>
      </c>
      <c r="B2212" s="3" t="s">
        <v>356</v>
      </c>
      <c r="C2212" s="3" t="s">
        <v>1010</v>
      </c>
      <c r="D2212" s="3" t="s">
        <v>209</v>
      </c>
      <c r="E2212" s="3" t="s">
        <v>357</v>
      </c>
      <c r="F2212" s="1">
        <v>46003</v>
      </c>
      <c r="G2212" t="str">
        <f t="shared" si="67"/>
        <v>Dec -2025</v>
      </c>
      <c r="H2212" s="12"/>
    </row>
    <row r="2213" spans="1:8" x14ac:dyDescent="0.3">
      <c r="A2213" s="2">
        <v>1307098</v>
      </c>
      <c r="B2213" s="3" t="s">
        <v>356</v>
      </c>
      <c r="C2213" s="3" t="s">
        <v>1010</v>
      </c>
      <c r="D2213" s="3" t="s">
        <v>209</v>
      </c>
      <c r="E2213" s="3" t="s">
        <v>357</v>
      </c>
      <c r="F2213" s="1">
        <v>46003</v>
      </c>
      <c r="G2213" t="str">
        <f t="shared" si="67"/>
        <v>Dec -2025</v>
      </c>
      <c r="H2213" s="12"/>
    </row>
    <row r="2214" spans="1:8" x14ac:dyDescent="0.3">
      <c r="A2214" s="2">
        <v>900005519</v>
      </c>
      <c r="B2214" s="3" t="s">
        <v>1725</v>
      </c>
      <c r="C2214" s="3" t="s">
        <v>1010</v>
      </c>
      <c r="D2214" s="3" t="s">
        <v>1551</v>
      </c>
      <c r="E2214" s="3" t="s">
        <v>322</v>
      </c>
      <c r="F2214" s="1">
        <v>46003</v>
      </c>
      <c r="G2214" t="str">
        <f t="shared" si="67"/>
        <v>Dec -2025</v>
      </c>
      <c r="H2214" s="12"/>
    </row>
    <row r="2215" spans="1:8" x14ac:dyDescent="0.3">
      <c r="A2215" s="2">
        <v>200002919</v>
      </c>
      <c r="B2215" s="3" t="s">
        <v>1726</v>
      </c>
      <c r="C2215" s="3" t="s">
        <v>1010</v>
      </c>
      <c r="D2215" s="3" t="s">
        <v>192</v>
      </c>
      <c r="E2215" s="3" t="s">
        <v>216</v>
      </c>
      <c r="F2215" s="1">
        <v>46003</v>
      </c>
      <c r="G2215" t="str">
        <f t="shared" si="67"/>
        <v>Dec -2025</v>
      </c>
      <c r="H2215" s="12"/>
    </row>
    <row r="2216" spans="1:8" x14ac:dyDescent="0.3">
      <c r="A2216" s="2">
        <v>200002994</v>
      </c>
      <c r="B2216" s="3" t="s">
        <v>1727</v>
      </c>
      <c r="C2216" s="3" t="s">
        <v>1010</v>
      </c>
      <c r="D2216" s="3" t="s">
        <v>192</v>
      </c>
      <c r="E2216" s="3" t="s">
        <v>1544</v>
      </c>
      <c r="F2216" s="1">
        <v>46003</v>
      </c>
      <c r="G2216" t="str">
        <f t="shared" si="67"/>
        <v>Dec -2025</v>
      </c>
      <c r="H2216" s="12"/>
    </row>
    <row r="2217" spans="1:8" x14ac:dyDescent="0.3">
      <c r="A2217" s="2">
        <v>900005465</v>
      </c>
      <c r="B2217" s="3" t="s">
        <v>1728</v>
      </c>
      <c r="C2217" s="3" t="s">
        <v>1010</v>
      </c>
      <c r="D2217" s="3" t="s">
        <v>1551</v>
      </c>
      <c r="E2217" s="3" t="s">
        <v>322</v>
      </c>
      <c r="F2217" s="1">
        <v>46003</v>
      </c>
      <c r="G2217" t="str">
        <f t="shared" ref="G2217:G2221" si="68">TEXT(F2217,"mmm -YYYY")</f>
        <v>Dec -2025</v>
      </c>
      <c r="H2217" s="12"/>
    </row>
    <row r="2218" spans="1:8" x14ac:dyDescent="0.3">
      <c r="A2218" s="2">
        <v>900005570</v>
      </c>
      <c r="B2218" s="3" t="s">
        <v>1729</v>
      </c>
      <c r="C2218" s="3" t="s">
        <v>1010</v>
      </c>
      <c r="D2218" s="3" t="s">
        <v>1551</v>
      </c>
      <c r="E2218" s="3" t="s">
        <v>322</v>
      </c>
      <c r="F2218" s="1">
        <v>46003</v>
      </c>
      <c r="G2218" t="str">
        <f t="shared" si="68"/>
        <v>Dec -2025</v>
      </c>
      <c r="H2218" s="12"/>
    </row>
    <row r="2219" spans="1:8" x14ac:dyDescent="0.3">
      <c r="A2219" s="2">
        <v>900005559</v>
      </c>
      <c r="B2219" s="3" t="s">
        <v>1730</v>
      </c>
      <c r="C2219" s="3" t="s">
        <v>1010</v>
      </c>
      <c r="D2219" s="3" t="s">
        <v>1551</v>
      </c>
      <c r="E2219" s="3" t="s">
        <v>322</v>
      </c>
      <c r="F2219" s="1">
        <v>46003</v>
      </c>
      <c r="G2219" t="str">
        <f t="shared" si="68"/>
        <v>Dec -2025</v>
      </c>
      <c r="H2219" s="12"/>
    </row>
    <row r="2220" spans="1:8" x14ac:dyDescent="0.3">
      <c r="A2220" s="2">
        <v>900005557</v>
      </c>
      <c r="B2220" s="3" t="s">
        <v>1731</v>
      </c>
      <c r="C2220" s="3" t="s">
        <v>1010</v>
      </c>
      <c r="D2220" s="3" t="s">
        <v>1551</v>
      </c>
      <c r="E2220" s="3" t="s">
        <v>322</v>
      </c>
      <c r="F2220" s="1">
        <v>46003</v>
      </c>
      <c r="G2220" t="str">
        <f t="shared" si="68"/>
        <v>Dec -2025</v>
      </c>
      <c r="H2220" s="12"/>
    </row>
    <row r="2221" spans="1:8" x14ac:dyDescent="0.3">
      <c r="A2221" s="2">
        <v>1309479</v>
      </c>
      <c r="B2221" s="3" t="s">
        <v>1732</v>
      </c>
      <c r="C2221" s="3" t="s">
        <v>1010</v>
      </c>
      <c r="D2221" s="3" t="s">
        <v>364</v>
      </c>
      <c r="E2221" s="3" t="s">
        <v>1034</v>
      </c>
      <c r="F2221" s="1">
        <v>46006</v>
      </c>
      <c r="G2221" t="str">
        <f t="shared" si="68"/>
        <v>Dec -2025</v>
      </c>
      <c r="H2221" s="12"/>
    </row>
    <row r="2222" spans="1:8" x14ac:dyDescent="0.3">
      <c r="A2222" s="2">
        <v>1309572</v>
      </c>
      <c r="B2222" s="3" t="s">
        <v>1733</v>
      </c>
      <c r="C2222" s="3" t="s">
        <v>1010</v>
      </c>
      <c r="D2222" s="3" t="s">
        <v>364</v>
      </c>
      <c r="E2222" s="3" t="s">
        <v>1034</v>
      </c>
      <c r="F2222" s="1">
        <v>46006</v>
      </c>
      <c r="G2222" t="str">
        <f t="shared" ref="G2222:G2245" si="69">TEXT(F2222,"mmm -YYYY")</f>
        <v>Dec -2025</v>
      </c>
      <c r="H2222" s="12"/>
    </row>
    <row r="2223" spans="1:8" x14ac:dyDescent="0.3">
      <c r="A2223" s="2">
        <v>1317146</v>
      </c>
      <c r="B2223" s="3" t="s">
        <v>47</v>
      </c>
      <c r="C2223" s="3" t="s">
        <v>1010</v>
      </c>
      <c r="D2223" s="3" t="s">
        <v>1020</v>
      </c>
      <c r="E2223" s="3" t="s">
        <v>211</v>
      </c>
      <c r="F2223" s="1">
        <v>46006</v>
      </c>
      <c r="G2223" t="str">
        <f t="shared" si="69"/>
        <v>Dec -2025</v>
      </c>
      <c r="H2223" s="12"/>
    </row>
    <row r="2224" spans="1:8" x14ac:dyDescent="0.3">
      <c r="A2224" s="2">
        <v>1302282</v>
      </c>
      <c r="B2224" s="3" t="s">
        <v>301</v>
      </c>
      <c r="C2224" s="3" t="s">
        <v>1010</v>
      </c>
      <c r="D2224" s="3" t="s">
        <v>1020</v>
      </c>
      <c r="E2224" s="3" t="s">
        <v>268</v>
      </c>
      <c r="F2224" s="1">
        <v>46006</v>
      </c>
      <c r="G2224" t="str">
        <f t="shared" si="69"/>
        <v>Dec -2025</v>
      </c>
      <c r="H2224" s="12"/>
    </row>
    <row r="2225" spans="1:8" x14ac:dyDescent="0.3">
      <c r="A2225" s="2">
        <v>1306378</v>
      </c>
      <c r="B2225" s="3" t="s">
        <v>47</v>
      </c>
      <c r="C2225" s="3" t="s">
        <v>1010</v>
      </c>
      <c r="D2225" s="3" t="s">
        <v>1020</v>
      </c>
      <c r="E2225" s="3" t="s">
        <v>211</v>
      </c>
      <c r="F2225" s="1">
        <v>46006</v>
      </c>
      <c r="G2225" t="str">
        <f t="shared" si="69"/>
        <v>Dec -2025</v>
      </c>
      <c r="H2225" s="12"/>
    </row>
    <row r="2226" spans="1:8" x14ac:dyDescent="0.3">
      <c r="A2226" s="2">
        <v>1306501</v>
      </c>
      <c r="B2226" s="3" t="s">
        <v>47</v>
      </c>
      <c r="C2226" s="3" t="s">
        <v>1010</v>
      </c>
      <c r="D2226" s="3" t="s">
        <v>1020</v>
      </c>
      <c r="E2226" s="3" t="s">
        <v>211</v>
      </c>
      <c r="F2226" s="1">
        <v>46006</v>
      </c>
      <c r="G2226" t="str">
        <f t="shared" si="69"/>
        <v>Dec -2025</v>
      </c>
      <c r="H2226" s="12"/>
    </row>
    <row r="2227" spans="1:8" x14ac:dyDescent="0.3">
      <c r="A2227" s="2">
        <v>1317922</v>
      </c>
      <c r="B2227" s="3" t="s">
        <v>1734</v>
      </c>
      <c r="C2227" s="3" t="s">
        <v>1010</v>
      </c>
      <c r="D2227" s="3" t="s">
        <v>209</v>
      </c>
      <c r="E2227" s="3" t="s">
        <v>228</v>
      </c>
      <c r="F2227" s="1">
        <v>46006</v>
      </c>
      <c r="G2227" t="str">
        <f t="shared" si="69"/>
        <v>Dec -2025</v>
      </c>
      <c r="H2227" s="12"/>
    </row>
    <row r="2228" spans="1:8" x14ac:dyDescent="0.3">
      <c r="A2228" s="2">
        <v>1320892</v>
      </c>
      <c r="B2228" s="3" t="s">
        <v>1735</v>
      </c>
      <c r="C2228" s="3" t="s">
        <v>1010</v>
      </c>
      <c r="D2228" s="3" t="s">
        <v>209</v>
      </c>
      <c r="E2228" s="3" t="s">
        <v>357</v>
      </c>
      <c r="F2228" s="1">
        <v>46006</v>
      </c>
      <c r="G2228" t="str">
        <f t="shared" si="69"/>
        <v>Dec -2025</v>
      </c>
      <c r="H2228" s="12"/>
    </row>
    <row r="2229" spans="1:8" x14ac:dyDescent="0.3">
      <c r="A2229" s="2">
        <v>100004707</v>
      </c>
      <c r="B2229" s="3" t="s">
        <v>1736</v>
      </c>
      <c r="C2229" s="3" t="s">
        <v>1011</v>
      </c>
      <c r="D2229" s="3" t="s">
        <v>972</v>
      </c>
      <c r="E2229" s="3" t="s">
        <v>1569</v>
      </c>
      <c r="F2229" s="1">
        <v>46006</v>
      </c>
      <c r="G2229" t="str">
        <f t="shared" si="69"/>
        <v>Dec -2025</v>
      </c>
      <c r="H2229" s="12"/>
    </row>
    <row r="2230" spans="1:8" x14ac:dyDescent="0.3">
      <c r="A2230" s="2">
        <v>100004812</v>
      </c>
      <c r="B2230" s="3" t="s">
        <v>1737</v>
      </c>
      <c r="C2230" s="3" t="s">
        <v>1011</v>
      </c>
      <c r="D2230" s="3" t="s">
        <v>972</v>
      </c>
      <c r="E2230" s="3" t="s">
        <v>1569</v>
      </c>
      <c r="F2230" s="1">
        <v>46006</v>
      </c>
      <c r="G2230" t="str">
        <f t="shared" si="69"/>
        <v>Dec -2025</v>
      </c>
      <c r="H2230" s="12"/>
    </row>
    <row r="2231" spans="1:8" x14ac:dyDescent="0.3">
      <c r="A2231" s="2">
        <v>100004891</v>
      </c>
      <c r="B2231" s="3" t="s">
        <v>1738</v>
      </c>
      <c r="C2231" s="3" t="s">
        <v>1011</v>
      </c>
      <c r="D2231" s="3" t="s">
        <v>972</v>
      </c>
      <c r="E2231" s="3" t="s">
        <v>981</v>
      </c>
      <c r="F2231" s="1">
        <v>46006</v>
      </c>
      <c r="G2231" t="str">
        <f t="shared" si="69"/>
        <v>Dec -2025</v>
      </c>
      <c r="H2231" s="12"/>
    </row>
    <row r="2232" spans="1:8" x14ac:dyDescent="0.3">
      <c r="A2232" s="2">
        <v>100004881</v>
      </c>
      <c r="B2232" s="3" t="s">
        <v>1739</v>
      </c>
      <c r="C2232" s="3" t="s">
        <v>1011</v>
      </c>
      <c r="D2232" s="3" t="s">
        <v>972</v>
      </c>
      <c r="E2232" s="3" t="s">
        <v>968</v>
      </c>
      <c r="F2232" s="1">
        <v>46006</v>
      </c>
      <c r="G2232" t="str">
        <f t="shared" si="69"/>
        <v>Dec -2025</v>
      </c>
      <c r="H2232" s="12"/>
    </row>
    <row r="2233" spans="1:8" x14ac:dyDescent="0.3">
      <c r="A2233" s="2">
        <v>100004893</v>
      </c>
      <c r="B2233" s="3" t="s">
        <v>1740</v>
      </c>
      <c r="C2233" s="3" t="s">
        <v>1011</v>
      </c>
      <c r="D2233" s="3" t="s">
        <v>972</v>
      </c>
      <c r="E2233" s="3" t="s">
        <v>981</v>
      </c>
      <c r="F2233" s="1">
        <v>46006</v>
      </c>
      <c r="G2233" t="str">
        <f t="shared" si="69"/>
        <v>Dec -2025</v>
      </c>
      <c r="H2233" s="12"/>
    </row>
    <row r="2234" spans="1:8" x14ac:dyDescent="0.3">
      <c r="A2234" s="2">
        <v>100004827</v>
      </c>
      <c r="B2234" s="3" t="s">
        <v>1741</v>
      </c>
      <c r="C2234" s="3" t="s">
        <v>1011</v>
      </c>
      <c r="D2234" s="3" t="s">
        <v>972</v>
      </c>
      <c r="E2234" s="3" t="s">
        <v>1569</v>
      </c>
      <c r="F2234" s="1">
        <v>46006</v>
      </c>
      <c r="G2234" t="str">
        <f t="shared" si="69"/>
        <v>Dec -2025</v>
      </c>
      <c r="H2234" s="12"/>
    </row>
    <row r="2235" spans="1:8" x14ac:dyDescent="0.3">
      <c r="A2235" s="4">
        <v>1318035</v>
      </c>
      <c r="B2235" t="s">
        <v>1742</v>
      </c>
      <c r="C2235" s="3" t="s">
        <v>1010</v>
      </c>
      <c r="D2235" s="3" t="s">
        <v>1259</v>
      </c>
      <c r="E2235" t="s">
        <v>228</v>
      </c>
      <c r="F2235" s="1">
        <v>46007</v>
      </c>
      <c r="G2235" t="str">
        <f t="shared" si="69"/>
        <v>Dec -2025</v>
      </c>
    </row>
    <row r="2236" spans="1:8" x14ac:dyDescent="0.3">
      <c r="A2236" s="4">
        <v>1318038</v>
      </c>
      <c r="B2236" t="s">
        <v>1743</v>
      </c>
      <c r="C2236" s="3" t="s">
        <v>1010</v>
      </c>
      <c r="D2236" s="3" t="s">
        <v>1259</v>
      </c>
      <c r="E2236" t="s">
        <v>228</v>
      </c>
      <c r="F2236" s="1">
        <v>46007</v>
      </c>
      <c r="G2236" t="str">
        <f t="shared" si="69"/>
        <v>Dec -2025</v>
      </c>
    </row>
    <row r="2237" spans="1:8" x14ac:dyDescent="0.3">
      <c r="A2237" s="4">
        <v>1324824</v>
      </c>
      <c r="B2237" t="s">
        <v>1744</v>
      </c>
      <c r="C2237" s="3" t="s">
        <v>1010</v>
      </c>
      <c r="D2237" s="3" t="s">
        <v>1259</v>
      </c>
      <c r="E2237" t="s">
        <v>228</v>
      </c>
      <c r="F2237" s="1">
        <v>46007</v>
      </c>
      <c r="G2237" t="str">
        <f t="shared" si="69"/>
        <v>Dec -2025</v>
      </c>
    </row>
    <row r="2238" spans="1:8" x14ac:dyDescent="0.3">
      <c r="A2238" s="4">
        <v>1325811</v>
      </c>
      <c r="B2238" t="s">
        <v>1745</v>
      </c>
      <c r="C2238" s="3" t="s">
        <v>1010</v>
      </c>
      <c r="D2238" s="3" t="s">
        <v>1259</v>
      </c>
      <c r="E2238" t="s">
        <v>228</v>
      </c>
      <c r="F2238" s="1">
        <v>46007</v>
      </c>
      <c r="G2238" t="str">
        <f t="shared" si="69"/>
        <v>Dec -2025</v>
      </c>
    </row>
    <row r="2239" spans="1:8" x14ac:dyDescent="0.3">
      <c r="A2239" s="4">
        <v>1327263</v>
      </c>
      <c r="B2239" t="s">
        <v>1746</v>
      </c>
      <c r="C2239" s="3" t="s">
        <v>1010</v>
      </c>
      <c r="D2239" s="3" t="s">
        <v>1259</v>
      </c>
      <c r="E2239" t="s">
        <v>228</v>
      </c>
      <c r="F2239" s="1">
        <v>46007</v>
      </c>
      <c r="G2239" t="str">
        <f t="shared" si="69"/>
        <v>Dec -2025</v>
      </c>
    </row>
    <row r="2240" spans="1:8" x14ac:dyDescent="0.3">
      <c r="A2240" s="4">
        <v>1325819</v>
      </c>
      <c r="B2240" t="s">
        <v>1747</v>
      </c>
      <c r="C2240" s="3" t="s">
        <v>1010</v>
      </c>
      <c r="D2240" s="3" t="s">
        <v>1259</v>
      </c>
      <c r="E2240" t="s">
        <v>228</v>
      </c>
      <c r="F2240" s="1">
        <v>46007</v>
      </c>
      <c r="G2240" t="str">
        <f t="shared" si="69"/>
        <v>Dec -2025</v>
      </c>
    </row>
    <row r="2241" spans="1:7" x14ac:dyDescent="0.3">
      <c r="A2241" s="4">
        <v>1361029</v>
      </c>
      <c r="B2241" t="s">
        <v>1748</v>
      </c>
      <c r="C2241" s="3" t="s">
        <v>1010</v>
      </c>
      <c r="D2241" s="3" t="s">
        <v>209</v>
      </c>
      <c r="E2241" t="s">
        <v>210</v>
      </c>
      <c r="F2241" s="1">
        <v>46007</v>
      </c>
      <c r="G2241" t="str">
        <f t="shared" si="69"/>
        <v>Dec -2025</v>
      </c>
    </row>
    <row r="2242" spans="1:7" x14ac:dyDescent="0.3">
      <c r="A2242" s="4">
        <v>1325819</v>
      </c>
      <c r="B2242" t="s">
        <v>1747</v>
      </c>
      <c r="C2242" s="3" t="s">
        <v>1010</v>
      </c>
      <c r="D2242" s="3" t="s">
        <v>1259</v>
      </c>
      <c r="E2242" t="s">
        <v>228</v>
      </c>
      <c r="F2242" s="1">
        <v>46007</v>
      </c>
      <c r="G2242" t="str">
        <f t="shared" si="69"/>
        <v>Dec -2025</v>
      </c>
    </row>
    <row r="2243" spans="1:7" x14ac:dyDescent="0.3">
      <c r="A2243" s="4">
        <v>1363509</v>
      </c>
      <c r="B2243" t="s">
        <v>29</v>
      </c>
      <c r="C2243" s="3" t="s">
        <v>1010</v>
      </c>
      <c r="D2243" s="3" t="s">
        <v>1020</v>
      </c>
      <c r="E2243" t="s">
        <v>338</v>
      </c>
      <c r="F2243" s="1">
        <v>46007</v>
      </c>
      <c r="G2243" t="str">
        <f t="shared" si="69"/>
        <v>Dec -2025</v>
      </c>
    </row>
    <row r="2244" spans="1:7" x14ac:dyDescent="0.3">
      <c r="A2244" s="4">
        <v>1364491</v>
      </c>
      <c r="B2244" t="s">
        <v>29</v>
      </c>
      <c r="C2244" s="3" t="s">
        <v>1010</v>
      </c>
      <c r="D2244" s="3" t="s">
        <v>1020</v>
      </c>
      <c r="E2244" t="s">
        <v>338</v>
      </c>
      <c r="F2244" s="1">
        <v>46007</v>
      </c>
      <c r="G2244" t="str">
        <f t="shared" si="69"/>
        <v>Dec -2025</v>
      </c>
    </row>
    <row r="2245" spans="1:7" x14ac:dyDescent="0.3">
      <c r="A2245" s="4">
        <v>1335968</v>
      </c>
      <c r="B2245" t="s">
        <v>1749</v>
      </c>
      <c r="C2245" s="3" t="s">
        <v>1010</v>
      </c>
      <c r="D2245" s="3" t="s">
        <v>1259</v>
      </c>
      <c r="E2245" t="s">
        <v>228</v>
      </c>
      <c r="F2245" s="1">
        <v>46007</v>
      </c>
      <c r="G2245" t="str">
        <f t="shared" si="69"/>
        <v>Dec -2025</v>
      </c>
    </row>
    <row r="2246" spans="1:7" x14ac:dyDescent="0.3">
      <c r="A2246" s="4">
        <v>100004941</v>
      </c>
      <c r="B2246" t="s">
        <v>1750</v>
      </c>
      <c r="C2246" s="3" t="s">
        <v>1011</v>
      </c>
      <c r="D2246" s="3" t="s">
        <v>972</v>
      </c>
      <c r="E2246" s="3" t="s">
        <v>967</v>
      </c>
      <c r="F2246" s="1">
        <v>46007</v>
      </c>
      <c r="G2246" t="str">
        <f t="shared" ref="G2246:G2251" si="70">TEXT(F2246,"mmm -YYYY")</f>
        <v>Dec -2025</v>
      </c>
    </row>
    <row r="2247" spans="1:7" x14ac:dyDescent="0.3">
      <c r="A2247" s="4">
        <v>100004773</v>
      </c>
      <c r="B2247" t="s">
        <v>1751</v>
      </c>
      <c r="C2247" s="3" t="s">
        <v>1011</v>
      </c>
      <c r="D2247" s="3" t="s">
        <v>972</v>
      </c>
      <c r="E2247" s="3" t="s">
        <v>1569</v>
      </c>
      <c r="F2247" s="1">
        <v>46007</v>
      </c>
      <c r="G2247" t="str">
        <f t="shared" si="70"/>
        <v>Dec -2025</v>
      </c>
    </row>
    <row r="2248" spans="1:7" x14ac:dyDescent="0.3">
      <c r="A2248" s="4">
        <v>100004747</v>
      </c>
      <c r="B2248" s="2" t="s">
        <v>1752</v>
      </c>
      <c r="C2248" s="3" t="s">
        <v>1011</v>
      </c>
      <c r="D2248" s="3" t="s">
        <v>972</v>
      </c>
      <c r="E2248" s="3" t="s">
        <v>1569</v>
      </c>
      <c r="F2248" s="1">
        <v>46007</v>
      </c>
      <c r="G2248" t="str">
        <f t="shared" si="70"/>
        <v>Dec -2025</v>
      </c>
    </row>
    <row r="2249" spans="1:7" x14ac:dyDescent="0.3">
      <c r="A2249" s="4">
        <v>100004916</v>
      </c>
      <c r="B2249" s="4" t="s">
        <v>1753</v>
      </c>
      <c r="C2249" s="3" t="s">
        <v>1011</v>
      </c>
      <c r="D2249" s="3" t="s">
        <v>972</v>
      </c>
      <c r="E2249" s="3" t="s">
        <v>967</v>
      </c>
      <c r="F2249" s="1">
        <v>46007</v>
      </c>
      <c r="G2249" t="str">
        <f t="shared" si="70"/>
        <v>Dec -2025</v>
      </c>
    </row>
    <row r="2250" spans="1:7" x14ac:dyDescent="0.3">
      <c r="A2250" s="4">
        <v>100004753</v>
      </c>
      <c r="B2250" s="2" t="s">
        <v>1718</v>
      </c>
      <c r="C2250" s="3" t="s">
        <v>1011</v>
      </c>
      <c r="D2250" s="3" t="s">
        <v>972</v>
      </c>
      <c r="E2250" s="3" t="s">
        <v>1569</v>
      </c>
      <c r="F2250" s="1">
        <v>46007</v>
      </c>
      <c r="G2250" t="str">
        <f t="shared" si="70"/>
        <v>Dec -2025</v>
      </c>
    </row>
    <row r="2251" spans="1:7" x14ac:dyDescent="0.3">
      <c r="A2251" s="4">
        <v>100004963</v>
      </c>
      <c r="B2251" s="2" t="s">
        <v>1754</v>
      </c>
      <c r="C2251" s="3" t="s">
        <v>1011</v>
      </c>
      <c r="D2251" s="3" t="s">
        <v>972</v>
      </c>
      <c r="E2251" s="3" t="s">
        <v>1569</v>
      </c>
      <c r="F2251" s="1">
        <v>46008</v>
      </c>
      <c r="G2251" t="str">
        <f t="shared" si="70"/>
        <v>Dec -2025</v>
      </c>
    </row>
    <row r="2252" spans="1:7" x14ac:dyDescent="0.3">
      <c r="A2252" s="4">
        <v>100004884</v>
      </c>
      <c r="B2252" s="2" t="s">
        <v>1755</v>
      </c>
      <c r="C2252" s="3" t="s">
        <v>1011</v>
      </c>
      <c r="D2252" s="3" t="s">
        <v>972</v>
      </c>
      <c r="E2252" s="3" t="s">
        <v>1569</v>
      </c>
      <c r="F2252" s="1">
        <v>46008</v>
      </c>
      <c r="G2252" t="str">
        <f t="shared" ref="G2252:G2254" si="71">TEXT(F2252,"mmm -YYYY")</f>
        <v>Dec -2025</v>
      </c>
    </row>
    <row r="2253" spans="1:7" x14ac:dyDescent="0.3">
      <c r="A2253" s="4">
        <v>100004915</v>
      </c>
      <c r="B2253" s="2" t="s">
        <v>1756</v>
      </c>
      <c r="C2253" s="3" t="s">
        <v>1011</v>
      </c>
      <c r="D2253" s="3" t="s">
        <v>972</v>
      </c>
      <c r="E2253" s="3" t="s">
        <v>1569</v>
      </c>
      <c r="F2253" s="1">
        <v>46008</v>
      </c>
      <c r="G2253" t="str">
        <f t="shared" si="71"/>
        <v>Dec -2025</v>
      </c>
    </row>
    <row r="2254" spans="1:7" x14ac:dyDescent="0.3">
      <c r="A2254" s="4">
        <v>100004984</v>
      </c>
      <c r="B2254" s="2" t="s">
        <v>1757</v>
      </c>
      <c r="C2254" s="3" t="s">
        <v>1011</v>
      </c>
      <c r="D2254" s="3" t="s">
        <v>972</v>
      </c>
      <c r="E2254" s="3" t="s">
        <v>967</v>
      </c>
      <c r="F2254" s="1">
        <v>46008</v>
      </c>
      <c r="G2254" t="str">
        <f t="shared" si="71"/>
        <v>Dec -2025</v>
      </c>
    </row>
    <row r="2255" spans="1:7" x14ac:dyDescent="0.3">
      <c r="A2255" s="4">
        <v>1359047</v>
      </c>
      <c r="B2255" s="2" t="s">
        <v>1758</v>
      </c>
      <c r="C2255" s="3" t="s">
        <v>1010</v>
      </c>
      <c r="D2255" s="3" t="s">
        <v>1259</v>
      </c>
      <c r="E2255" s="3" t="s">
        <v>228</v>
      </c>
      <c r="F2255" s="1">
        <v>46008</v>
      </c>
      <c r="G2255" t="str">
        <f t="shared" ref="G2255:G2280" si="72">TEXT(F2255,"mmm -YYYY")</f>
        <v>Dec -2025</v>
      </c>
    </row>
    <row r="2256" spans="1:7" x14ac:dyDescent="0.3">
      <c r="A2256" s="4">
        <v>1359050</v>
      </c>
      <c r="B2256" s="2" t="s">
        <v>1759</v>
      </c>
      <c r="C2256" s="3" t="s">
        <v>1010</v>
      </c>
      <c r="D2256" s="3" t="s">
        <v>1259</v>
      </c>
      <c r="E2256" s="3" t="s">
        <v>228</v>
      </c>
      <c r="F2256" s="1">
        <v>46008</v>
      </c>
      <c r="G2256" t="str">
        <f t="shared" si="72"/>
        <v>Dec -2025</v>
      </c>
    </row>
    <row r="2257" spans="1:7" x14ac:dyDescent="0.3">
      <c r="A2257" s="4">
        <v>1406003</v>
      </c>
      <c r="B2257" s="2" t="s">
        <v>1760</v>
      </c>
      <c r="C2257" s="3" t="s">
        <v>1010</v>
      </c>
      <c r="D2257" s="3" t="s">
        <v>209</v>
      </c>
      <c r="E2257" s="3" t="s">
        <v>228</v>
      </c>
      <c r="F2257" s="1">
        <v>46008</v>
      </c>
      <c r="G2257" t="str">
        <f t="shared" si="72"/>
        <v>Dec -2025</v>
      </c>
    </row>
    <row r="2258" spans="1:7" x14ac:dyDescent="0.3">
      <c r="A2258" s="4">
        <v>1361529</v>
      </c>
      <c r="B2258" s="2" t="s">
        <v>1761</v>
      </c>
      <c r="C2258" s="3" t="s">
        <v>1010</v>
      </c>
      <c r="D2258" s="3" t="s">
        <v>1259</v>
      </c>
      <c r="E2258" s="3" t="s">
        <v>228</v>
      </c>
      <c r="F2258" s="1">
        <v>46008</v>
      </c>
      <c r="G2258" t="str">
        <f t="shared" si="72"/>
        <v>Dec -2025</v>
      </c>
    </row>
    <row r="2259" spans="1:7" x14ac:dyDescent="0.3">
      <c r="A2259" s="4">
        <v>1362508</v>
      </c>
      <c r="B2259" s="2" t="s">
        <v>1762</v>
      </c>
      <c r="C2259" s="3" t="s">
        <v>1010</v>
      </c>
      <c r="D2259" s="3" t="s">
        <v>1259</v>
      </c>
      <c r="E2259" s="3" t="s">
        <v>228</v>
      </c>
      <c r="F2259" s="1">
        <v>46008</v>
      </c>
      <c r="G2259" t="str">
        <f t="shared" si="72"/>
        <v>Dec -2025</v>
      </c>
    </row>
    <row r="2260" spans="1:7" x14ac:dyDescent="0.3">
      <c r="A2260" s="4">
        <v>1363501</v>
      </c>
      <c r="B2260" s="2" t="s">
        <v>1763</v>
      </c>
      <c r="C2260" s="3" t="s">
        <v>1010</v>
      </c>
      <c r="D2260" s="3" t="s">
        <v>1259</v>
      </c>
      <c r="E2260" s="3" t="s">
        <v>228</v>
      </c>
      <c r="F2260" s="1">
        <v>46008</v>
      </c>
      <c r="G2260" t="str">
        <f t="shared" si="72"/>
        <v>Dec -2025</v>
      </c>
    </row>
    <row r="2261" spans="1:7" x14ac:dyDescent="0.3">
      <c r="A2261" s="4">
        <v>1364496</v>
      </c>
      <c r="B2261" s="2" t="s">
        <v>1764</v>
      </c>
      <c r="C2261" s="3" t="s">
        <v>1010</v>
      </c>
      <c r="D2261" s="3" t="s">
        <v>1259</v>
      </c>
      <c r="E2261" s="3" t="s">
        <v>228</v>
      </c>
      <c r="F2261" s="1">
        <v>46008</v>
      </c>
      <c r="G2261" t="str">
        <f t="shared" si="72"/>
        <v>Dec -2025</v>
      </c>
    </row>
    <row r="2262" spans="1:7" x14ac:dyDescent="0.3">
      <c r="A2262" s="4">
        <v>1335968</v>
      </c>
      <c r="B2262" s="2" t="s">
        <v>1749</v>
      </c>
      <c r="C2262" s="3" t="s">
        <v>1010</v>
      </c>
      <c r="D2262" s="3" t="s">
        <v>1259</v>
      </c>
      <c r="E2262" s="3" t="s">
        <v>228</v>
      </c>
      <c r="F2262" s="1">
        <v>46008</v>
      </c>
      <c r="G2262" t="str">
        <f t="shared" si="72"/>
        <v>Dec -2025</v>
      </c>
    </row>
    <row r="2263" spans="1:7" x14ac:dyDescent="0.3">
      <c r="A2263" s="4">
        <v>1369371</v>
      </c>
      <c r="B2263" s="2" t="s">
        <v>1765</v>
      </c>
      <c r="C2263" s="3" t="s">
        <v>1010</v>
      </c>
      <c r="D2263" s="3" t="s">
        <v>1259</v>
      </c>
      <c r="E2263" s="3" t="s">
        <v>228</v>
      </c>
      <c r="F2263" s="1">
        <v>46008</v>
      </c>
      <c r="G2263" t="str">
        <f t="shared" si="72"/>
        <v>Dec -2025</v>
      </c>
    </row>
    <row r="2264" spans="1:7" x14ac:dyDescent="0.3">
      <c r="A2264" s="4">
        <v>1369375</v>
      </c>
      <c r="B2264" s="2" t="s">
        <v>1766</v>
      </c>
      <c r="C2264" s="3" t="s">
        <v>1010</v>
      </c>
      <c r="D2264" s="3" t="s">
        <v>1259</v>
      </c>
      <c r="E2264" s="3" t="s">
        <v>228</v>
      </c>
      <c r="F2264" s="1">
        <v>46008</v>
      </c>
      <c r="G2264" t="str">
        <f t="shared" si="72"/>
        <v>Dec -2025</v>
      </c>
    </row>
    <row r="2265" spans="1:7" x14ac:dyDescent="0.3">
      <c r="A2265" s="4">
        <v>1371312</v>
      </c>
      <c r="B2265" s="2" t="s">
        <v>1767</v>
      </c>
      <c r="C2265" s="3" t="s">
        <v>1010</v>
      </c>
      <c r="D2265" s="3" t="s">
        <v>1259</v>
      </c>
      <c r="E2265" s="3" t="s">
        <v>228</v>
      </c>
      <c r="F2265" s="1">
        <v>46008</v>
      </c>
      <c r="G2265" t="str">
        <f t="shared" si="72"/>
        <v>Dec -2025</v>
      </c>
    </row>
    <row r="2266" spans="1:7" x14ac:dyDescent="0.3">
      <c r="A2266" s="4">
        <v>1363509</v>
      </c>
      <c r="B2266" s="2" t="s">
        <v>29</v>
      </c>
      <c r="C2266" s="3" t="s">
        <v>1010</v>
      </c>
      <c r="D2266" s="3" t="s">
        <v>1020</v>
      </c>
      <c r="E2266" s="3" t="s">
        <v>228</v>
      </c>
      <c r="F2266" s="1">
        <v>46008</v>
      </c>
      <c r="G2266" t="str">
        <f t="shared" si="72"/>
        <v>Dec -2025</v>
      </c>
    </row>
    <row r="2267" spans="1:7" x14ac:dyDescent="0.3">
      <c r="A2267" s="4">
        <v>1364491</v>
      </c>
      <c r="B2267" s="2" t="s">
        <v>29</v>
      </c>
      <c r="C2267" s="3" t="s">
        <v>1010</v>
      </c>
      <c r="D2267" s="3" t="s">
        <v>1020</v>
      </c>
      <c r="E2267" s="3" t="s">
        <v>228</v>
      </c>
      <c r="F2267" s="1">
        <v>46008</v>
      </c>
      <c r="G2267" t="str">
        <f t="shared" si="72"/>
        <v>Dec -2025</v>
      </c>
    </row>
    <row r="2268" spans="1:7" x14ac:dyDescent="0.3">
      <c r="A2268" s="4">
        <v>1361508</v>
      </c>
      <c r="B2268" s="2" t="s">
        <v>264</v>
      </c>
      <c r="C2268" s="3" t="s">
        <v>1010</v>
      </c>
      <c r="D2268" s="3" t="s">
        <v>1020</v>
      </c>
      <c r="E2268" s="3" t="s">
        <v>228</v>
      </c>
      <c r="F2268" s="1">
        <v>46008</v>
      </c>
      <c r="G2268" t="str">
        <f t="shared" si="72"/>
        <v>Dec -2025</v>
      </c>
    </row>
    <row r="2269" spans="1:7" x14ac:dyDescent="0.3">
      <c r="A2269" s="4">
        <v>1361528</v>
      </c>
      <c r="B2269" s="2" t="s">
        <v>264</v>
      </c>
      <c r="C2269" s="3" t="s">
        <v>1010</v>
      </c>
      <c r="D2269" s="3" t="s">
        <v>1020</v>
      </c>
      <c r="E2269" s="3" t="s">
        <v>228</v>
      </c>
      <c r="F2269" s="1">
        <v>46008</v>
      </c>
      <c r="G2269" t="str">
        <f t="shared" si="72"/>
        <v>Dec -2025</v>
      </c>
    </row>
    <row r="2270" spans="1:7" x14ac:dyDescent="0.3">
      <c r="A2270" s="4">
        <v>200003033</v>
      </c>
      <c r="B2270" s="2" t="s">
        <v>1768</v>
      </c>
      <c r="C2270" s="3" t="s">
        <v>1010</v>
      </c>
      <c r="D2270" s="3" t="s">
        <v>192</v>
      </c>
      <c r="E2270" s="3" t="s">
        <v>287</v>
      </c>
      <c r="F2270" s="1">
        <v>46008</v>
      </c>
      <c r="G2270" t="str">
        <f t="shared" si="72"/>
        <v>Dec -2025</v>
      </c>
    </row>
    <row r="2271" spans="1:7" x14ac:dyDescent="0.3">
      <c r="A2271" s="4">
        <v>1407514</v>
      </c>
      <c r="B2271" s="2" t="s">
        <v>1769</v>
      </c>
      <c r="C2271" s="3" t="s">
        <v>1010</v>
      </c>
      <c r="D2271" s="3" t="s">
        <v>209</v>
      </c>
      <c r="E2271" s="3" t="s">
        <v>210</v>
      </c>
      <c r="F2271" s="1">
        <v>46008</v>
      </c>
      <c r="G2271" t="str">
        <f t="shared" si="72"/>
        <v>Dec -2025</v>
      </c>
    </row>
    <row r="2272" spans="1:7" x14ac:dyDescent="0.3">
      <c r="A2272" s="4">
        <v>1407516</v>
      </c>
      <c r="B2272" s="2" t="s">
        <v>1770</v>
      </c>
      <c r="C2272" s="3" t="s">
        <v>1010</v>
      </c>
      <c r="D2272" s="3" t="s">
        <v>209</v>
      </c>
      <c r="E2272" s="3" t="s">
        <v>210</v>
      </c>
      <c r="F2272" s="1">
        <v>46008</v>
      </c>
      <c r="G2272" t="str">
        <f t="shared" si="72"/>
        <v>Dec -2025</v>
      </c>
    </row>
    <row r="2273" spans="1:7" x14ac:dyDescent="0.3">
      <c r="A2273" s="4">
        <v>1410505</v>
      </c>
      <c r="B2273" s="2" t="s">
        <v>1771</v>
      </c>
      <c r="C2273" s="3" t="s">
        <v>1010</v>
      </c>
      <c r="D2273" s="3" t="s">
        <v>209</v>
      </c>
      <c r="E2273" s="3" t="s">
        <v>210</v>
      </c>
      <c r="F2273" s="1">
        <v>46008</v>
      </c>
      <c r="G2273" t="str">
        <f t="shared" si="72"/>
        <v>Dec -2025</v>
      </c>
    </row>
    <row r="2274" spans="1:7" x14ac:dyDescent="0.3">
      <c r="A2274" s="4">
        <v>1410508</v>
      </c>
      <c r="B2274" s="2" t="s">
        <v>1772</v>
      </c>
      <c r="C2274" s="3" t="s">
        <v>1010</v>
      </c>
      <c r="D2274" s="3" t="s">
        <v>209</v>
      </c>
      <c r="E2274" s="3" t="s">
        <v>210</v>
      </c>
      <c r="F2274" s="1">
        <v>46008</v>
      </c>
      <c r="G2274" t="str">
        <f t="shared" si="72"/>
        <v>Dec -2025</v>
      </c>
    </row>
    <row r="2275" spans="1:7" x14ac:dyDescent="0.3">
      <c r="A2275" s="4">
        <v>200003031</v>
      </c>
      <c r="B2275" s="2" t="s">
        <v>1773</v>
      </c>
      <c r="C2275" s="3" t="s">
        <v>1010</v>
      </c>
      <c r="D2275" s="3" t="s">
        <v>192</v>
      </c>
      <c r="E2275" s="3" t="s">
        <v>287</v>
      </c>
      <c r="F2275" s="1">
        <v>46008</v>
      </c>
      <c r="G2275" t="str">
        <f t="shared" si="72"/>
        <v>Dec -2025</v>
      </c>
    </row>
    <row r="2276" spans="1:7" x14ac:dyDescent="0.3">
      <c r="A2276" s="4">
        <v>1384493</v>
      </c>
      <c r="B2276" s="2" t="s">
        <v>47</v>
      </c>
      <c r="C2276" s="3" t="s">
        <v>1010</v>
      </c>
      <c r="D2276" s="3" t="s">
        <v>1020</v>
      </c>
      <c r="E2276" s="3" t="s">
        <v>211</v>
      </c>
      <c r="F2276" s="1">
        <v>46008</v>
      </c>
      <c r="G2276" t="str">
        <f t="shared" si="72"/>
        <v>Dec -2025</v>
      </c>
    </row>
    <row r="2277" spans="1:7" x14ac:dyDescent="0.3">
      <c r="A2277" s="4">
        <v>1410028</v>
      </c>
      <c r="B2277" s="2" t="s">
        <v>1774</v>
      </c>
      <c r="C2277" s="3" t="s">
        <v>1010</v>
      </c>
      <c r="D2277" s="3" t="s">
        <v>1551</v>
      </c>
      <c r="E2277" s="3" t="s">
        <v>375</v>
      </c>
      <c r="F2277" s="1">
        <v>46008</v>
      </c>
      <c r="G2277" t="str">
        <f t="shared" si="72"/>
        <v>Dec -2025</v>
      </c>
    </row>
    <row r="2278" spans="1:7" x14ac:dyDescent="0.3">
      <c r="A2278" s="4">
        <v>1411489</v>
      </c>
      <c r="B2278" s="2" t="s">
        <v>1774</v>
      </c>
      <c r="C2278" s="3" t="s">
        <v>1010</v>
      </c>
      <c r="D2278" s="3" t="s">
        <v>1551</v>
      </c>
      <c r="E2278" s="3" t="s">
        <v>375</v>
      </c>
      <c r="F2278" s="1">
        <v>46008</v>
      </c>
      <c r="G2278" t="str">
        <f t="shared" si="72"/>
        <v>Dec -2025</v>
      </c>
    </row>
    <row r="2279" spans="1:7" x14ac:dyDescent="0.3">
      <c r="A2279" s="4">
        <v>1410030</v>
      </c>
      <c r="B2279" s="2" t="s">
        <v>1774</v>
      </c>
      <c r="C2279" s="3" t="s">
        <v>1010</v>
      </c>
      <c r="D2279" s="3" t="s">
        <v>1551</v>
      </c>
      <c r="E2279" s="3" t="s">
        <v>375</v>
      </c>
      <c r="F2279" s="1">
        <v>46008</v>
      </c>
      <c r="G2279" t="str">
        <f t="shared" si="72"/>
        <v>Dec -2025</v>
      </c>
    </row>
    <row r="2280" spans="1:7" x14ac:dyDescent="0.3">
      <c r="A2280" s="4">
        <v>1395608</v>
      </c>
      <c r="B2280" s="2" t="s">
        <v>1775</v>
      </c>
      <c r="C2280" s="3" t="s">
        <v>1010</v>
      </c>
      <c r="D2280" s="3" t="s">
        <v>1259</v>
      </c>
      <c r="E2280" s="3" t="s">
        <v>228</v>
      </c>
      <c r="F2280" s="1">
        <v>46009</v>
      </c>
      <c r="G2280" t="str">
        <f t="shared" si="72"/>
        <v>Dec -2025</v>
      </c>
    </row>
    <row r="2281" spans="1:7" x14ac:dyDescent="0.3">
      <c r="A2281" s="4">
        <v>1414010</v>
      </c>
      <c r="B2281" s="2" t="s">
        <v>1776</v>
      </c>
      <c r="C2281" s="3" t="s">
        <v>1010</v>
      </c>
      <c r="D2281" s="3" t="s">
        <v>1259</v>
      </c>
      <c r="E2281" s="3" t="s">
        <v>228</v>
      </c>
      <c r="F2281" s="1">
        <v>46009</v>
      </c>
      <c r="G2281" t="str">
        <f t="shared" ref="G2281:G2298" si="73">TEXT(F2281,"mmm -YYYY")</f>
        <v>Dec -2025</v>
      </c>
    </row>
    <row r="2282" spans="1:7" x14ac:dyDescent="0.3">
      <c r="A2282" s="4">
        <v>1455153</v>
      </c>
      <c r="B2282" s="2" t="s">
        <v>1777</v>
      </c>
      <c r="C2282" s="3" t="s">
        <v>1010</v>
      </c>
      <c r="D2282" s="3" t="s">
        <v>209</v>
      </c>
      <c r="E2282" s="3" t="s">
        <v>357</v>
      </c>
      <c r="F2282" s="1">
        <v>46009</v>
      </c>
      <c r="G2282" t="str">
        <f t="shared" si="73"/>
        <v>Dec -2025</v>
      </c>
    </row>
    <row r="2283" spans="1:7" x14ac:dyDescent="0.3">
      <c r="A2283" s="4">
        <v>1417471</v>
      </c>
      <c r="B2283" s="2" t="s">
        <v>1707</v>
      </c>
      <c r="C2283" s="3" t="s">
        <v>1010</v>
      </c>
      <c r="D2283" s="3" t="s">
        <v>209</v>
      </c>
      <c r="E2283" s="3" t="s">
        <v>228</v>
      </c>
      <c r="F2283" s="1">
        <v>46009</v>
      </c>
      <c r="G2283" t="str">
        <f t="shared" si="73"/>
        <v>Dec -2025</v>
      </c>
    </row>
    <row r="2284" spans="1:7" x14ac:dyDescent="0.3">
      <c r="A2284" s="4">
        <v>1412007</v>
      </c>
      <c r="B2284" s="2" t="s">
        <v>1778</v>
      </c>
      <c r="C2284" s="3" t="s">
        <v>1010</v>
      </c>
      <c r="D2284" s="3" t="s">
        <v>1259</v>
      </c>
      <c r="E2284" s="3" t="s">
        <v>228</v>
      </c>
      <c r="F2284" s="1">
        <v>46009</v>
      </c>
      <c r="G2284" t="str">
        <f t="shared" si="73"/>
        <v>Dec -2025</v>
      </c>
    </row>
    <row r="2285" spans="1:7" x14ac:dyDescent="0.3">
      <c r="A2285" s="4">
        <v>1415987</v>
      </c>
      <c r="B2285" s="2" t="s">
        <v>1779</v>
      </c>
      <c r="C2285" s="3" t="s">
        <v>1010</v>
      </c>
      <c r="D2285" s="3" t="s">
        <v>1259</v>
      </c>
      <c r="E2285" s="3" t="s">
        <v>228</v>
      </c>
      <c r="F2285" s="1">
        <v>46009</v>
      </c>
      <c r="G2285" t="str">
        <f t="shared" si="73"/>
        <v>Dec -2025</v>
      </c>
    </row>
    <row r="2286" spans="1:7" x14ac:dyDescent="0.3">
      <c r="A2286" s="4">
        <v>900005664</v>
      </c>
      <c r="B2286" s="2" t="s">
        <v>1780</v>
      </c>
      <c r="C2286" s="3" t="s">
        <v>1010</v>
      </c>
      <c r="D2286" s="3" t="s">
        <v>1551</v>
      </c>
      <c r="E2286" s="3" t="s">
        <v>322</v>
      </c>
      <c r="F2286" s="1">
        <v>46009</v>
      </c>
      <c r="G2286" t="str">
        <f t="shared" si="73"/>
        <v>Dec -2025</v>
      </c>
    </row>
    <row r="2287" spans="1:7" x14ac:dyDescent="0.3">
      <c r="A2287" s="4">
        <v>900005656</v>
      </c>
      <c r="B2287" s="2" t="s">
        <v>1781</v>
      </c>
      <c r="C2287" s="3" t="s">
        <v>1010</v>
      </c>
      <c r="D2287" s="3" t="s">
        <v>1551</v>
      </c>
      <c r="E2287" s="3" t="s">
        <v>322</v>
      </c>
      <c r="F2287" s="1">
        <v>46009</v>
      </c>
      <c r="G2287" t="str">
        <f t="shared" si="73"/>
        <v>Dec -2025</v>
      </c>
    </row>
    <row r="2288" spans="1:7" x14ac:dyDescent="0.3">
      <c r="A2288" s="4">
        <v>900005510</v>
      </c>
      <c r="B2288" s="2" t="s">
        <v>1782</v>
      </c>
      <c r="C2288" s="3" t="s">
        <v>1010</v>
      </c>
      <c r="D2288" s="3" t="s">
        <v>1551</v>
      </c>
      <c r="E2288" s="3" t="s">
        <v>322</v>
      </c>
      <c r="F2288" s="1">
        <v>46009</v>
      </c>
      <c r="G2288" t="str">
        <f t="shared" si="73"/>
        <v>Dec -2025</v>
      </c>
    </row>
    <row r="2289" spans="1:7" x14ac:dyDescent="0.3">
      <c r="A2289" s="4">
        <v>1309721</v>
      </c>
      <c r="B2289" s="2" t="s">
        <v>47</v>
      </c>
      <c r="C2289" s="3" t="s">
        <v>1010</v>
      </c>
      <c r="D2289" s="3" t="s">
        <v>1020</v>
      </c>
      <c r="E2289" s="3" t="s">
        <v>211</v>
      </c>
      <c r="F2289" s="1">
        <v>46009</v>
      </c>
      <c r="G2289" t="str">
        <f t="shared" si="73"/>
        <v>Dec -2025</v>
      </c>
    </row>
    <row r="2290" spans="1:7" x14ac:dyDescent="0.3">
      <c r="A2290" s="4">
        <v>1317146</v>
      </c>
      <c r="B2290" s="2" t="s">
        <v>47</v>
      </c>
      <c r="C2290" s="3" t="s">
        <v>1010</v>
      </c>
      <c r="D2290" s="3" t="s">
        <v>1020</v>
      </c>
      <c r="E2290" s="3" t="s">
        <v>211</v>
      </c>
      <c r="F2290" s="1">
        <v>46009</v>
      </c>
      <c r="G2290" t="str">
        <f t="shared" si="73"/>
        <v>Dec -2025</v>
      </c>
    </row>
    <row r="2291" spans="1:7" x14ac:dyDescent="0.3">
      <c r="A2291" s="4">
        <v>1417485</v>
      </c>
      <c r="B2291" s="2" t="s">
        <v>1783</v>
      </c>
      <c r="C2291" s="3" t="s">
        <v>1010</v>
      </c>
      <c r="D2291" s="3" t="s">
        <v>209</v>
      </c>
      <c r="E2291" s="3" t="s">
        <v>225</v>
      </c>
      <c r="F2291" s="1">
        <v>46009</v>
      </c>
      <c r="G2291" t="str">
        <f t="shared" si="73"/>
        <v>Dec -2025</v>
      </c>
    </row>
    <row r="2292" spans="1:7" x14ac:dyDescent="0.3">
      <c r="A2292" s="4">
        <v>1416960</v>
      </c>
      <c r="B2292" s="2" t="s">
        <v>1783</v>
      </c>
      <c r="C2292" s="3" t="s">
        <v>1010</v>
      </c>
      <c r="D2292" s="3" t="s">
        <v>209</v>
      </c>
      <c r="E2292" s="3" t="s">
        <v>225</v>
      </c>
      <c r="F2292" s="1">
        <v>46009</v>
      </c>
      <c r="G2292" t="str">
        <f t="shared" si="73"/>
        <v>Dec -2025</v>
      </c>
    </row>
    <row r="2293" spans="1:7" x14ac:dyDescent="0.3">
      <c r="A2293" s="4">
        <v>136924</v>
      </c>
      <c r="B2293" s="2" t="s">
        <v>1784</v>
      </c>
      <c r="C2293" s="3" t="s">
        <v>1010</v>
      </c>
      <c r="D2293" s="3" t="s">
        <v>1172</v>
      </c>
      <c r="E2293" s="3" t="s">
        <v>1172</v>
      </c>
      <c r="F2293" s="1">
        <v>46009</v>
      </c>
      <c r="G2293" t="str">
        <f t="shared" si="73"/>
        <v>Dec -2025</v>
      </c>
    </row>
    <row r="2294" spans="1:7" x14ac:dyDescent="0.3">
      <c r="A2294" s="4">
        <v>136915</v>
      </c>
      <c r="B2294" s="2" t="s">
        <v>1785</v>
      </c>
      <c r="C2294" s="3" t="s">
        <v>1010</v>
      </c>
      <c r="D2294" s="3" t="s">
        <v>1172</v>
      </c>
      <c r="E2294" s="3" t="s">
        <v>1172</v>
      </c>
      <c r="F2294" s="1">
        <v>46009</v>
      </c>
      <c r="G2294" t="str">
        <f t="shared" si="73"/>
        <v>Dec -2025</v>
      </c>
    </row>
    <row r="2295" spans="1:7" x14ac:dyDescent="0.3">
      <c r="A2295" s="4">
        <v>136908</v>
      </c>
      <c r="B2295" s="2" t="s">
        <v>1786</v>
      </c>
      <c r="C2295" s="3" t="s">
        <v>1010</v>
      </c>
      <c r="D2295" s="3" t="s">
        <v>1172</v>
      </c>
      <c r="E2295" s="3" t="s">
        <v>1172</v>
      </c>
      <c r="F2295" s="1">
        <v>46009</v>
      </c>
      <c r="G2295" t="str">
        <f t="shared" si="73"/>
        <v>Dec -2025</v>
      </c>
    </row>
    <row r="2296" spans="1:7" x14ac:dyDescent="0.3">
      <c r="A2296" s="4">
        <v>136908</v>
      </c>
      <c r="B2296" s="2" t="s">
        <v>1787</v>
      </c>
      <c r="C2296" s="3" t="s">
        <v>1010</v>
      </c>
      <c r="D2296" s="3" t="s">
        <v>1172</v>
      </c>
      <c r="E2296" s="3" t="s">
        <v>1172</v>
      </c>
      <c r="F2296" s="1">
        <v>46009</v>
      </c>
      <c r="G2296" t="str">
        <f t="shared" si="73"/>
        <v>Dec -2025</v>
      </c>
    </row>
    <row r="2297" spans="1:7" x14ac:dyDescent="0.3">
      <c r="A2297" s="4">
        <v>1462059</v>
      </c>
      <c r="B2297" s="2" t="s">
        <v>47</v>
      </c>
      <c r="C2297" s="3" t="s">
        <v>1010</v>
      </c>
      <c r="D2297" s="3" t="s">
        <v>1020</v>
      </c>
      <c r="E2297" s="3" t="s">
        <v>211</v>
      </c>
      <c r="F2297" s="1">
        <v>46009</v>
      </c>
      <c r="G2297" t="str">
        <f t="shared" si="73"/>
        <v>Dec -2025</v>
      </c>
    </row>
    <row r="2298" spans="1:7" x14ac:dyDescent="0.3">
      <c r="A2298" s="4">
        <v>1456151</v>
      </c>
      <c r="B2298" s="2" t="s">
        <v>1788</v>
      </c>
      <c r="C2298" s="3" t="s">
        <v>1010</v>
      </c>
      <c r="D2298" s="3" t="s">
        <v>209</v>
      </c>
      <c r="E2298" s="3" t="s">
        <v>228</v>
      </c>
      <c r="F2298" s="1">
        <v>46009</v>
      </c>
      <c r="G2298" t="str">
        <f t="shared" si="73"/>
        <v>Dec -2025</v>
      </c>
    </row>
    <row r="2299" spans="1:7" x14ac:dyDescent="0.3">
      <c r="A2299" s="4">
        <v>100004971</v>
      </c>
      <c r="B2299" s="2" t="s">
        <v>1789</v>
      </c>
      <c r="C2299" s="3" t="s">
        <v>1011</v>
      </c>
      <c r="D2299" s="3" t="s">
        <v>972</v>
      </c>
      <c r="E2299" s="3" t="s">
        <v>1569</v>
      </c>
      <c r="F2299" s="1">
        <v>46009</v>
      </c>
      <c r="G2299" t="str">
        <f t="shared" ref="G2299:G2301" si="74">TEXT(F2299,"mmm -YYYY")</f>
        <v>Dec -2025</v>
      </c>
    </row>
    <row r="2300" spans="1:7" x14ac:dyDescent="0.3">
      <c r="A2300" s="4">
        <v>100004954</v>
      </c>
      <c r="B2300" s="2" t="s">
        <v>1790</v>
      </c>
      <c r="C2300" s="3" t="s">
        <v>1011</v>
      </c>
      <c r="D2300" s="3" t="s">
        <v>972</v>
      </c>
      <c r="E2300" s="3" t="s">
        <v>1103</v>
      </c>
      <c r="F2300" s="1">
        <v>46009</v>
      </c>
      <c r="G2300" t="str">
        <f t="shared" si="74"/>
        <v>Dec -2025</v>
      </c>
    </row>
    <row r="2301" spans="1:7" x14ac:dyDescent="0.3">
      <c r="A2301" s="4">
        <v>183728</v>
      </c>
      <c r="B2301" s="2" t="s">
        <v>1791</v>
      </c>
      <c r="C2301" s="3" t="s">
        <v>1010</v>
      </c>
      <c r="D2301" s="3" t="s">
        <v>1172</v>
      </c>
      <c r="E2301" s="3" t="s">
        <v>1172</v>
      </c>
      <c r="F2301" s="1">
        <v>46010</v>
      </c>
      <c r="G2301" t="str">
        <f t="shared" si="74"/>
        <v>Dec -2025</v>
      </c>
    </row>
    <row r="2302" spans="1:7" x14ac:dyDescent="0.3">
      <c r="A2302" s="4">
        <v>183728</v>
      </c>
      <c r="B2302" s="2" t="s">
        <v>1792</v>
      </c>
      <c r="C2302" s="3" t="s">
        <v>1010</v>
      </c>
      <c r="D2302" s="3" t="s">
        <v>1172</v>
      </c>
      <c r="E2302" s="3" t="s">
        <v>1172</v>
      </c>
      <c r="F2302" s="1">
        <v>46010</v>
      </c>
      <c r="G2302" t="str">
        <f t="shared" ref="G2302:G2317" si="75">TEXT(F2302,"mmm -YYYY")</f>
        <v>Dec -2025</v>
      </c>
    </row>
    <row r="2303" spans="1:7" x14ac:dyDescent="0.3">
      <c r="A2303" s="4">
        <v>1468934</v>
      </c>
      <c r="B2303" s="2" t="s">
        <v>1793</v>
      </c>
      <c r="C2303" s="3" t="s">
        <v>1010</v>
      </c>
      <c r="D2303" s="3" t="s">
        <v>209</v>
      </c>
      <c r="E2303" s="3" t="s">
        <v>228</v>
      </c>
      <c r="F2303" s="1">
        <v>46010</v>
      </c>
      <c r="G2303" t="str">
        <f t="shared" si="75"/>
        <v>Dec -2025</v>
      </c>
    </row>
    <row r="2304" spans="1:7" x14ac:dyDescent="0.3">
      <c r="A2304" s="4">
        <v>183733</v>
      </c>
      <c r="B2304" s="2" t="s">
        <v>1794</v>
      </c>
      <c r="C2304" s="3" t="s">
        <v>1010</v>
      </c>
      <c r="D2304" s="3" t="s">
        <v>1172</v>
      </c>
      <c r="E2304" s="3" t="s">
        <v>1172</v>
      </c>
      <c r="F2304" s="1">
        <v>46010</v>
      </c>
      <c r="G2304" t="str">
        <f t="shared" si="75"/>
        <v>Dec -2025</v>
      </c>
    </row>
    <row r="2305" spans="1:7" x14ac:dyDescent="0.3">
      <c r="A2305" s="4">
        <v>183733</v>
      </c>
      <c r="B2305" s="2" t="s">
        <v>1795</v>
      </c>
      <c r="C2305" s="3" t="s">
        <v>1010</v>
      </c>
      <c r="D2305" s="3" t="s">
        <v>1172</v>
      </c>
      <c r="E2305" s="3" t="s">
        <v>1172</v>
      </c>
      <c r="F2305" s="1">
        <v>46010</v>
      </c>
      <c r="G2305" t="str">
        <f t="shared" si="75"/>
        <v>Dec -2025</v>
      </c>
    </row>
    <row r="2306" spans="1:7" x14ac:dyDescent="0.3">
      <c r="A2306" s="4">
        <v>1500979</v>
      </c>
      <c r="B2306" s="2" t="s">
        <v>1796</v>
      </c>
      <c r="C2306" s="3" t="s">
        <v>1010</v>
      </c>
      <c r="D2306" s="3" t="s">
        <v>209</v>
      </c>
      <c r="E2306" s="3" t="s">
        <v>210</v>
      </c>
      <c r="F2306" s="1">
        <v>46010</v>
      </c>
      <c r="G2306" t="str">
        <f t="shared" si="75"/>
        <v>Dec -2025</v>
      </c>
    </row>
    <row r="2307" spans="1:7" x14ac:dyDescent="0.3">
      <c r="A2307" s="4">
        <v>1500982</v>
      </c>
      <c r="B2307" s="2" t="s">
        <v>1796</v>
      </c>
      <c r="C2307" s="3" t="s">
        <v>1010</v>
      </c>
      <c r="D2307" s="3" t="s">
        <v>209</v>
      </c>
      <c r="E2307" s="3" t="s">
        <v>210</v>
      </c>
      <c r="F2307" s="1">
        <v>46010</v>
      </c>
      <c r="G2307" t="str">
        <f t="shared" si="75"/>
        <v>Dec -2025</v>
      </c>
    </row>
    <row r="2308" spans="1:7" x14ac:dyDescent="0.3">
      <c r="A2308" s="4">
        <v>900005649</v>
      </c>
      <c r="B2308" s="2" t="s">
        <v>1797</v>
      </c>
      <c r="C2308" s="3" t="s">
        <v>1010</v>
      </c>
      <c r="D2308" s="3" t="s">
        <v>143</v>
      </c>
      <c r="E2308" s="3" t="s">
        <v>322</v>
      </c>
      <c r="F2308" s="1">
        <v>46010</v>
      </c>
      <c r="G2308" t="str">
        <f t="shared" si="75"/>
        <v>Dec -2025</v>
      </c>
    </row>
    <row r="2309" spans="1:7" x14ac:dyDescent="0.3">
      <c r="A2309" s="4">
        <v>1454168</v>
      </c>
      <c r="B2309" s="2" t="s">
        <v>1798</v>
      </c>
      <c r="C2309" s="3" t="s">
        <v>1010</v>
      </c>
      <c r="D2309" s="3" t="s">
        <v>1259</v>
      </c>
      <c r="E2309" s="3" t="s">
        <v>228</v>
      </c>
      <c r="F2309" s="1">
        <v>46010</v>
      </c>
      <c r="G2309" t="str">
        <f t="shared" si="75"/>
        <v>Dec -2025</v>
      </c>
    </row>
    <row r="2310" spans="1:7" x14ac:dyDescent="0.3">
      <c r="A2310" s="4">
        <v>1503934</v>
      </c>
      <c r="B2310" s="2" t="s">
        <v>1799</v>
      </c>
      <c r="C2310" s="3" t="s">
        <v>1010</v>
      </c>
      <c r="D2310" s="3" t="s">
        <v>209</v>
      </c>
      <c r="E2310" s="3" t="s">
        <v>210</v>
      </c>
      <c r="F2310" s="1">
        <v>46010</v>
      </c>
      <c r="G2310" t="str">
        <f t="shared" si="75"/>
        <v>Dec -2025</v>
      </c>
    </row>
    <row r="2311" spans="1:7" x14ac:dyDescent="0.3">
      <c r="A2311" s="4">
        <v>1459124</v>
      </c>
      <c r="B2311" s="2" t="s">
        <v>1800</v>
      </c>
      <c r="C2311" s="3" t="s">
        <v>1010</v>
      </c>
      <c r="D2311" s="3" t="s">
        <v>209</v>
      </c>
      <c r="E2311" s="3" t="s">
        <v>210</v>
      </c>
      <c r="F2311" s="1">
        <v>46010</v>
      </c>
      <c r="G2311" t="str">
        <f t="shared" si="75"/>
        <v>Dec -2025</v>
      </c>
    </row>
    <row r="2312" spans="1:7" x14ac:dyDescent="0.3">
      <c r="A2312" s="4">
        <v>1468931</v>
      </c>
      <c r="B2312" s="2" t="s">
        <v>47</v>
      </c>
      <c r="C2312" s="3" t="s">
        <v>1010</v>
      </c>
      <c r="D2312" s="3" t="s">
        <v>1020</v>
      </c>
      <c r="E2312" s="3" t="s">
        <v>211</v>
      </c>
      <c r="F2312" s="1">
        <v>46010</v>
      </c>
      <c r="G2312" t="str">
        <f t="shared" si="75"/>
        <v>Dec -2025</v>
      </c>
    </row>
    <row r="2313" spans="1:7" x14ac:dyDescent="0.3">
      <c r="A2313" s="4">
        <v>200003030</v>
      </c>
      <c r="B2313" s="2" t="s">
        <v>1801</v>
      </c>
      <c r="C2313" s="3" t="s">
        <v>1010</v>
      </c>
      <c r="D2313" s="3" t="s">
        <v>192</v>
      </c>
      <c r="E2313" s="3" t="s">
        <v>193</v>
      </c>
      <c r="F2313" s="1">
        <v>46010</v>
      </c>
      <c r="G2313" t="str">
        <f t="shared" si="75"/>
        <v>Dec -2025</v>
      </c>
    </row>
    <row r="2314" spans="1:7" x14ac:dyDescent="0.3">
      <c r="A2314" s="4">
        <v>200003063</v>
      </c>
      <c r="B2314" s="2" t="s">
        <v>1802</v>
      </c>
      <c r="C2314" s="3" t="s">
        <v>1010</v>
      </c>
      <c r="D2314" s="3" t="s">
        <v>192</v>
      </c>
      <c r="E2314" s="3" t="s">
        <v>193</v>
      </c>
      <c r="F2314" s="1">
        <v>46010</v>
      </c>
      <c r="G2314" t="str">
        <f t="shared" si="75"/>
        <v>Dec -2025</v>
      </c>
    </row>
    <row r="2315" spans="1:7" x14ac:dyDescent="0.3">
      <c r="A2315" s="4">
        <v>200003023</v>
      </c>
      <c r="B2315" s="2" t="s">
        <v>1803</v>
      </c>
      <c r="C2315" s="3" t="s">
        <v>1010</v>
      </c>
      <c r="D2315" s="3" t="s">
        <v>192</v>
      </c>
      <c r="E2315" s="3" t="s">
        <v>216</v>
      </c>
      <c r="F2315" s="1">
        <v>46010</v>
      </c>
      <c r="G2315" t="str">
        <f t="shared" si="75"/>
        <v>Dec -2025</v>
      </c>
    </row>
    <row r="2316" spans="1:7" x14ac:dyDescent="0.3">
      <c r="A2316" s="4">
        <v>1458167</v>
      </c>
      <c r="B2316" s="2" t="s">
        <v>1804</v>
      </c>
      <c r="C2316" s="3" t="s">
        <v>1010</v>
      </c>
      <c r="D2316" s="3" t="s">
        <v>209</v>
      </c>
      <c r="E2316" s="3" t="s">
        <v>225</v>
      </c>
      <c r="F2316" s="1">
        <v>46010</v>
      </c>
      <c r="G2316" t="str">
        <f t="shared" si="75"/>
        <v>Dec -2025</v>
      </c>
    </row>
    <row r="2317" spans="1:7" x14ac:dyDescent="0.3">
      <c r="A2317" s="4">
        <v>1509914</v>
      </c>
      <c r="B2317" s="2" t="s">
        <v>1805</v>
      </c>
      <c r="C2317" s="3" t="s">
        <v>1010</v>
      </c>
      <c r="D2317" s="3" t="s">
        <v>209</v>
      </c>
      <c r="E2317" s="3" t="s">
        <v>228</v>
      </c>
      <c r="F2317" s="1">
        <v>46010</v>
      </c>
      <c r="G2317" t="str">
        <f t="shared" si="75"/>
        <v>Dec -2025</v>
      </c>
    </row>
    <row r="2318" spans="1:7" x14ac:dyDescent="0.3">
      <c r="A2318" s="4">
        <v>100004991</v>
      </c>
      <c r="B2318" s="2" t="s">
        <v>1806</v>
      </c>
      <c r="C2318" s="3" t="s">
        <v>1011</v>
      </c>
      <c r="D2318" s="3" t="s">
        <v>973</v>
      </c>
      <c r="E2318" s="3" t="s">
        <v>966</v>
      </c>
      <c r="F2318" s="1">
        <v>46010</v>
      </c>
      <c r="G2318" t="str">
        <f t="shared" ref="G2318:G2327" si="76">TEXT(F2318,"mmm -YYYY")</f>
        <v>Dec -2025</v>
      </c>
    </row>
    <row r="2319" spans="1:7" x14ac:dyDescent="0.3">
      <c r="A2319" s="4">
        <v>100004990</v>
      </c>
      <c r="B2319" s="2" t="s">
        <v>1806</v>
      </c>
      <c r="C2319" s="3" t="s">
        <v>1011</v>
      </c>
      <c r="D2319" s="3" t="s">
        <v>973</v>
      </c>
      <c r="E2319" s="3" t="s">
        <v>966</v>
      </c>
      <c r="F2319" s="1">
        <v>46010</v>
      </c>
      <c r="G2319" t="str">
        <f t="shared" si="76"/>
        <v>Dec -2025</v>
      </c>
    </row>
    <row r="2320" spans="1:7" x14ac:dyDescent="0.3">
      <c r="A2320" s="4">
        <v>100004979</v>
      </c>
      <c r="B2320" s="2" t="s">
        <v>1806</v>
      </c>
      <c r="C2320" s="3" t="s">
        <v>1011</v>
      </c>
      <c r="D2320" s="3" t="s">
        <v>973</v>
      </c>
      <c r="E2320" s="3" t="s">
        <v>966</v>
      </c>
      <c r="F2320" s="1">
        <v>46010</v>
      </c>
      <c r="G2320" t="str">
        <f t="shared" si="76"/>
        <v>Dec -2025</v>
      </c>
    </row>
    <row r="2321" spans="1:7" x14ac:dyDescent="0.3">
      <c r="A2321" s="4">
        <v>100004977</v>
      </c>
      <c r="B2321" s="2" t="s">
        <v>1806</v>
      </c>
      <c r="C2321" s="3" t="s">
        <v>1011</v>
      </c>
      <c r="D2321" s="3" t="s">
        <v>973</v>
      </c>
      <c r="E2321" s="3" t="s">
        <v>966</v>
      </c>
      <c r="F2321" s="1">
        <v>46010</v>
      </c>
      <c r="G2321" t="str">
        <f t="shared" si="76"/>
        <v>Dec -2025</v>
      </c>
    </row>
    <row r="2322" spans="1:7" x14ac:dyDescent="0.3">
      <c r="A2322" s="4">
        <v>100004994</v>
      </c>
      <c r="B2322" s="2" t="s">
        <v>1807</v>
      </c>
      <c r="C2322" s="3" t="s">
        <v>1011</v>
      </c>
      <c r="D2322" s="3" t="s">
        <v>972</v>
      </c>
      <c r="E2322" s="3" t="s">
        <v>1569</v>
      </c>
      <c r="F2322" s="1">
        <v>46010</v>
      </c>
      <c r="G2322" t="str">
        <f t="shared" si="76"/>
        <v>Dec -2025</v>
      </c>
    </row>
    <row r="2323" spans="1:7" x14ac:dyDescent="0.3">
      <c r="A2323" s="4">
        <v>100004928</v>
      </c>
      <c r="B2323" s="2" t="s">
        <v>1808</v>
      </c>
      <c r="C2323" s="3" t="s">
        <v>1011</v>
      </c>
      <c r="D2323" s="3" t="s">
        <v>972</v>
      </c>
      <c r="E2323" s="3" t="s">
        <v>1569</v>
      </c>
      <c r="F2323" s="1">
        <v>46010</v>
      </c>
      <c r="G2323" t="str">
        <f t="shared" si="76"/>
        <v>Dec -2025</v>
      </c>
    </row>
    <row r="2324" spans="1:7" x14ac:dyDescent="0.3">
      <c r="A2324" s="4">
        <v>100005001</v>
      </c>
      <c r="B2324" s="2" t="s">
        <v>1809</v>
      </c>
      <c r="C2324" s="3" t="s">
        <v>1011</v>
      </c>
      <c r="D2324" s="3" t="s">
        <v>972</v>
      </c>
      <c r="E2324" s="3" t="s">
        <v>1569</v>
      </c>
      <c r="F2324" s="1">
        <v>46010</v>
      </c>
      <c r="G2324" t="str">
        <f t="shared" si="76"/>
        <v>Dec -2025</v>
      </c>
    </row>
    <row r="2325" spans="1:7" x14ac:dyDescent="0.3">
      <c r="A2325" s="4">
        <v>100004948</v>
      </c>
      <c r="B2325" s="2" t="s">
        <v>1810</v>
      </c>
      <c r="C2325" s="3" t="s">
        <v>1011</v>
      </c>
      <c r="D2325" s="3" t="s">
        <v>972</v>
      </c>
      <c r="E2325" s="3" t="s">
        <v>1569</v>
      </c>
      <c r="F2325" s="1">
        <v>46013</v>
      </c>
      <c r="G2325" t="str">
        <f t="shared" si="76"/>
        <v>Dec -2025</v>
      </c>
    </row>
    <row r="2326" spans="1:7" x14ac:dyDescent="0.3">
      <c r="A2326" s="4">
        <v>100005002</v>
      </c>
      <c r="B2326" s="2" t="s">
        <v>1811</v>
      </c>
      <c r="C2326" s="3" t="s">
        <v>1011</v>
      </c>
      <c r="D2326" s="3" t="s">
        <v>972</v>
      </c>
      <c r="E2326" s="3" t="s">
        <v>970</v>
      </c>
      <c r="F2326" s="1">
        <v>46013</v>
      </c>
      <c r="G2326" t="str">
        <f t="shared" si="76"/>
        <v>Dec -2025</v>
      </c>
    </row>
    <row r="2327" spans="1:7" x14ac:dyDescent="0.3">
      <c r="A2327" s="4">
        <v>100004996</v>
      </c>
      <c r="B2327" s="2" t="s">
        <v>1812</v>
      </c>
      <c r="C2327" s="3" t="s">
        <v>1011</v>
      </c>
      <c r="D2327" s="3" t="s">
        <v>972</v>
      </c>
      <c r="E2327" s="3" t="s">
        <v>976</v>
      </c>
      <c r="F2327" s="1">
        <v>46013</v>
      </c>
      <c r="G2327" t="str">
        <f t="shared" si="76"/>
        <v>Dec -2025</v>
      </c>
    </row>
    <row r="2328" spans="1:7" x14ac:dyDescent="0.3">
      <c r="A2328" s="4">
        <v>1494032</v>
      </c>
      <c r="B2328" s="2" t="s">
        <v>1813</v>
      </c>
      <c r="C2328" s="3" t="s">
        <v>1010</v>
      </c>
      <c r="D2328" s="3" t="s">
        <v>1259</v>
      </c>
      <c r="E2328" s="3" t="s">
        <v>228</v>
      </c>
      <c r="F2328" s="1">
        <v>46013</v>
      </c>
      <c r="G2328" t="str">
        <f t="shared" ref="G2328:G2345" si="77">TEXT(F2328,"mmm -YYYY")</f>
        <v>Dec -2025</v>
      </c>
    </row>
    <row r="2329" spans="1:7" x14ac:dyDescent="0.3">
      <c r="A2329" s="4">
        <v>1499462</v>
      </c>
      <c r="B2329" s="2" t="s">
        <v>1814</v>
      </c>
      <c r="C2329" s="3" t="s">
        <v>1010</v>
      </c>
      <c r="D2329" s="3" t="s">
        <v>1259</v>
      </c>
      <c r="E2329" s="3" t="s">
        <v>228</v>
      </c>
      <c r="F2329" s="1">
        <v>46013</v>
      </c>
      <c r="G2329" t="str">
        <f t="shared" si="77"/>
        <v>Dec -2025</v>
      </c>
    </row>
    <row r="2330" spans="1:7" x14ac:dyDescent="0.3">
      <c r="A2330" s="4">
        <v>1508286</v>
      </c>
      <c r="B2330" s="2" t="s">
        <v>1815</v>
      </c>
      <c r="C2330" s="3" t="s">
        <v>1010</v>
      </c>
      <c r="D2330" s="3" t="s">
        <v>1259</v>
      </c>
      <c r="E2330" s="3" t="s">
        <v>228</v>
      </c>
      <c r="F2330" s="1">
        <v>46013</v>
      </c>
      <c r="G2330" t="str">
        <f t="shared" si="77"/>
        <v>Dec -2025</v>
      </c>
    </row>
    <row r="2331" spans="1:7" x14ac:dyDescent="0.3">
      <c r="A2331" s="4">
        <v>1506997</v>
      </c>
      <c r="B2331" s="2" t="s">
        <v>1816</v>
      </c>
      <c r="C2331" s="3" t="s">
        <v>1010</v>
      </c>
      <c r="D2331" s="3" t="s">
        <v>1259</v>
      </c>
      <c r="E2331" s="3" t="s">
        <v>228</v>
      </c>
      <c r="F2331" s="1">
        <v>46013</v>
      </c>
      <c r="G2331" t="str">
        <f t="shared" si="77"/>
        <v>Dec -2025</v>
      </c>
    </row>
    <row r="2332" spans="1:7" x14ac:dyDescent="0.3">
      <c r="A2332" s="4">
        <v>1510509</v>
      </c>
      <c r="B2332" s="2" t="s">
        <v>1817</v>
      </c>
      <c r="C2332" s="3" t="s">
        <v>1010</v>
      </c>
      <c r="D2332" s="3" t="s">
        <v>1259</v>
      </c>
      <c r="E2332" s="3" t="s">
        <v>228</v>
      </c>
      <c r="F2332" s="1">
        <v>46013</v>
      </c>
      <c r="G2332" t="str">
        <f t="shared" si="77"/>
        <v>Dec -2025</v>
      </c>
    </row>
    <row r="2333" spans="1:7" x14ac:dyDescent="0.3">
      <c r="A2333" s="4">
        <v>1514002</v>
      </c>
      <c r="B2333" s="2" t="s">
        <v>1818</v>
      </c>
      <c r="C2333" s="3" t="s">
        <v>1010</v>
      </c>
      <c r="D2333" s="3" t="s">
        <v>1259</v>
      </c>
      <c r="E2333" s="3" t="s">
        <v>228</v>
      </c>
      <c r="F2333" s="1">
        <v>46013</v>
      </c>
      <c r="G2333" t="str">
        <f t="shared" si="77"/>
        <v>Dec -2025</v>
      </c>
    </row>
    <row r="2334" spans="1:7" x14ac:dyDescent="0.3">
      <c r="A2334" s="4">
        <v>1641812</v>
      </c>
      <c r="B2334" s="2" t="s">
        <v>1819</v>
      </c>
      <c r="C2334" s="3" t="s">
        <v>1010</v>
      </c>
      <c r="D2334" s="3" t="s">
        <v>196</v>
      </c>
      <c r="E2334" s="3" t="s">
        <v>196</v>
      </c>
      <c r="F2334" s="1">
        <v>46013</v>
      </c>
      <c r="G2334" t="str">
        <f t="shared" si="77"/>
        <v>Dec -2025</v>
      </c>
    </row>
    <row r="2335" spans="1:7" x14ac:dyDescent="0.3">
      <c r="A2335" s="4">
        <v>1626918</v>
      </c>
      <c r="B2335" s="2" t="s">
        <v>1820</v>
      </c>
      <c r="C2335" s="3" t="s">
        <v>1010</v>
      </c>
      <c r="D2335" s="3" t="s">
        <v>1259</v>
      </c>
      <c r="E2335" s="3" t="s">
        <v>228</v>
      </c>
      <c r="F2335" s="1">
        <v>46013</v>
      </c>
      <c r="G2335" t="str">
        <f t="shared" si="77"/>
        <v>Dec -2025</v>
      </c>
    </row>
    <row r="2336" spans="1:7" x14ac:dyDescent="0.3">
      <c r="A2336" s="4">
        <v>900005730</v>
      </c>
      <c r="B2336" s="2" t="s">
        <v>1821</v>
      </c>
      <c r="C2336" s="3" t="s">
        <v>1010</v>
      </c>
      <c r="D2336" s="3" t="s">
        <v>1551</v>
      </c>
      <c r="E2336" s="3" t="s">
        <v>322</v>
      </c>
      <c r="F2336" s="1">
        <v>46013</v>
      </c>
      <c r="G2336" t="str">
        <f t="shared" si="77"/>
        <v>Dec -2025</v>
      </c>
    </row>
    <row r="2337" spans="1:7" x14ac:dyDescent="0.3">
      <c r="A2337" s="4">
        <v>1641795</v>
      </c>
      <c r="B2337" s="2" t="s">
        <v>97</v>
      </c>
      <c r="C2337" s="3" t="s">
        <v>1010</v>
      </c>
      <c r="D2337" s="3" t="s">
        <v>209</v>
      </c>
      <c r="E2337" s="3" t="s">
        <v>225</v>
      </c>
      <c r="F2337" s="1">
        <v>46013</v>
      </c>
      <c r="G2337" t="str">
        <f t="shared" si="77"/>
        <v>Dec -2025</v>
      </c>
    </row>
    <row r="2338" spans="1:7" x14ac:dyDescent="0.3">
      <c r="A2338" s="4">
        <v>1641796</v>
      </c>
      <c r="B2338" s="2" t="s">
        <v>97</v>
      </c>
      <c r="C2338" s="3" t="s">
        <v>1010</v>
      </c>
      <c r="D2338" s="3" t="s">
        <v>209</v>
      </c>
      <c r="E2338" s="3" t="s">
        <v>225</v>
      </c>
      <c r="F2338" s="1">
        <v>46013</v>
      </c>
      <c r="G2338" t="str">
        <f t="shared" si="77"/>
        <v>Dec -2025</v>
      </c>
    </row>
    <row r="2339" spans="1:7" x14ac:dyDescent="0.3">
      <c r="A2339" s="4">
        <v>1641797</v>
      </c>
      <c r="B2339" s="2" t="s">
        <v>97</v>
      </c>
      <c r="C2339" s="3" t="s">
        <v>1010</v>
      </c>
      <c r="D2339" s="3" t="s">
        <v>209</v>
      </c>
      <c r="E2339" s="3" t="s">
        <v>225</v>
      </c>
      <c r="F2339" s="1">
        <v>46013</v>
      </c>
      <c r="G2339" t="str">
        <f t="shared" si="77"/>
        <v>Dec -2025</v>
      </c>
    </row>
    <row r="2340" spans="1:7" x14ac:dyDescent="0.3">
      <c r="A2340" s="4">
        <v>1641798</v>
      </c>
      <c r="B2340" s="2" t="s">
        <v>97</v>
      </c>
      <c r="C2340" s="3" t="s">
        <v>1010</v>
      </c>
      <c r="D2340" s="3" t="s">
        <v>209</v>
      </c>
      <c r="E2340" s="3" t="s">
        <v>225</v>
      </c>
      <c r="F2340" s="1">
        <v>46013</v>
      </c>
      <c r="G2340" t="str">
        <f t="shared" si="77"/>
        <v>Dec -2025</v>
      </c>
    </row>
    <row r="2341" spans="1:7" x14ac:dyDescent="0.3">
      <c r="A2341" s="4">
        <v>1641799</v>
      </c>
      <c r="B2341" s="2" t="s">
        <v>97</v>
      </c>
      <c r="C2341" s="3" t="s">
        <v>1010</v>
      </c>
      <c r="D2341" s="3" t="s">
        <v>209</v>
      </c>
      <c r="E2341" s="3" t="s">
        <v>225</v>
      </c>
      <c r="F2341" s="1">
        <v>46013</v>
      </c>
      <c r="G2341" t="str">
        <f t="shared" si="77"/>
        <v>Dec -2025</v>
      </c>
    </row>
    <row r="2342" spans="1:7" x14ac:dyDescent="0.3">
      <c r="A2342" s="4">
        <v>1637813</v>
      </c>
      <c r="B2342" s="2" t="s">
        <v>1822</v>
      </c>
      <c r="C2342" s="3" t="s">
        <v>1010</v>
      </c>
      <c r="D2342" s="3" t="s">
        <v>209</v>
      </c>
      <c r="E2342" s="3" t="s">
        <v>228</v>
      </c>
      <c r="F2342" s="1">
        <v>46013</v>
      </c>
      <c r="G2342" t="str">
        <f t="shared" si="77"/>
        <v>Dec -2025</v>
      </c>
    </row>
    <row r="2343" spans="1:7" x14ac:dyDescent="0.3">
      <c r="A2343" s="4">
        <v>200003039</v>
      </c>
      <c r="B2343" s="2" t="s">
        <v>1823</v>
      </c>
      <c r="C2343" s="3" t="s">
        <v>1010</v>
      </c>
      <c r="D2343" s="3" t="s">
        <v>192</v>
      </c>
      <c r="E2343" s="3" t="s">
        <v>287</v>
      </c>
      <c r="F2343" s="1">
        <v>46013</v>
      </c>
      <c r="G2343" t="str">
        <f t="shared" si="77"/>
        <v>Dec -2025</v>
      </c>
    </row>
    <row r="2344" spans="1:7" x14ac:dyDescent="0.3">
      <c r="A2344" s="4">
        <v>200003064</v>
      </c>
      <c r="B2344" s="2" t="s">
        <v>1824</v>
      </c>
      <c r="C2344" s="3" t="s">
        <v>1010</v>
      </c>
      <c r="D2344" s="3" t="s">
        <v>192</v>
      </c>
      <c r="E2344" s="3" t="s">
        <v>1069</v>
      </c>
      <c r="F2344" s="1">
        <v>46013</v>
      </c>
      <c r="G2344" t="str">
        <f t="shared" si="77"/>
        <v>Dec -2025</v>
      </c>
    </row>
    <row r="2345" spans="1:7" x14ac:dyDescent="0.3">
      <c r="A2345" s="4">
        <v>196272</v>
      </c>
      <c r="B2345" s="2" t="s">
        <v>1825</v>
      </c>
      <c r="C2345" s="3" t="s">
        <v>1010</v>
      </c>
      <c r="D2345" s="3" t="s">
        <v>1172</v>
      </c>
      <c r="E2345" s="3" t="s">
        <v>1172</v>
      </c>
      <c r="F2345" s="1">
        <v>46014</v>
      </c>
      <c r="G2345" t="str">
        <f t="shared" si="77"/>
        <v>Dec -2025</v>
      </c>
    </row>
    <row r="2346" spans="1:7" x14ac:dyDescent="0.3">
      <c r="A2346" s="4">
        <v>1651088</v>
      </c>
      <c r="B2346" s="2" t="s">
        <v>1826</v>
      </c>
      <c r="C2346" s="3" t="s">
        <v>1010</v>
      </c>
      <c r="D2346" s="3" t="s">
        <v>1259</v>
      </c>
      <c r="E2346" s="3" t="s">
        <v>228</v>
      </c>
      <c r="F2346" s="1">
        <v>46014</v>
      </c>
      <c r="G2346" t="str">
        <f t="shared" ref="G2346:G2365" si="78">TEXT(F2346,"mmm -YYYY")</f>
        <v>Dec -2025</v>
      </c>
    </row>
    <row r="2347" spans="1:7" x14ac:dyDescent="0.3">
      <c r="A2347" s="4">
        <v>1652536</v>
      </c>
      <c r="B2347" s="2" t="s">
        <v>1827</v>
      </c>
      <c r="C2347" s="3" t="s">
        <v>1010</v>
      </c>
      <c r="D2347" s="3" t="s">
        <v>1259</v>
      </c>
      <c r="E2347" s="3" t="s">
        <v>228</v>
      </c>
      <c r="F2347" s="1">
        <v>46014</v>
      </c>
      <c r="G2347" t="str">
        <f t="shared" si="78"/>
        <v>Dec -2025</v>
      </c>
    </row>
    <row r="2348" spans="1:7" x14ac:dyDescent="0.3">
      <c r="A2348" s="4">
        <v>1653492</v>
      </c>
      <c r="B2348" s="2" t="s">
        <v>1828</v>
      </c>
      <c r="C2348" s="3" t="s">
        <v>1010</v>
      </c>
      <c r="D2348" s="3" t="s">
        <v>1259</v>
      </c>
      <c r="E2348" s="3" t="s">
        <v>228</v>
      </c>
      <c r="F2348" s="1">
        <v>46014</v>
      </c>
      <c r="G2348" t="str">
        <f t="shared" si="78"/>
        <v>Dec -2025</v>
      </c>
    </row>
    <row r="2349" spans="1:7" x14ac:dyDescent="0.3">
      <c r="A2349" s="4">
        <v>1655921</v>
      </c>
      <c r="B2349" s="2" t="s">
        <v>1829</v>
      </c>
      <c r="C2349" s="3" t="s">
        <v>1010</v>
      </c>
      <c r="D2349" s="3" t="s">
        <v>1259</v>
      </c>
      <c r="E2349" s="3" t="s">
        <v>228</v>
      </c>
      <c r="F2349" s="1">
        <v>46014</v>
      </c>
      <c r="G2349" t="str">
        <f t="shared" si="78"/>
        <v>Dec -2025</v>
      </c>
    </row>
    <row r="2350" spans="1:7" x14ac:dyDescent="0.3">
      <c r="A2350" s="4">
        <v>1675721</v>
      </c>
      <c r="B2350" s="2" t="s">
        <v>1830</v>
      </c>
      <c r="C2350" s="3" t="s">
        <v>1010</v>
      </c>
      <c r="D2350" s="3" t="s">
        <v>1259</v>
      </c>
      <c r="E2350" s="3" t="s">
        <v>228</v>
      </c>
      <c r="F2350" s="1">
        <v>46014</v>
      </c>
      <c r="G2350" t="str">
        <f t="shared" si="78"/>
        <v>Dec -2025</v>
      </c>
    </row>
    <row r="2351" spans="1:7" x14ac:dyDescent="0.3">
      <c r="A2351" s="4">
        <v>1677178</v>
      </c>
      <c r="B2351" s="2" t="s">
        <v>1831</v>
      </c>
      <c r="C2351" s="3" t="s">
        <v>1010</v>
      </c>
      <c r="D2351" s="3" t="s">
        <v>1259</v>
      </c>
      <c r="E2351" s="3" t="s">
        <v>228</v>
      </c>
      <c r="F2351" s="1">
        <v>46014</v>
      </c>
      <c r="G2351" t="str">
        <f t="shared" si="78"/>
        <v>Dec -2025</v>
      </c>
    </row>
    <row r="2352" spans="1:7" x14ac:dyDescent="0.3">
      <c r="A2352" s="4">
        <v>1646214</v>
      </c>
      <c r="B2352" s="2" t="s">
        <v>479</v>
      </c>
      <c r="C2352" s="3" t="s">
        <v>1010</v>
      </c>
      <c r="D2352" s="3" t="s">
        <v>209</v>
      </c>
      <c r="E2352" s="3" t="s">
        <v>338</v>
      </c>
      <c r="F2352" s="1">
        <v>46014</v>
      </c>
      <c r="G2352" t="str">
        <f t="shared" si="78"/>
        <v>Dec -2025</v>
      </c>
    </row>
    <row r="2353" spans="1:7" x14ac:dyDescent="0.3">
      <c r="A2353" s="4">
        <v>1683570</v>
      </c>
      <c r="B2353" s="2" t="s">
        <v>1832</v>
      </c>
      <c r="C2353" s="3" t="s">
        <v>1010</v>
      </c>
      <c r="D2353" s="3" t="s">
        <v>209</v>
      </c>
      <c r="E2353" s="3" t="s">
        <v>228</v>
      </c>
      <c r="F2353" s="1">
        <v>46014</v>
      </c>
      <c r="G2353" t="str">
        <f t="shared" si="78"/>
        <v>Dec -2025</v>
      </c>
    </row>
    <row r="2354" spans="1:7" x14ac:dyDescent="0.3">
      <c r="A2354" s="4">
        <v>1684541</v>
      </c>
      <c r="B2354" s="2" t="s">
        <v>1832</v>
      </c>
      <c r="C2354" s="3" t="s">
        <v>1010</v>
      </c>
      <c r="D2354" s="3" t="s">
        <v>209</v>
      </c>
      <c r="E2354" s="3" t="s">
        <v>228</v>
      </c>
      <c r="F2354" s="1">
        <v>46014</v>
      </c>
      <c r="G2354" t="str">
        <f t="shared" si="78"/>
        <v>Dec -2025</v>
      </c>
    </row>
    <row r="2355" spans="1:7" x14ac:dyDescent="0.3">
      <c r="A2355" s="4">
        <v>1684538</v>
      </c>
      <c r="B2355" s="2" t="s">
        <v>1832</v>
      </c>
      <c r="C2355" s="3" t="s">
        <v>1010</v>
      </c>
      <c r="D2355" s="3" t="s">
        <v>209</v>
      </c>
      <c r="E2355" s="3" t="s">
        <v>228</v>
      </c>
      <c r="F2355" s="1">
        <v>46014</v>
      </c>
      <c r="G2355" t="str">
        <f t="shared" si="78"/>
        <v>Dec -2025</v>
      </c>
    </row>
    <row r="2356" spans="1:7" x14ac:dyDescent="0.3">
      <c r="A2356" s="4">
        <v>200003024</v>
      </c>
      <c r="B2356" s="2" t="s">
        <v>1833</v>
      </c>
      <c r="C2356" s="3" t="s">
        <v>1010</v>
      </c>
      <c r="D2356" s="3" t="s">
        <v>192</v>
      </c>
      <c r="E2356" s="3" t="s">
        <v>1544</v>
      </c>
      <c r="F2356" s="1">
        <v>46014</v>
      </c>
      <c r="G2356" t="str">
        <f t="shared" si="78"/>
        <v>Dec -2025</v>
      </c>
    </row>
    <row r="2357" spans="1:7" x14ac:dyDescent="0.3">
      <c r="A2357" s="4">
        <v>200003074</v>
      </c>
      <c r="B2357" s="2" t="s">
        <v>1834</v>
      </c>
      <c r="C2357" s="3" t="s">
        <v>1010</v>
      </c>
      <c r="D2357" s="3" t="s">
        <v>192</v>
      </c>
      <c r="E2357" s="3" t="s">
        <v>287</v>
      </c>
      <c r="F2357" s="1">
        <v>46014</v>
      </c>
      <c r="G2357" t="str">
        <f t="shared" si="78"/>
        <v>Dec -2025</v>
      </c>
    </row>
    <row r="2358" spans="1:7" x14ac:dyDescent="0.3">
      <c r="A2358" s="4">
        <v>200002924</v>
      </c>
      <c r="B2358" s="2" t="s">
        <v>1835</v>
      </c>
      <c r="C2358" s="3" t="s">
        <v>1010</v>
      </c>
      <c r="D2358" s="3" t="s">
        <v>192</v>
      </c>
      <c r="E2358" s="3" t="s">
        <v>342</v>
      </c>
      <c r="F2358" s="1">
        <v>46014</v>
      </c>
      <c r="G2358" t="str">
        <f t="shared" si="78"/>
        <v>Dec -2025</v>
      </c>
    </row>
    <row r="2359" spans="1:7" x14ac:dyDescent="0.3">
      <c r="A2359" s="4">
        <v>900005731</v>
      </c>
      <c r="B2359" s="2" t="s">
        <v>1836</v>
      </c>
      <c r="C2359" s="3" t="s">
        <v>1010</v>
      </c>
      <c r="D2359" s="3" t="s">
        <v>1551</v>
      </c>
      <c r="E2359" s="3" t="s">
        <v>322</v>
      </c>
      <c r="F2359" s="1">
        <v>46014</v>
      </c>
      <c r="G2359" t="str">
        <f t="shared" si="78"/>
        <v>Dec -2025</v>
      </c>
    </row>
    <row r="2360" spans="1:7" x14ac:dyDescent="0.3">
      <c r="A2360" s="4">
        <v>900005723</v>
      </c>
      <c r="B2360" s="2" t="s">
        <v>1837</v>
      </c>
      <c r="C2360" s="3" t="s">
        <v>1010</v>
      </c>
      <c r="D2360" s="3" t="s">
        <v>1551</v>
      </c>
      <c r="E2360" s="3" t="s">
        <v>322</v>
      </c>
      <c r="F2360" s="1">
        <v>46014</v>
      </c>
      <c r="G2360" t="str">
        <f t="shared" si="78"/>
        <v>Dec -2025</v>
      </c>
    </row>
    <row r="2361" spans="1:7" x14ac:dyDescent="0.3">
      <c r="A2361" s="4">
        <v>200001516</v>
      </c>
      <c r="B2361" s="2" t="s">
        <v>1373</v>
      </c>
      <c r="C2361" s="3" t="s">
        <v>1010</v>
      </c>
      <c r="D2361" s="3" t="s">
        <v>1229</v>
      </c>
      <c r="E2361" s="3" t="s">
        <v>7</v>
      </c>
      <c r="F2361" s="1">
        <v>46014</v>
      </c>
      <c r="G2361" t="str">
        <f t="shared" si="78"/>
        <v>Dec -2025</v>
      </c>
    </row>
    <row r="2362" spans="1:7" x14ac:dyDescent="0.3">
      <c r="A2362" s="4">
        <v>100005005</v>
      </c>
      <c r="B2362" s="2" t="s">
        <v>1838</v>
      </c>
      <c r="C2362" s="3" t="s">
        <v>1011</v>
      </c>
      <c r="D2362" s="3" t="s">
        <v>972</v>
      </c>
      <c r="E2362" s="3" t="s">
        <v>970</v>
      </c>
      <c r="F2362" s="1">
        <v>46014</v>
      </c>
      <c r="G2362" t="str">
        <f t="shared" si="78"/>
        <v>Dec -2025</v>
      </c>
    </row>
    <row r="2363" spans="1:7" x14ac:dyDescent="0.3">
      <c r="A2363" s="4">
        <v>100004997</v>
      </c>
      <c r="B2363" s="2" t="s">
        <v>1839</v>
      </c>
      <c r="C2363" s="3" t="s">
        <v>1011</v>
      </c>
      <c r="D2363" s="3" t="s">
        <v>972</v>
      </c>
      <c r="E2363" s="3" t="s">
        <v>979</v>
      </c>
      <c r="F2363" s="1">
        <v>46014</v>
      </c>
      <c r="G2363" t="str">
        <f t="shared" si="78"/>
        <v>Dec -2025</v>
      </c>
    </row>
    <row r="2364" spans="1:7" x14ac:dyDescent="0.3">
      <c r="A2364" s="4">
        <v>100004998</v>
      </c>
      <c r="B2364" s="2" t="s">
        <v>1840</v>
      </c>
      <c r="C2364" s="3" t="s">
        <v>1011</v>
      </c>
      <c r="D2364" s="3" t="s">
        <v>972</v>
      </c>
      <c r="E2364" s="3" t="s">
        <v>979</v>
      </c>
      <c r="F2364" s="1">
        <v>46014</v>
      </c>
      <c r="G2364" t="str">
        <f t="shared" si="78"/>
        <v>Dec -2025</v>
      </c>
    </row>
    <row r="2365" spans="1:7" x14ac:dyDescent="0.3">
      <c r="A2365" s="4">
        <v>2104179</v>
      </c>
      <c r="B2365" s="2" t="s">
        <v>1841</v>
      </c>
      <c r="C2365" s="3" t="s">
        <v>1010</v>
      </c>
      <c r="D2365" s="3" t="s">
        <v>209</v>
      </c>
      <c r="E2365" s="3" t="s">
        <v>225</v>
      </c>
      <c r="F2365" s="1">
        <v>46024</v>
      </c>
      <c r="G2365" t="str">
        <f t="shared" si="78"/>
        <v>Jan -2026</v>
      </c>
    </row>
    <row r="2366" spans="1:7" x14ac:dyDescent="0.3">
      <c r="A2366" s="4">
        <v>2105617</v>
      </c>
      <c r="B2366" s="2" t="s">
        <v>1841</v>
      </c>
      <c r="C2366" s="3" t="s">
        <v>1010</v>
      </c>
      <c r="D2366" s="3" t="s">
        <v>209</v>
      </c>
      <c r="E2366" s="3" t="s">
        <v>225</v>
      </c>
      <c r="F2366" s="1">
        <v>46024</v>
      </c>
      <c r="G2366" t="str">
        <f t="shared" ref="G2366:G2374" si="79">TEXT(F2366,"mmm -YYYY")</f>
        <v>Jan -2026</v>
      </c>
    </row>
    <row r="2367" spans="1:7" x14ac:dyDescent="0.3">
      <c r="A2367" s="4">
        <v>2138148</v>
      </c>
      <c r="B2367" s="2" t="s">
        <v>1842</v>
      </c>
      <c r="C2367" s="3" t="s">
        <v>1010</v>
      </c>
      <c r="D2367" s="3" t="s">
        <v>364</v>
      </c>
      <c r="E2367" s="3" t="s">
        <v>15</v>
      </c>
      <c r="F2367" s="1">
        <v>46024</v>
      </c>
      <c r="G2367" t="str">
        <f t="shared" si="79"/>
        <v>Jan -2026</v>
      </c>
    </row>
    <row r="2368" spans="1:7" x14ac:dyDescent="0.3">
      <c r="A2368" s="4">
        <v>2138243</v>
      </c>
      <c r="B2368" s="2" t="s">
        <v>1496</v>
      </c>
      <c r="C2368" s="3" t="s">
        <v>1010</v>
      </c>
      <c r="D2368" s="3" t="s">
        <v>1020</v>
      </c>
      <c r="E2368" s="3" t="s">
        <v>338</v>
      </c>
      <c r="F2368" s="1">
        <v>46024</v>
      </c>
      <c r="G2368" t="str">
        <f t="shared" si="79"/>
        <v>Jan -2026</v>
      </c>
    </row>
    <row r="2369" spans="1:7" x14ac:dyDescent="0.3">
      <c r="A2369" s="4">
        <v>2138302</v>
      </c>
      <c r="B2369" s="2" t="s">
        <v>1843</v>
      </c>
      <c r="C2369" s="3" t="s">
        <v>1010</v>
      </c>
      <c r="D2369" s="3" t="s">
        <v>1551</v>
      </c>
      <c r="E2369" s="3" t="s">
        <v>228</v>
      </c>
      <c r="F2369" s="1">
        <v>46024</v>
      </c>
      <c r="G2369" t="str">
        <f t="shared" si="79"/>
        <v>Jan -2026</v>
      </c>
    </row>
    <row r="2370" spans="1:7" x14ac:dyDescent="0.3">
      <c r="A2370" s="4">
        <v>2138195</v>
      </c>
      <c r="B2370" s="2" t="s">
        <v>1843</v>
      </c>
      <c r="C2370" s="3" t="s">
        <v>1010</v>
      </c>
      <c r="D2370" s="3" t="s">
        <v>1551</v>
      </c>
      <c r="E2370" s="3" t="s">
        <v>228</v>
      </c>
      <c r="F2370" s="1">
        <v>46024</v>
      </c>
      <c r="G2370" t="str">
        <f t="shared" si="79"/>
        <v>Jan -2026</v>
      </c>
    </row>
    <row r="2371" spans="1:7" x14ac:dyDescent="0.3">
      <c r="A2371" s="4">
        <v>2138460</v>
      </c>
      <c r="B2371" s="2" t="s">
        <v>1844</v>
      </c>
      <c r="C2371" s="3" t="s">
        <v>1010</v>
      </c>
      <c r="D2371" s="3" t="s">
        <v>209</v>
      </c>
      <c r="E2371" s="3" t="s">
        <v>228</v>
      </c>
      <c r="F2371" s="1">
        <v>46024</v>
      </c>
      <c r="G2371" t="str">
        <f t="shared" si="79"/>
        <v>Jan -2026</v>
      </c>
    </row>
    <row r="2372" spans="1:7" x14ac:dyDescent="0.3">
      <c r="A2372" s="4">
        <v>2138641</v>
      </c>
      <c r="B2372" s="2" t="s">
        <v>1844</v>
      </c>
      <c r="C2372" s="3" t="s">
        <v>1010</v>
      </c>
      <c r="D2372" s="3" t="s">
        <v>209</v>
      </c>
      <c r="E2372" s="3" t="s">
        <v>228</v>
      </c>
      <c r="F2372" s="1">
        <v>46024</v>
      </c>
      <c r="G2372" t="str">
        <f t="shared" si="79"/>
        <v>Jan -2026</v>
      </c>
    </row>
    <row r="2373" spans="1:7" x14ac:dyDescent="0.3">
      <c r="A2373" s="4">
        <v>2138642</v>
      </c>
      <c r="B2373" s="2" t="s">
        <v>1844</v>
      </c>
      <c r="C2373" s="3" t="s">
        <v>1010</v>
      </c>
      <c r="D2373" s="3" t="s">
        <v>209</v>
      </c>
      <c r="E2373" s="3" t="s">
        <v>228</v>
      </c>
      <c r="F2373" s="1">
        <v>46024</v>
      </c>
      <c r="G2373" t="str">
        <f t="shared" si="79"/>
        <v>Jan -2026</v>
      </c>
    </row>
    <row r="2374" spans="1:7" x14ac:dyDescent="0.3">
      <c r="A2374" s="4">
        <v>2138635</v>
      </c>
      <c r="B2374" s="2" t="s">
        <v>1466</v>
      </c>
      <c r="C2374" s="3" t="s">
        <v>1010</v>
      </c>
      <c r="D2374" s="3" t="s">
        <v>1020</v>
      </c>
      <c r="E2374" s="3" t="s">
        <v>338</v>
      </c>
      <c r="F2374" s="1">
        <v>46024</v>
      </c>
      <c r="G2374" t="str">
        <f t="shared" si="79"/>
        <v>Jan -2026</v>
      </c>
    </row>
    <row r="2375" spans="1:7" x14ac:dyDescent="0.3">
      <c r="A2375" s="4">
        <v>900005806</v>
      </c>
      <c r="B2375" s="2" t="s">
        <v>1845</v>
      </c>
      <c r="C2375" s="3" t="s">
        <v>1011</v>
      </c>
      <c r="D2375" s="3" t="s">
        <v>973</v>
      </c>
      <c r="E2375" s="3" t="s">
        <v>322</v>
      </c>
      <c r="F2375" s="1">
        <v>46024</v>
      </c>
      <c r="G2375" t="str">
        <f t="shared" ref="G2375:G2376" si="80">TEXT(F2375,"mmm -YYYY")</f>
        <v>Jan -2026</v>
      </c>
    </row>
    <row r="2376" spans="1:7" x14ac:dyDescent="0.3">
      <c r="A2376" s="4">
        <v>100005036</v>
      </c>
      <c r="B2376" s="2" t="s">
        <v>1852</v>
      </c>
      <c r="C2376" s="3" t="s">
        <v>1011</v>
      </c>
      <c r="D2376" s="3" t="s">
        <v>972</v>
      </c>
      <c r="E2376" s="3" t="s">
        <v>984</v>
      </c>
      <c r="F2376" s="1">
        <v>46027</v>
      </c>
      <c r="G2376" t="str">
        <f t="shared" si="80"/>
        <v>Jan -2026</v>
      </c>
    </row>
    <row r="2377" spans="1:7" x14ac:dyDescent="0.3">
      <c r="A2377" s="4">
        <v>1462048</v>
      </c>
      <c r="B2377" s="2" t="s">
        <v>1849</v>
      </c>
      <c r="C2377" s="3" t="s">
        <v>1010</v>
      </c>
      <c r="D2377" s="3" t="s">
        <v>1020</v>
      </c>
      <c r="E2377" s="3" t="s">
        <v>338</v>
      </c>
      <c r="F2377" s="1">
        <v>46027</v>
      </c>
      <c r="G2377" t="str">
        <f t="shared" ref="G2377:G2387" si="81">TEXT(F2377,"mmm -YYYY")</f>
        <v>Jan -2026</v>
      </c>
    </row>
    <row r="2378" spans="1:7" x14ac:dyDescent="0.3">
      <c r="A2378" s="4">
        <v>1461076</v>
      </c>
      <c r="B2378" s="2" t="s">
        <v>1849</v>
      </c>
      <c r="C2378" s="3" t="s">
        <v>1010</v>
      </c>
      <c r="D2378" s="3" t="s">
        <v>1020</v>
      </c>
      <c r="E2378" s="3" t="s">
        <v>338</v>
      </c>
      <c r="F2378" s="1">
        <v>46027</v>
      </c>
      <c r="G2378" t="str">
        <f t="shared" si="81"/>
        <v>Jan -2026</v>
      </c>
    </row>
    <row r="2379" spans="1:7" x14ac:dyDescent="0.3">
      <c r="A2379" s="4">
        <v>1649143</v>
      </c>
      <c r="B2379" s="2" t="s">
        <v>444</v>
      </c>
      <c r="C2379" s="3" t="s">
        <v>1010</v>
      </c>
      <c r="D2379" s="3" t="s">
        <v>1020</v>
      </c>
      <c r="E2379" s="3" t="s">
        <v>338</v>
      </c>
      <c r="F2379" s="1">
        <v>46027</v>
      </c>
      <c r="G2379" t="str">
        <f t="shared" si="81"/>
        <v>Jan -2026</v>
      </c>
    </row>
    <row r="2380" spans="1:7" x14ac:dyDescent="0.3">
      <c r="A2380" s="4">
        <v>1407528</v>
      </c>
      <c r="B2380" s="2" t="s">
        <v>337</v>
      </c>
      <c r="C2380" s="3" t="s">
        <v>1010</v>
      </c>
      <c r="D2380" s="3" t="s">
        <v>1020</v>
      </c>
      <c r="E2380" s="3" t="s">
        <v>338</v>
      </c>
      <c r="F2380" s="1">
        <v>46027</v>
      </c>
      <c r="G2380" t="str">
        <f t="shared" si="81"/>
        <v>Jan -2026</v>
      </c>
    </row>
    <row r="2381" spans="1:7" x14ac:dyDescent="0.3">
      <c r="A2381" s="4">
        <v>1414998</v>
      </c>
      <c r="B2381" s="2" t="s">
        <v>337</v>
      </c>
      <c r="C2381" s="3" t="s">
        <v>1010</v>
      </c>
      <c r="D2381" s="3" t="s">
        <v>1020</v>
      </c>
      <c r="E2381" s="3" t="s">
        <v>338</v>
      </c>
      <c r="F2381" s="1">
        <v>46027</v>
      </c>
      <c r="G2381" t="str">
        <f t="shared" si="81"/>
        <v>Jan -2026</v>
      </c>
    </row>
    <row r="2382" spans="1:7" x14ac:dyDescent="0.3">
      <c r="A2382" s="4">
        <v>1468931</v>
      </c>
      <c r="B2382" s="2" t="s">
        <v>47</v>
      </c>
      <c r="C2382" s="3" t="s">
        <v>1010</v>
      </c>
      <c r="D2382" s="3" t="s">
        <v>1020</v>
      </c>
      <c r="E2382" s="3" t="s">
        <v>211</v>
      </c>
      <c r="F2382" s="1">
        <v>46027</v>
      </c>
      <c r="G2382" t="str">
        <f t="shared" si="81"/>
        <v>Jan -2026</v>
      </c>
    </row>
    <row r="2383" spans="1:7" x14ac:dyDescent="0.3">
      <c r="A2383" s="4">
        <v>2138635</v>
      </c>
      <c r="B2383" s="2" t="s">
        <v>1466</v>
      </c>
      <c r="C2383" s="3" t="s">
        <v>1010</v>
      </c>
      <c r="D2383" s="3" t="s">
        <v>1020</v>
      </c>
      <c r="E2383" s="3" t="s">
        <v>338</v>
      </c>
      <c r="F2383" s="1">
        <v>46027</v>
      </c>
      <c r="G2383" t="str">
        <f t="shared" si="81"/>
        <v>Jan -2026</v>
      </c>
    </row>
    <row r="2384" spans="1:7" x14ac:dyDescent="0.3">
      <c r="A2384" s="4">
        <v>2143058</v>
      </c>
      <c r="B2384" s="2" t="s">
        <v>1850</v>
      </c>
      <c r="C2384" s="3" t="s">
        <v>1010</v>
      </c>
      <c r="D2384" s="3" t="s">
        <v>209</v>
      </c>
      <c r="E2384" s="3" t="s">
        <v>228</v>
      </c>
      <c r="F2384" s="1">
        <v>46027</v>
      </c>
      <c r="G2384" t="str">
        <f t="shared" si="81"/>
        <v>Jan -2026</v>
      </c>
    </row>
    <row r="2385" spans="1:7" x14ac:dyDescent="0.3">
      <c r="A2385" s="4">
        <v>2143476</v>
      </c>
      <c r="B2385" s="2" t="s">
        <v>1851</v>
      </c>
      <c r="C2385" s="3" t="s">
        <v>1010</v>
      </c>
      <c r="D2385" s="3" t="s">
        <v>1259</v>
      </c>
      <c r="E2385" s="3" t="s">
        <v>228</v>
      </c>
      <c r="F2385" s="1">
        <v>46027</v>
      </c>
      <c r="G2385" t="str">
        <f t="shared" si="81"/>
        <v>Jan -2026</v>
      </c>
    </row>
    <row r="2386" spans="1:7" x14ac:dyDescent="0.3">
      <c r="A2386" s="4">
        <v>1645707</v>
      </c>
      <c r="B2386" s="2" t="s">
        <v>47</v>
      </c>
      <c r="C2386" s="3" t="s">
        <v>1010</v>
      </c>
      <c r="D2386" s="3" t="s">
        <v>1020</v>
      </c>
      <c r="E2386" s="3" t="s">
        <v>211</v>
      </c>
      <c r="F2386" s="1">
        <v>46027</v>
      </c>
      <c r="G2386" t="str">
        <f t="shared" si="81"/>
        <v>Jan -2026</v>
      </c>
    </row>
    <row r="2387" spans="1:7" x14ac:dyDescent="0.3">
      <c r="A2387" s="4">
        <v>200001517</v>
      </c>
      <c r="B2387" s="2" t="s">
        <v>1250</v>
      </c>
      <c r="C2387" s="3" t="s">
        <v>1010</v>
      </c>
      <c r="D2387" s="3" t="s">
        <v>1229</v>
      </c>
      <c r="E2387" s="3" t="s">
        <v>7</v>
      </c>
      <c r="F2387" s="1">
        <v>46028</v>
      </c>
      <c r="G2387" t="str">
        <f t="shared" si="81"/>
        <v>Jan -2026</v>
      </c>
    </row>
    <row r="2388" spans="1:7" x14ac:dyDescent="0.3">
      <c r="A2388" s="4">
        <v>200001518</v>
      </c>
      <c r="B2388" s="2" t="s">
        <v>1250</v>
      </c>
      <c r="C2388" s="3" t="s">
        <v>1010</v>
      </c>
      <c r="D2388" s="3" t="s">
        <v>1229</v>
      </c>
      <c r="E2388" s="3" t="s">
        <v>7</v>
      </c>
      <c r="F2388" s="1">
        <v>46028</v>
      </c>
      <c r="G2388" t="str">
        <f t="shared" ref="G2388:G2396" si="82">TEXT(F2388,"mmm -YYYY")</f>
        <v>Jan -2026</v>
      </c>
    </row>
    <row r="2389" spans="1:7" x14ac:dyDescent="0.3">
      <c r="A2389" s="4">
        <v>200001519</v>
      </c>
      <c r="B2389" s="2" t="s">
        <v>1250</v>
      </c>
      <c r="C2389" s="3" t="s">
        <v>1010</v>
      </c>
      <c r="D2389" s="3" t="s">
        <v>1229</v>
      </c>
      <c r="E2389" s="3" t="s">
        <v>7</v>
      </c>
      <c r="F2389" s="1">
        <v>46028</v>
      </c>
      <c r="G2389" t="str">
        <f t="shared" si="82"/>
        <v>Jan -2026</v>
      </c>
    </row>
    <row r="2390" spans="1:7" x14ac:dyDescent="0.3">
      <c r="A2390" s="4">
        <v>2145204</v>
      </c>
      <c r="B2390" s="2" t="s">
        <v>1853</v>
      </c>
      <c r="C2390" s="3" t="s">
        <v>1010</v>
      </c>
      <c r="D2390" s="3" t="s">
        <v>209</v>
      </c>
      <c r="E2390" s="3" t="s">
        <v>225</v>
      </c>
      <c r="F2390" s="1">
        <v>46028</v>
      </c>
      <c r="G2390" t="str">
        <f t="shared" si="82"/>
        <v>Jan -2026</v>
      </c>
    </row>
    <row r="2391" spans="1:7" x14ac:dyDescent="0.3">
      <c r="A2391" s="4">
        <v>2145213</v>
      </c>
      <c r="B2391" s="2" t="s">
        <v>1853</v>
      </c>
      <c r="C2391" s="3" t="s">
        <v>1010</v>
      </c>
      <c r="D2391" s="3" t="s">
        <v>209</v>
      </c>
      <c r="E2391" s="3" t="s">
        <v>225</v>
      </c>
      <c r="F2391" s="1">
        <v>46028</v>
      </c>
      <c r="G2391" t="str">
        <f t="shared" si="82"/>
        <v>Jan -2026</v>
      </c>
    </row>
    <row r="2392" spans="1:7" x14ac:dyDescent="0.3">
      <c r="A2392" s="4">
        <v>2145229</v>
      </c>
      <c r="B2392" s="2" t="s">
        <v>1854</v>
      </c>
      <c r="C2392" s="3" t="s">
        <v>1010</v>
      </c>
      <c r="D2392" s="3" t="s">
        <v>1259</v>
      </c>
      <c r="E2392" s="3" t="s">
        <v>228</v>
      </c>
      <c r="F2392" s="1">
        <v>46028</v>
      </c>
      <c r="G2392" t="str">
        <f t="shared" si="82"/>
        <v>Jan -2026</v>
      </c>
    </row>
    <row r="2393" spans="1:7" x14ac:dyDescent="0.3">
      <c r="A2393" s="4">
        <v>2144998</v>
      </c>
      <c r="B2393" s="2" t="s">
        <v>1855</v>
      </c>
      <c r="C2393" s="3" t="s">
        <v>1010</v>
      </c>
      <c r="D2393" s="3" t="s">
        <v>364</v>
      </c>
      <c r="E2393" s="3" t="s">
        <v>15</v>
      </c>
      <c r="F2393" s="1">
        <v>46028</v>
      </c>
      <c r="G2393" t="str">
        <f t="shared" si="82"/>
        <v>Jan -2026</v>
      </c>
    </row>
    <row r="2394" spans="1:7" x14ac:dyDescent="0.3">
      <c r="A2394" s="4">
        <v>2145310</v>
      </c>
      <c r="B2394" s="2" t="s">
        <v>47</v>
      </c>
      <c r="C2394" s="3" t="s">
        <v>1010</v>
      </c>
      <c r="D2394" s="3" t="s">
        <v>1020</v>
      </c>
      <c r="E2394" s="3" t="s">
        <v>211</v>
      </c>
      <c r="F2394" s="1">
        <v>46028</v>
      </c>
      <c r="G2394" t="str">
        <f t="shared" si="82"/>
        <v>Jan -2026</v>
      </c>
    </row>
    <row r="2395" spans="1:7" x14ac:dyDescent="0.3">
      <c r="A2395" s="4">
        <v>2145431</v>
      </c>
      <c r="B2395" s="2" t="s">
        <v>47</v>
      </c>
      <c r="C2395" s="3" t="s">
        <v>1010</v>
      </c>
      <c r="D2395" s="3" t="s">
        <v>1020</v>
      </c>
      <c r="E2395" s="3" t="s">
        <v>211</v>
      </c>
      <c r="F2395" s="1">
        <v>46028</v>
      </c>
      <c r="G2395" t="str">
        <f t="shared" si="82"/>
        <v>Jan -2026</v>
      </c>
    </row>
    <row r="2396" spans="1:7" x14ac:dyDescent="0.3">
      <c r="A2396" s="4">
        <v>2145422</v>
      </c>
      <c r="B2396" s="2" t="s">
        <v>47</v>
      </c>
      <c r="C2396" s="3" t="s">
        <v>1010</v>
      </c>
      <c r="D2396" s="3" t="s">
        <v>1020</v>
      </c>
      <c r="E2396" s="3" t="s">
        <v>211</v>
      </c>
      <c r="F2396" s="1">
        <v>46028</v>
      </c>
      <c r="G2396" t="str">
        <f t="shared" si="82"/>
        <v>Jan -2026</v>
      </c>
    </row>
    <row r="2397" spans="1:7" x14ac:dyDescent="0.3">
      <c r="A2397" s="4">
        <v>100005041</v>
      </c>
      <c r="B2397" s="2" t="s">
        <v>1856</v>
      </c>
      <c r="C2397" s="3" t="s">
        <v>1011</v>
      </c>
      <c r="D2397" s="3" t="s">
        <v>972</v>
      </c>
      <c r="E2397" s="3" t="s">
        <v>1103</v>
      </c>
      <c r="F2397" s="1">
        <v>46028</v>
      </c>
      <c r="G2397" t="str">
        <f t="shared" ref="G2397:G2403" si="83">TEXT(F2397,"mmm -YYYY")</f>
        <v>Jan -2026</v>
      </c>
    </row>
    <row r="2398" spans="1:7" x14ac:dyDescent="0.3">
      <c r="A2398" s="4">
        <v>100005023</v>
      </c>
      <c r="B2398" s="2" t="s">
        <v>1857</v>
      </c>
      <c r="C2398" s="3" t="s">
        <v>1011</v>
      </c>
      <c r="D2398" s="3" t="s">
        <v>972</v>
      </c>
      <c r="E2398" s="3" t="s">
        <v>984</v>
      </c>
      <c r="F2398" s="1">
        <v>46028</v>
      </c>
      <c r="G2398" t="str">
        <f t="shared" si="83"/>
        <v>Jan -2026</v>
      </c>
    </row>
    <row r="2399" spans="1:7" x14ac:dyDescent="0.3">
      <c r="A2399" s="4">
        <v>100004855</v>
      </c>
      <c r="B2399" s="2" t="s">
        <v>1858</v>
      </c>
      <c r="C2399" s="3" t="s">
        <v>1011</v>
      </c>
      <c r="D2399" s="3" t="s">
        <v>972</v>
      </c>
      <c r="E2399" s="3" t="s">
        <v>1569</v>
      </c>
      <c r="F2399" s="1">
        <v>46028</v>
      </c>
      <c r="G2399" t="str">
        <f t="shared" si="83"/>
        <v>Jan -2026</v>
      </c>
    </row>
    <row r="2400" spans="1:7" x14ac:dyDescent="0.3">
      <c r="A2400" s="4">
        <v>100005052</v>
      </c>
      <c r="B2400" s="2" t="s">
        <v>1859</v>
      </c>
      <c r="C2400" s="3" t="s">
        <v>1011</v>
      </c>
      <c r="D2400" s="3" t="s">
        <v>972</v>
      </c>
      <c r="E2400" s="3" t="s">
        <v>970</v>
      </c>
      <c r="F2400" s="1">
        <v>46028</v>
      </c>
      <c r="G2400" t="str">
        <f t="shared" si="83"/>
        <v>Jan -2026</v>
      </c>
    </row>
    <row r="2401" spans="1:7" x14ac:dyDescent="0.3">
      <c r="A2401" s="4">
        <v>100005040</v>
      </c>
      <c r="B2401" s="2" t="s">
        <v>1860</v>
      </c>
      <c r="C2401" s="3" t="s">
        <v>1011</v>
      </c>
      <c r="D2401" s="3" t="s">
        <v>972</v>
      </c>
      <c r="E2401" s="3" t="s">
        <v>967</v>
      </c>
      <c r="F2401" s="1">
        <v>46028</v>
      </c>
      <c r="G2401" t="str">
        <f t="shared" si="83"/>
        <v>Jan -2026</v>
      </c>
    </row>
    <row r="2402" spans="1:7" x14ac:dyDescent="0.3">
      <c r="A2402" s="4">
        <v>100004304</v>
      </c>
      <c r="B2402" s="2" t="s">
        <v>1861</v>
      </c>
      <c r="C2402" s="3" t="s">
        <v>1011</v>
      </c>
      <c r="D2402" s="3" t="s">
        <v>972</v>
      </c>
      <c r="E2402" s="3" t="s">
        <v>1862</v>
      </c>
      <c r="F2402" s="1">
        <v>46028</v>
      </c>
      <c r="G2402" t="str">
        <f t="shared" si="83"/>
        <v>Jan -2026</v>
      </c>
    </row>
    <row r="2403" spans="1:7" x14ac:dyDescent="0.3">
      <c r="A2403" s="4">
        <v>100005060</v>
      </c>
      <c r="B2403" s="2" t="s">
        <v>1863</v>
      </c>
      <c r="C2403" s="3" t="s">
        <v>1011</v>
      </c>
      <c r="D2403" s="3" t="s">
        <v>972</v>
      </c>
      <c r="E2403" s="3" t="s">
        <v>1569</v>
      </c>
      <c r="F2403" s="1">
        <v>46029</v>
      </c>
      <c r="G2403" t="str">
        <f t="shared" si="83"/>
        <v>Jan -2026</v>
      </c>
    </row>
    <row r="2404" spans="1:7" x14ac:dyDescent="0.3">
      <c r="A2404" s="4">
        <v>100005056</v>
      </c>
      <c r="B2404" s="2" t="s">
        <v>1864</v>
      </c>
      <c r="C2404" s="3" t="s">
        <v>1011</v>
      </c>
      <c r="D2404" s="3" t="s">
        <v>972</v>
      </c>
      <c r="E2404" s="3" t="s">
        <v>970</v>
      </c>
      <c r="F2404" s="1">
        <v>46029</v>
      </c>
      <c r="G2404" t="str">
        <f t="shared" ref="G2404:G2423" si="84">TEXT(F2404,"mmm -YYYY")</f>
        <v>Jan -2026</v>
      </c>
    </row>
    <row r="2405" spans="1:7" x14ac:dyDescent="0.3">
      <c r="A2405" s="4">
        <v>2144998</v>
      </c>
      <c r="B2405" s="2" t="s">
        <v>1855</v>
      </c>
      <c r="C2405" s="3" t="s">
        <v>1010</v>
      </c>
      <c r="D2405" s="3" t="s">
        <v>364</v>
      </c>
      <c r="E2405" s="3" t="s">
        <v>15</v>
      </c>
      <c r="F2405" s="1">
        <v>46029</v>
      </c>
      <c r="G2405" t="str">
        <f t="shared" si="84"/>
        <v>Jan -2026</v>
      </c>
    </row>
    <row r="2406" spans="1:7" x14ac:dyDescent="0.3">
      <c r="A2406" s="4" t="s">
        <v>1865</v>
      </c>
      <c r="B2406" s="2" t="s">
        <v>1866</v>
      </c>
      <c r="C2406" s="3" t="s">
        <v>1010</v>
      </c>
      <c r="D2406" s="3" t="s">
        <v>1020</v>
      </c>
      <c r="E2406" s="3" t="s">
        <v>211</v>
      </c>
      <c r="F2406" s="1">
        <v>46029</v>
      </c>
      <c r="G2406" t="str">
        <f t="shared" si="84"/>
        <v>Jan -2026</v>
      </c>
    </row>
    <row r="2407" spans="1:7" x14ac:dyDescent="0.3">
      <c r="A2407" s="4" t="s">
        <v>1867</v>
      </c>
      <c r="B2407" s="2" t="s">
        <v>1866</v>
      </c>
      <c r="C2407" s="3" t="s">
        <v>1010</v>
      </c>
      <c r="D2407" s="3" t="s">
        <v>1020</v>
      </c>
      <c r="E2407" s="3" t="s">
        <v>211</v>
      </c>
      <c r="F2407" s="1">
        <v>46029</v>
      </c>
      <c r="G2407" t="str">
        <f t="shared" si="84"/>
        <v>Jan -2026</v>
      </c>
    </row>
    <row r="2408" spans="1:7" x14ac:dyDescent="0.3">
      <c r="A2408" s="4" t="s">
        <v>1868</v>
      </c>
      <c r="B2408" s="2" t="s">
        <v>1866</v>
      </c>
      <c r="C2408" s="3" t="s">
        <v>1010</v>
      </c>
      <c r="D2408" s="3" t="s">
        <v>1020</v>
      </c>
      <c r="E2408" s="3" t="s">
        <v>211</v>
      </c>
      <c r="F2408" s="1">
        <v>46029</v>
      </c>
      <c r="G2408" t="str">
        <f t="shared" si="84"/>
        <v>Jan -2026</v>
      </c>
    </row>
    <row r="2409" spans="1:7" x14ac:dyDescent="0.3">
      <c r="A2409" s="4" t="s">
        <v>1869</v>
      </c>
      <c r="B2409" s="2" t="s">
        <v>1866</v>
      </c>
      <c r="C2409" s="3" t="s">
        <v>1010</v>
      </c>
      <c r="D2409" s="3" t="s">
        <v>1020</v>
      </c>
      <c r="E2409" s="3" t="s">
        <v>211</v>
      </c>
      <c r="F2409" s="1">
        <v>46029</v>
      </c>
      <c r="G2409" t="str">
        <f t="shared" si="84"/>
        <v>Jan -2026</v>
      </c>
    </row>
    <row r="2410" spans="1:7" x14ac:dyDescent="0.3">
      <c r="A2410" s="4" t="s">
        <v>1870</v>
      </c>
      <c r="B2410" s="2" t="s">
        <v>1866</v>
      </c>
      <c r="C2410" s="3" t="s">
        <v>1010</v>
      </c>
      <c r="D2410" s="3" t="s">
        <v>1020</v>
      </c>
      <c r="E2410" s="3" t="s">
        <v>211</v>
      </c>
      <c r="F2410" s="1">
        <v>46029</v>
      </c>
      <c r="G2410" t="str">
        <f t="shared" si="84"/>
        <v>Jan -2026</v>
      </c>
    </row>
    <row r="2411" spans="1:7" x14ac:dyDescent="0.3">
      <c r="A2411" s="4" t="s">
        <v>1871</v>
      </c>
      <c r="B2411" s="2" t="s">
        <v>1866</v>
      </c>
      <c r="C2411" s="3" t="s">
        <v>1010</v>
      </c>
      <c r="D2411" s="3" t="s">
        <v>1020</v>
      </c>
      <c r="E2411" s="3" t="s">
        <v>211</v>
      </c>
      <c r="F2411" s="1">
        <v>46029</v>
      </c>
      <c r="G2411" t="str">
        <f t="shared" si="84"/>
        <v>Jan -2026</v>
      </c>
    </row>
    <row r="2412" spans="1:7" x14ac:dyDescent="0.3">
      <c r="A2412" s="4" t="s">
        <v>1872</v>
      </c>
      <c r="B2412" s="2" t="s">
        <v>1866</v>
      </c>
      <c r="C2412" s="3" t="s">
        <v>1010</v>
      </c>
      <c r="D2412" s="3" t="s">
        <v>1020</v>
      </c>
      <c r="E2412" s="3" t="s">
        <v>211</v>
      </c>
      <c r="F2412" s="1">
        <v>46029</v>
      </c>
      <c r="G2412" t="str">
        <f t="shared" si="84"/>
        <v>Jan -2026</v>
      </c>
    </row>
    <row r="2413" spans="1:7" x14ac:dyDescent="0.3">
      <c r="A2413" s="4" t="s">
        <v>1873</v>
      </c>
      <c r="B2413" s="2" t="s">
        <v>1866</v>
      </c>
      <c r="C2413" s="3" t="s">
        <v>1010</v>
      </c>
      <c r="D2413" s="3" t="s">
        <v>1020</v>
      </c>
      <c r="E2413" s="3" t="s">
        <v>211</v>
      </c>
      <c r="F2413" s="1">
        <v>46029</v>
      </c>
      <c r="G2413" t="str">
        <f t="shared" si="84"/>
        <v>Jan -2026</v>
      </c>
    </row>
    <row r="2414" spans="1:7" x14ac:dyDescent="0.3">
      <c r="A2414" s="4">
        <v>2147675</v>
      </c>
      <c r="B2414" s="2" t="s">
        <v>1874</v>
      </c>
      <c r="C2414" s="3" t="s">
        <v>1010</v>
      </c>
      <c r="D2414" s="3" t="s">
        <v>364</v>
      </c>
      <c r="E2414" s="3" t="s">
        <v>1875</v>
      </c>
      <c r="F2414" s="1">
        <v>46029</v>
      </c>
      <c r="G2414" t="str">
        <f t="shared" si="84"/>
        <v>Jan -2026</v>
      </c>
    </row>
    <row r="2415" spans="1:7" x14ac:dyDescent="0.3">
      <c r="A2415" s="4">
        <v>2147954</v>
      </c>
      <c r="B2415" s="2" t="s">
        <v>1866</v>
      </c>
      <c r="C2415" s="3" t="s">
        <v>1010</v>
      </c>
      <c r="D2415" s="3" t="s">
        <v>1020</v>
      </c>
      <c r="E2415" s="3" t="s">
        <v>211</v>
      </c>
      <c r="F2415" s="1">
        <v>46029</v>
      </c>
      <c r="G2415" t="str">
        <f t="shared" si="84"/>
        <v>Jan -2026</v>
      </c>
    </row>
    <row r="2416" spans="1:7" x14ac:dyDescent="0.3">
      <c r="A2416" s="4">
        <v>2147843</v>
      </c>
      <c r="B2416" s="2" t="s">
        <v>1866</v>
      </c>
      <c r="C2416" s="3" t="s">
        <v>1010</v>
      </c>
      <c r="D2416" s="3" t="s">
        <v>1020</v>
      </c>
      <c r="E2416" s="3" t="s">
        <v>211</v>
      </c>
      <c r="F2416" s="1">
        <v>46029</v>
      </c>
      <c r="G2416" t="str">
        <f t="shared" si="84"/>
        <v>Jan -2026</v>
      </c>
    </row>
    <row r="2417" spans="1:7" x14ac:dyDescent="0.3">
      <c r="A2417" s="4">
        <v>2147955</v>
      </c>
      <c r="B2417" s="2" t="s">
        <v>1866</v>
      </c>
      <c r="C2417" s="3" t="s">
        <v>1010</v>
      </c>
      <c r="D2417" s="3" t="s">
        <v>1020</v>
      </c>
      <c r="E2417" s="3" t="s">
        <v>211</v>
      </c>
      <c r="F2417" s="1">
        <v>46029</v>
      </c>
      <c r="G2417" t="str">
        <f t="shared" si="84"/>
        <v>Jan -2026</v>
      </c>
    </row>
    <row r="2418" spans="1:7" x14ac:dyDescent="0.3">
      <c r="A2418" s="4">
        <v>2147971</v>
      </c>
      <c r="B2418" s="2" t="s">
        <v>1866</v>
      </c>
      <c r="C2418" s="3" t="s">
        <v>1010</v>
      </c>
      <c r="D2418" s="3" t="s">
        <v>1020</v>
      </c>
      <c r="E2418" s="3" t="s">
        <v>211</v>
      </c>
      <c r="F2418" s="1">
        <v>46029</v>
      </c>
      <c r="G2418" t="str">
        <f t="shared" si="84"/>
        <v>Jan -2026</v>
      </c>
    </row>
    <row r="2419" spans="1:7" x14ac:dyDescent="0.3">
      <c r="A2419" s="4">
        <v>2147878</v>
      </c>
      <c r="B2419" s="2" t="s">
        <v>1866</v>
      </c>
      <c r="C2419" s="3" t="s">
        <v>1010</v>
      </c>
      <c r="D2419" s="3" t="s">
        <v>1020</v>
      </c>
      <c r="E2419" s="3" t="s">
        <v>211</v>
      </c>
      <c r="F2419" s="1">
        <v>46029</v>
      </c>
      <c r="G2419" t="str">
        <f t="shared" si="84"/>
        <v>Jan -2026</v>
      </c>
    </row>
    <row r="2420" spans="1:7" x14ac:dyDescent="0.3">
      <c r="A2420" s="4">
        <v>2147957</v>
      </c>
      <c r="B2420" s="2" t="s">
        <v>1866</v>
      </c>
      <c r="C2420" s="3" t="s">
        <v>1010</v>
      </c>
      <c r="D2420" s="3" t="s">
        <v>1020</v>
      </c>
      <c r="E2420" s="3" t="s">
        <v>211</v>
      </c>
      <c r="F2420" s="1">
        <v>46029</v>
      </c>
      <c r="G2420" t="str">
        <f t="shared" si="84"/>
        <v>Jan -2026</v>
      </c>
    </row>
    <row r="2421" spans="1:7" x14ac:dyDescent="0.3">
      <c r="A2421" s="4">
        <v>2147966</v>
      </c>
      <c r="B2421" s="2" t="s">
        <v>1866</v>
      </c>
      <c r="C2421" s="3" t="s">
        <v>1010</v>
      </c>
      <c r="D2421" s="3" t="s">
        <v>1020</v>
      </c>
      <c r="E2421" s="3" t="s">
        <v>211</v>
      </c>
      <c r="F2421" s="1">
        <v>46029</v>
      </c>
      <c r="G2421" t="str">
        <f t="shared" si="84"/>
        <v>Jan -2026</v>
      </c>
    </row>
    <row r="2422" spans="1:7" x14ac:dyDescent="0.3">
      <c r="A2422" s="4">
        <v>900005840</v>
      </c>
      <c r="B2422" s="2" t="s">
        <v>1876</v>
      </c>
      <c r="C2422" s="3" t="s">
        <v>1010</v>
      </c>
      <c r="D2422" s="3" t="s">
        <v>1551</v>
      </c>
      <c r="E2422" s="3" t="s">
        <v>1877</v>
      </c>
      <c r="F2422" s="1">
        <v>46029</v>
      </c>
      <c r="G2422" t="str">
        <f t="shared" si="84"/>
        <v>Jan -2026</v>
      </c>
    </row>
    <row r="2423" spans="1:7" x14ac:dyDescent="0.3">
      <c r="A2423" s="4">
        <v>2147964</v>
      </c>
      <c r="B2423" t="s">
        <v>47</v>
      </c>
      <c r="C2423" s="3" t="s">
        <v>1010</v>
      </c>
      <c r="D2423" s="3" t="s">
        <v>1020</v>
      </c>
      <c r="E2423" t="s">
        <v>211</v>
      </c>
      <c r="F2423" s="1">
        <v>46030</v>
      </c>
      <c r="G2423" t="str">
        <f t="shared" si="84"/>
        <v>Jan -2026</v>
      </c>
    </row>
    <row r="2424" spans="1:7" x14ac:dyDescent="0.3">
      <c r="A2424" s="4">
        <v>2147975</v>
      </c>
      <c r="B2424" t="s">
        <v>47</v>
      </c>
      <c r="C2424" s="3" t="s">
        <v>1010</v>
      </c>
      <c r="D2424" s="3" t="s">
        <v>1020</v>
      </c>
      <c r="E2424" s="3" t="s">
        <v>211</v>
      </c>
      <c r="F2424" s="1">
        <v>46030</v>
      </c>
      <c r="G2424" t="str">
        <f t="shared" ref="G2424:G2443" si="85">TEXT(F2424,"mmm -YYYY")</f>
        <v>Jan -2026</v>
      </c>
    </row>
    <row r="2425" spans="1:7" x14ac:dyDescent="0.3">
      <c r="A2425" s="4">
        <v>2147880</v>
      </c>
      <c r="B2425" t="s">
        <v>47</v>
      </c>
      <c r="C2425" s="3" t="s">
        <v>1010</v>
      </c>
      <c r="D2425" s="3" t="s">
        <v>1020</v>
      </c>
      <c r="E2425" s="3" t="s">
        <v>211</v>
      </c>
      <c r="F2425" s="1">
        <v>46030</v>
      </c>
      <c r="G2425" t="str">
        <f t="shared" si="85"/>
        <v>Jan -2026</v>
      </c>
    </row>
    <row r="2426" spans="1:7" x14ac:dyDescent="0.3">
      <c r="A2426" s="4">
        <v>2147692</v>
      </c>
      <c r="B2426" t="s">
        <v>47</v>
      </c>
      <c r="C2426" s="3" t="s">
        <v>1010</v>
      </c>
      <c r="D2426" s="3" t="s">
        <v>1020</v>
      </c>
      <c r="E2426" s="3" t="s">
        <v>211</v>
      </c>
      <c r="F2426" s="1">
        <v>46030</v>
      </c>
      <c r="G2426" t="str">
        <f t="shared" si="85"/>
        <v>Jan -2026</v>
      </c>
    </row>
    <row r="2427" spans="1:7" x14ac:dyDescent="0.3">
      <c r="A2427" s="4">
        <v>2147843</v>
      </c>
      <c r="B2427" t="s">
        <v>47</v>
      </c>
      <c r="C2427" s="3" t="s">
        <v>1010</v>
      </c>
      <c r="D2427" s="3" t="s">
        <v>1020</v>
      </c>
      <c r="E2427" s="3" t="s">
        <v>211</v>
      </c>
      <c r="F2427" s="1">
        <v>46030</v>
      </c>
      <c r="G2427" t="str">
        <f t="shared" si="85"/>
        <v>Jan -2026</v>
      </c>
    </row>
    <row r="2428" spans="1:7" x14ac:dyDescent="0.3">
      <c r="A2428" s="4">
        <v>2147878</v>
      </c>
      <c r="B2428" t="s">
        <v>47</v>
      </c>
      <c r="C2428" s="3" t="s">
        <v>1010</v>
      </c>
      <c r="D2428" s="3" t="s">
        <v>1020</v>
      </c>
      <c r="E2428" s="3" t="s">
        <v>211</v>
      </c>
      <c r="F2428" s="1">
        <v>46030</v>
      </c>
      <c r="G2428" t="str">
        <f t="shared" si="85"/>
        <v>Jan -2026</v>
      </c>
    </row>
    <row r="2429" spans="1:7" x14ac:dyDescent="0.3">
      <c r="A2429" s="4">
        <v>2147954</v>
      </c>
      <c r="B2429" t="s">
        <v>47</v>
      </c>
      <c r="C2429" s="3" t="s">
        <v>1010</v>
      </c>
      <c r="D2429" s="3" t="s">
        <v>1020</v>
      </c>
      <c r="E2429" s="3" t="s">
        <v>211</v>
      </c>
      <c r="F2429" s="1">
        <v>46030</v>
      </c>
      <c r="G2429" t="str">
        <f t="shared" si="85"/>
        <v>Jan -2026</v>
      </c>
    </row>
    <row r="2430" spans="1:7" x14ac:dyDescent="0.3">
      <c r="A2430" s="4">
        <v>2147955</v>
      </c>
      <c r="B2430" t="s">
        <v>47</v>
      </c>
      <c r="C2430" s="3" t="s">
        <v>1010</v>
      </c>
      <c r="D2430" s="3" t="s">
        <v>1020</v>
      </c>
      <c r="E2430" s="3" t="s">
        <v>211</v>
      </c>
      <c r="F2430" s="1">
        <v>46030</v>
      </c>
      <c r="G2430" t="str">
        <f t="shared" si="85"/>
        <v>Jan -2026</v>
      </c>
    </row>
    <row r="2431" spans="1:7" x14ac:dyDescent="0.3">
      <c r="A2431" s="4">
        <v>2147966</v>
      </c>
      <c r="B2431" t="s">
        <v>47</v>
      </c>
      <c r="C2431" s="3" t="s">
        <v>1010</v>
      </c>
      <c r="D2431" s="3" t="s">
        <v>1020</v>
      </c>
      <c r="E2431" s="3" t="s">
        <v>211</v>
      </c>
      <c r="F2431" s="1">
        <v>46030</v>
      </c>
      <c r="G2431" t="str">
        <f t="shared" si="85"/>
        <v>Jan -2026</v>
      </c>
    </row>
    <row r="2432" spans="1:7" x14ac:dyDescent="0.3">
      <c r="A2432" s="4">
        <v>2145397</v>
      </c>
      <c r="B2432" t="s">
        <v>47</v>
      </c>
      <c r="C2432" s="3" t="s">
        <v>1010</v>
      </c>
      <c r="D2432" s="3" t="s">
        <v>1020</v>
      </c>
      <c r="E2432" s="3" t="s">
        <v>211</v>
      </c>
      <c r="F2432" s="1">
        <v>46030</v>
      </c>
      <c r="G2432" t="str">
        <f t="shared" si="85"/>
        <v>Jan -2026</v>
      </c>
    </row>
    <row r="2433" spans="1:7" x14ac:dyDescent="0.3">
      <c r="A2433" s="4">
        <v>2147971</v>
      </c>
      <c r="B2433" t="s">
        <v>47</v>
      </c>
      <c r="C2433" s="3" t="s">
        <v>1010</v>
      </c>
      <c r="D2433" s="3" t="s">
        <v>1020</v>
      </c>
      <c r="E2433" s="3" t="s">
        <v>211</v>
      </c>
      <c r="F2433" s="1">
        <v>46030</v>
      </c>
      <c r="G2433" t="str">
        <f t="shared" si="85"/>
        <v>Jan -2026</v>
      </c>
    </row>
    <row r="2434" spans="1:7" x14ac:dyDescent="0.3">
      <c r="A2434" s="4">
        <v>2147910</v>
      </c>
      <c r="B2434" t="s">
        <v>47</v>
      </c>
      <c r="C2434" s="3" t="s">
        <v>1010</v>
      </c>
      <c r="D2434" s="3" t="s">
        <v>1020</v>
      </c>
      <c r="E2434" s="3" t="s">
        <v>211</v>
      </c>
      <c r="F2434" s="1">
        <v>46030</v>
      </c>
      <c r="G2434" t="str">
        <f t="shared" si="85"/>
        <v>Jan -2026</v>
      </c>
    </row>
    <row r="2435" spans="1:7" x14ac:dyDescent="0.3">
      <c r="A2435" s="4">
        <v>2147850</v>
      </c>
      <c r="B2435" t="s">
        <v>47</v>
      </c>
      <c r="C2435" s="3" t="s">
        <v>1010</v>
      </c>
      <c r="D2435" s="3" t="s">
        <v>1020</v>
      </c>
      <c r="E2435" s="3" t="s">
        <v>211</v>
      </c>
      <c r="F2435" s="1">
        <v>46030</v>
      </c>
      <c r="G2435" t="str">
        <f t="shared" si="85"/>
        <v>Jan -2026</v>
      </c>
    </row>
    <row r="2436" spans="1:7" x14ac:dyDescent="0.3">
      <c r="A2436" s="4">
        <v>2147337</v>
      </c>
      <c r="B2436" t="s">
        <v>1878</v>
      </c>
      <c r="C2436" s="3" t="s">
        <v>1010</v>
      </c>
      <c r="D2436" s="3" t="s">
        <v>1020</v>
      </c>
      <c r="E2436" s="3" t="s">
        <v>338</v>
      </c>
      <c r="F2436" s="1">
        <v>46030</v>
      </c>
      <c r="G2436" t="str">
        <f t="shared" si="85"/>
        <v>Jan -2026</v>
      </c>
    </row>
    <row r="2437" spans="1:7" x14ac:dyDescent="0.3">
      <c r="A2437" s="4">
        <v>2147319</v>
      </c>
      <c r="B2437" t="s">
        <v>1878</v>
      </c>
      <c r="C2437" s="3" t="s">
        <v>1010</v>
      </c>
      <c r="D2437" s="3" t="s">
        <v>1020</v>
      </c>
      <c r="E2437" s="3" t="s">
        <v>338</v>
      </c>
      <c r="F2437" s="1">
        <v>46030</v>
      </c>
      <c r="G2437" t="str">
        <f t="shared" si="85"/>
        <v>Jan -2026</v>
      </c>
    </row>
    <row r="2438" spans="1:7" x14ac:dyDescent="0.3">
      <c r="A2438" s="4">
        <v>2149655</v>
      </c>
      <c r="B2438" t="s">
        <v>1879</v>
      </c>
      <c r="C2438" s="3" t="s">
        <v>1010</v>
      </c>
      <c r="D2438" s="3" t="s">
        <v>364</v>
      </c>
      <c r="E2438" s="3" t="s">
        <v>15</v>
      </c>
      <c r="F2438" s="1">
        <v>46030</v>
      </c>
      <c r="G2438" t="str">
        <f t="shared" si="85"/>
        <v>Jan -2026</v>
      </c>
    </row>
    <row r="2439" spans="1:7" x14ac:dyDescent="0.3">
      <c r="A2439" s="4">
        <v>900005797</v>
      </c>
      <c r="B2439" t="s">
        <v>1880</v>
      </c>
      <c r="C2439" s="3" t="s">
        <v>1010</v>
      </c>
      <c r="D2439" s="3" t="s">
        <v>1551</v>
      </c>
      <c r="E2439" s="3" t="s">
        <v>1877</v>
      </c>
      <c r="F2439" s="1">
        <v>46030</v>
      </c>
      <c r="G2439" t="str">
        <f t="shared" si="85"/>
        <v>Jan -2026</v>
      </c>
    </row>
    <row r="2440" spans="1:7" x14ac:dyDescent="0.3">
      <c r="A2440" s="4">
        <v>2147957</v>
      </c>
      <c r="B2440" s="3" t="s">
        <v>47</v>
      </c>
      <c r="C2440" s="3" t="s">
        <v>1010</v>
      </c>
      <c r="D2440" s="3" t="s">
        <v>1020</v>
      </c>
      <c r="E2440" s="3" t="s">
        <v>211</v>
      </c>
      <c r="F2440" s="1">
        <v>46030</v>
      </c>
      <c r="G2440" t="str">
        <f t="shared" si="85"/>
        <v>Jan -2026</v>
      </c>
    </row>
    <row r="2441" spans="1:7" x14ac:dyDescent="0.3">
      <c r="A2441" s="4">
        <v>2145397</v>
      </c>
      <c r="B2441" s="3" t="s">
        <v>47</v>
      </c>
      <c r="C2441" s="3" t="s">
        <v>1010</v>
      </c>
      <c r="D2441" s="3" t="s">
        <v>1020</v>
      </c>
      <c r="E2441" s="3" t="s">
        <v>338</v>
      </c>
      <c r="F2441" s="1">
        <v>46030</v>
      </c>
      <c r="G2441" t="str">
        <f t="shared" si="85"/>
        <v>Jan -2026</v>
      </c>
    </row>
    <row r="2442" spans="1:7" x14ac:dyDescent="0.3">
      <c r="A2442" s="4">
        <v>2149578</v>
      </c>
      <c r="B2442" s="3" t="s">
        <v>1881</v>
      </c>
      <c r="C2442" s="3" t="s">
        <v>1010</v>
      </c>
      <c r="D2442" s="3" t="s">
        <v>364</v>
      </c>
      <c r="E2442" s="3" t="s">
        <v>15</v>
      </c>
      <c r="F2442" s="1">
        <v>46030</v>
      </c>
      <c r="G2442" t="str">
        <f t="shared" si="85"/>
        <v>Jan -2026</v>
      </c>
    </row>
    <row r="2443" spans="1:7" x14ac:dyDescent="0.3">
      <c r="A2443" s="4">
        <v>2145652</v>
      </c>
      <c r="B2443" s="3" t="s">
        <v>1489</v>
      </c>
      <c r="C2443" s="3" t="s">
        <v>1010</v>
      </c>
      <c r="D2443" s="3" t="s">
        <v>1020</v>
      </c>
      <c r="E2443" t="s">
        <v>338</v>
      </c>
      <c r="F2443" s="1">
        <v>46030</v>
      </c>
      <c r="G2443" t="str">
        <f t="shared" si="85"/>
        <v>Jan -2026</v>
      </c>
    </row>
    <row r="2444" spans="1:7" x14ac:dyDescent="0.3">
      <c r="A2444" s="4">
        <v>100005026</v>
      </c>
      <c r="B2444" t="s">
        <v>1882</v>
      </c>
      <c r="C2444" s="3" t="s">
        <v>1011</v>
      </c>
      <c r="D2444" s="3" t="s">
        <v>972</v>
      </c>
      <c r="E2444" s="3" t="s">
        <v>1569</v>
      </c>
      <c r="F2444" s="1">
        <v>46030</v>
      </c>
      <c r="G2444" t="str">
        <f t="shared" ref="G2444:G2450" si="86">TEXT(F2444,"mmm -YYYY")</f>
        <v>Jan -2026</v>
      </c>
    </row>
    <row r="2445" spans="1:7" x14ac:dyDescent="0.3">
      <c r="A2445" s="4">
        <v>100005029</v>
      </c>
      <c r="B2445" t="s">
        <v>1883</v>
      </c>
      <c r="C2445" s="3" t="s">
        <v>1011</v>
      </c>
      <c r="D2445" s="3" t="s">
        <v>972</v>
      </c>
      <c r="E2445" s="3" t="s">
        <v>971</v>
      </c>
      <c r="F2445" s="1">
        <v>46030</v>
      </c>
      <c r="G2445" t="str">
        <f t="shared" si="86"/>
        <v>Jan -2026</v>
      </c>
    </row>
    <row r="2446" spans="1:7" x14ac:dyDescent="0.3">
      <c r="A2446" s="4">
        <v>100004844</v>
      </c>
      <c r="B2446" t="s">
        <v>1884</v>
      </c>
      <c r="C2446" s="3" t="s">
        <v>1011</v>
      </c>
      <c r="D2446" s="3" t="s">
        <v>972</v>
      </c>
      <c r="E2446" s="3" t="s">
        <v>1569</v>
      </c>
      <c r="F2446" s="1">
        <v>46030</v>
      </c>
      <c r="G2446" t="str">
        <f t="shared" si="86"/>
        <v>Jan -2026</v>
      </c>
    </row>
    <row r="2447" spans="1:7" x14ac:dyDescent="0.3">
      <c r="A2447" s="4">
        <v>100005072</v>
      </c>
      <c r="B2447" t="s">
        <v>1885</v>
      </c>
      <c r="C2447" s="3" t="s">
        <v>1011</v>
      </c>
      <c r="D2447" s="3" t="s">
        <v>972</v>
      </c>
      <c r="E2447" s="3" t="s">
        <v>967</v>
      </c>
      <c r="F2447" s="1">
        <v>46030</v>
      </c>
      <c r="G2447" t="str">
        <f t="shared" si="86"/>
        <v>Jan -2026</v>
      </c>
    </row>
    <row r="2448" spans="1:7" x14ac:dyDescent="0.3">
      <c r="A2448" s="4">
        <v>100005071</v>
      </c>
      <c r="B2448" t="s">
        <v>1886</v>
      </c>
      <c r="C2448" s="3" t="s">
        <v>1011</v>
      </c>
      <c r="D2448" s="3" t="s">
        <v>972</v>
      </c>
      <c r="E2448" s="3" t="s">
        <v>982</v>
      </c>
      <c r="F2448" s="1">
        <v>46030</v>
      </c>
      <c r="G2448" t="str">
        <f t="shared" si="86"/>
        <v>Jan -2026</v>
      </c>
    </row>
    <row r="2449" spans="1:7" x14ac:dyDescent="0.3">
      <c r="A2449" s="4">
        <v>100005090</v>
      </c>
      <c r="B2449" t="s">
        <v>1887</v>
      </c>
      <c r="C2449" s="3" t="s">
        <v>1011</v>
      </c>
      <c r="D2449" s="3" t="s">
        <v>972</v>
      </c>
      <c r="E2449" s="3" t="s">
        <v>981</v>
      </c>
      <c r="F2449" s="1">
        <v>46030</v>
      </c>
      <c r="G2449" t="str">
        <f t="shared" si="86"/>
        <v>Jan -2026</v>
      </c>
    </row>
    <row r="2450" spans="1:7" x14ac:dyDescent="0.3">
      <c r="A2450" s="4">
        <v>100004937</v>
      </c>
      <c r="B2450" t="s">
        <v>1888</v>
      </c>
      <c r="C2450" s="3" t="s">
        <v>1011</v>
      </c>
      <c r="D2450" s="3" t="s">
        <v>972</v>
      </c>
      <c r="E2450" s="3" t="s">
        <v>1569</v>
      </c>
      <c r="F2450" s="1">
        <v>46031</v>
      </c>
      <c r="G2450" t="str">
        <f t="shared" si="86"/>
        <v>Jan -2026</v>
      </c>
    </row>
    <row r="2451" spans="1:7" x14ac:dyDescent="0.3">
      <c r="A2451" s="4">
        <v>100004936</v>
      </c>
      <c r="B2451" t="s">
        <v>1889</v>
      </c>
      <c r="C2451" s="3" t="s">
        <v>1011</v>
      </c>
      <c r="D2451" s="3" t="s">
        <v>972</v>
      </c>
      <c r="E2451" s="3" t="s">
        <v>1569</v>
      </c>
      <c r="F2451" s="1">
        <v>46031</v>
      </c>
      <c r="G2451" t="str">
        <f t="shared" ref="G2451:G2473" si="87">TEXT(F2451,"mmm -YYYY")</f>
        <v>Jan -2026</v>
      </c>
    </row>
    <row r="2452" spans="1:7" x14ac:dyDescent="0.3">
      <c r="A2452" s="4">
        <v>100004884</v>
      </c>
      <c r="B2452" t="s">
        <v>1755</v>
      </c>
      <c r="C2452" s="3" t="s">
        <v>1011</v>
      </c>
      <c r="D2452" s="3" t="s">
        <v>972</v>
      </c>
      <c r="E2452" s="3" t="s">
        <v>1569</v>
      </c>
      <c r="F2452" s="1">
        <v>46031</v>
      </c>
      <c r="G2452" t="str">
        <f t="shared" si="87"/>
        <v>Jan -2026</v>
      </c>
    </row>
    <row r="2453" spans="1:7" x14ac:dyDescent="0.3">
      <c r="A2453" s="4">
        <v>2150099</v>
      </c>
      <c r="B2453" t="s">
        <v>1890</v>
      </c>
      <c r="C2453" s="3" t="s">
        <v>1010</v>
      </c>
      <c r="D2453" s="3" t="s">
        <v>1259</v>
      </c>
      <c r="E2453" s="3" t="s">
        <v>228</v>
      </c>
      <c r="F2453" s="1">
        <v>46031</v>
      </c>
      <c r="G2453" t="str">
        <f t="shared" si="87"/>
        <v>Jan -2026</v>
      </c>
    </row>
    <row r="2454" spans="1:7" x14ac:dyDescent="0.3">
      <c r="A2454" s="4">
        <v>2150277</v>
      </c>
      <c r="B2454" t="s">
        <v>1891</v>
      </c>
      <c r="C2454" s="3" t="s">
        <v>1010</v>
      </c>
      <c r="D2454" s="3" t="s">
        <v>1259</v>
      </c>
      <c r="E2454" s="3" t="s">
        <v>228</v>
      </c>
      <c r="F2454" s="1">
        <v>46031</v>
      </c>
      <c r="G2454" t="str">
        <f t="shared" si="87"/>
        <v>Jan -2026</v>
      </c>
    </row>
    <row r="2455" spans="1:7" x14ac:dyDescent="0.3">
      <c r="A2455" s="4">
        <v>2152256</v>
      </c>
      <c r="B2455" t="s">
        <v>1892</v>
      </c>
      <c r="C2455" s="3" t="s">
        <v>1010</v>
      </c>
      <c r="D2455" s="3" t="s">
        <v>209</v>
      </c>
      <c r="E2455" s="3" t="s">
        <v>210</v>
      </c>
      <c r="F2455" s="1">
        <v>46031</v>
      </c>
      <c r="G2455" t="str">
        <f t="shared" si="87"/>
        <v>Jan -2026</v>
      </c>
    </row>
    <row r="2456" spans="1:7" x14ac:dyDescent="0.3">
      <c r="A2456" s="4">
        <v>2149579</v>
      </c>
      <c r="B2456" t="s">
        <v>1893</v>
      </c>
      <c r="C2456" s="3" t="s">
        <v>1010</v>
      </c>
      <c r="D2456" s="3" t="s">
        <v>364</v>
      </c>
      <c r="E2456" s="3" t="s">
        <v>15</v>
      </c>
      <c r="F2456" s="1">
        <v>46031</v>
      </c>
      <c r="G2456" t="str">
        <f t="shared" si="87"/>
        <v>Jan -2026</v>
      </c>
    </row>
    <row r="2457" spans="1:7" x14ac:dyDescent="0.3">
      <c r="A2457" s="4">
        <v>2149696</v>
      </c>
      <c r="B2457" t="s">
        <v>1894</v>
      </c>
      <c r="C2457" s="3" t="s">
        <v>1010</v>
      </c>
      <c r="D2457" s="3" t="s">
        <v>364</v>
      </c>
      <c r="E2457" s="3" t="s">
        <v>15</v>
      </c>
      <c r="F2457" s="1">
        <v>46031</v>
      </c>
      <c r="G2457" t="str">
        <f t="shared" si="87"/>
        <v>Jan -2026</v>
      </c>
    </row>
    <row r="2458" spans="1:7" x14ac:dyDescent="0.3">
      <c r="A2458" s="4">
        <v>2147880</v>
      </c>
      <c r="B2458" t="s">
        <v>47</v>
      </c>
      <c r="C2458" s="3" t="s">
        <v>1010</v>
      </c>
      <c r="D2458" s="3" t="s">
        <v>1020</v>
      </c>
      <c r="E2458" s="3" t="s">
        <v>211</v>
      </c>
      <c r="F2458" s="1">
        <v>46031</v>
      </c>
      <c r="G2458" t="str">
        <f t="shared" si="87"/>
        <v>Jan -2026</v>
      </c>
    </row>
    <row r="2459" spans="1:7" x14ac:dyDescent="0.3">
      <c r="A2459" s="4">
        <v>2147964</v>
      </c>
      <c r="B2459" t="s">
        <v>47</v>
      </c>
      <c r="C2459" s="3" t="s">
        <v>1010</v>
      </c>
      <c r="D2459" s="3" t="s">
        <v>1020</v>
      </c>
      <c r="E2459" s="3" t="s">
        <v>211</v>
      </c>
      <c r="F2459" s="1">
        <v>46031</v>
      </c>
      <c r="G2459" t="str">
        <f t="shared" si="87"/>
        <v>Jan -2026</v>
      </c>
    </row>
    <row r="2460" spans="1:7" x14ac:dyDescent="0.3">
      <c r="A2460" s="4">
        <v>2150961</v>
      </c>
      <c r="B2460" t="s">
        <v>1895</v>
      </c>
      <c r="C2460" s="3" t="s">
        <v>1010</v>
      </c>
      <c r="D2460" s="3" t="s">
        <v>1259</v>
      </c>
      <c r="E2460" s="3" t="s">
        <v>228</v>
      </c>
      <c r="F2460" s="1">
        <v>46031</v>
      </c>
      <c r="G2460" t="str">
        <f t="shared" si="87"/>
        <v>Jan -2026</v>
      </c>
    </row>
    <row r="2461" spans="1:7" x14ac:dyDescent="0.3">
      <c r="A2461" s="4">
        <v>2150828</v>
      </c>
      <c r="B2461" t="s">
        <v>1896</v>
      </c>
      <c r="C2461" s="3" t="s">
        <v>1010</v>
      </c>
      <c r="D2461" s="3" t="s">
        <v>364</v>
      </c>
      <c r="E2461" s="3" t="s">
        <v>15</v>
      </c>
      <c r="F2461" s="1">
        <v>46034</v>
      </c>
      <c r="G2461" t="str">
        <f t="shared" si="87"/>
        <v>Jan -2026</v>
      </c>
    </row>
    <row r="2462" spans="1:7" x14ac:dyDescent="0.3">
      <c r="A2462" s="4">
        <v>2153014</v>
      </c>
      <c r="B2462" t="s">
        <v>1897</v>
      </c>
      <c r="C2462" s="3" t="s">
        <v>1010</v>
      </c>
      <c r="D2462" s="3" t="s">
        <v>1259</v>
      </c>
      <c r="E2462" s="3" t="s">
        <v>228</v>
      </c>
      <c r="F2462" s="1">
        <v>46034</v>
      </c>
      <c r="G2462" t="str">
        <f t="shared" si="87"/>
        <v>Jan -2026</v>
      </c>
    </row>
    <row r="2463" spans="1:7" x14ac:dyDescent="0.3">
      <c r="A2463" s="4">
        <v>2149623</v>
      </c>
      <c r="B2463" t="s">
        <v>1898</v>
      </c>
      <c r="C2463" s="3" t="s">
        <v>1010</v>
      </c>
      <c r="D2463" s="3" t="s">
        <v>364</v>
      </c>
      <c r="E2463" s="3" t="s">
        <v>15</v>
      </c>
      <c r="F2463" s="1">
        <v>46034</v>
      </c>
      <c r="G2463" t="str">
        <f t="shared" si="87"/>
        <v>Jan -2026</v>
      </c>
    </row>
    <row r="2464" spans="1:7" x14ac:dyDescent="0.3">
      <c r="A2464" s="4">
        <v>2145424</v>
      </c>
      <c r="B2464" t="s">
        <v>47</v>
      </c>
      <c r="C2464" s="3" t="s">
        <v>1010</v>
      </c>
      <c r="D2464" s="3" t="s">
        <v>1020</v>
      </c>
      <c r="E2464" s="3" t="s">
        <v>211</v>
      </c>
      <c r="F2464" s="1">
        <v>46034</v>
      </c>
      <c r="G2464" t="str">
        <f t="shared" si="87"/>
        <v>Jan -2026</v>
      </c>
    </row>
    <row r="2465" spans="1:7" x14ac:dyDescent="0.3">
      <c r="A2465" s="4">
        <v>2145666</v>
      </c>
      <c r="B2465" t="s">
        <v>410</v>
      </c>
      <c r="C2465" s="3" t="s">
        <v>1010</v>
      </c>
      <c r="D2465" s="3" t="s">
        <v>1020</v>
      </c>
      <c r="E2465" s="3" t="s">
        <v>338</v>
      </c>
      <c r="F2465" s="1">
        <v>46034</v>
      </c>
      <c r="G2465" t="str">
        <f t="shared" si="87"/>
        <v>Jan -2026</v>
      </c>
    </row>
    <row r="2466" spans="1:7" x14ac:dyDescent="0.3">
      <c r="A2466" s="4">
        <v>2145508</v>
      </c>
      <c r="B2466" t="s">
        <v>410</v>
      </c>
      <c r="C2466" s="3" t="s">
        <v>1010</v>
      </c>
      <c r="D2466" s="3" t="s">
        <v>1020</v>
      </c>
      <c r="E2466" s="3" t="s">
        <v>338</v>
      </c>
      <c r="F2466" s="1">
        <v>46034</v>
      </c>
      <c r="G2466" t="str">
        <f t="shared" si="87"/>
        <v>Jan -2026</v>
      </c>
    </row>
    <row r="2467" spans="1:7" x14ac:dyDescent="0.3">
      <c r="A2467" s="4">
        <v>2145693</v>
      </c>
      <c r="B2467" t="s">
        <v>410</v>
      </c>
      <c r="C2467" s="3" t="s">
        <v>1010</v>
      </c>
      <c r="D2467" s="3" t="s">
        <v>1020</v>
      </c>
      <c r="E2467" s="3" t="s">
        <v>338</v>
      </c>
      <c r="F2467" s="1">
        <v>46034</v>
      </c>
      <c r="G2467" t="str">
        <f t="shared" si="87"/>
        <v>Jan -2026</v>
      </c>
    </row>
    <row r="2468" spans="1:7" x14ac:dyDescent="0.3">
      <c r="A2468" s="4">
        <v>2147880</v>
      </c>
      <c r="B2468" t="s">
        <v>47</v>
      </c>
      <c r="C2468" s="3" t="s">
        <v>1010</v>
      </c>
      <c r="D2468" s="3" t="s">
        <v>1020</v>
      </c>
      <c r="E2468" s="3" t="s">
        <v>211</v>
      </c>
      <c r="F2468" s="1">
        <v>46034</v>
      </c>
      <c r="G2468" t="str">
        <f t="shared" si="87"/>
        <v>Jan -2026</v>
      </c>
    </row>
    <row r="2469" spans="1:7" x14ac:dyDescent="0.3">
      <c r="A2469" s="4">
        <v>2150292</v>
      </c>
      <c r="B2469" t="s">
        <v>53</v>
      </c>
      <c r="C2469" s="3" t="s">
        <v>1010</v>
      </c>
      <c r="D2469" s="3" t="s">
        <v>1020</v>
      </c>
      <c r="E2469" s="3" t="s">
        <v>268</v>
      </c>
      <c r="F2469" s="1">
        <v>46034</v>
      </c>
      <c r="G2469" t="str">
        <f t="shared" si="87"/>
        <v>Jan -2026</v>
      </c>
    </row>
    <row r="2470" spans="1:7" x14ac:dyDescent="0.3">
      <c r="A2470" s="4">
        <v>2152677</v>
      </c>
      <c r="B2470" t="s">
        <v>582</v>
      </c>
      <c r="C2470" s="3" t="s">
        <v>1010</v>
      </c>
      <c r="D2470" s="3" t="s">
        <v>1020</v>
      </c>
      <c r="E2470" s="3" t="s">
        <v>338</v>
      </c>
      <c r="F2470" s="1">
        <v>46034</v>
      </c>
      <c r="G2470" t="str">
        <f t="shared" si="87"/>
        <v>Jan -2026</v>
      </c>
    </row>
    <row r="2471" spans="1:7" x14ac:dyDescent="0.3">
      <c r="A2471" s="4">
        <v>900005876</v>
      </c>
      <c r="B2471" t="s">
        <v>1899</v>
      </c>
      <c r="C2471" s="3" t="s">
        <v>1010</v>
      </c>
      <c r="D2471" s="3" t="s">
        <v>1900</v>
      </c>
      <c r="E2471" s="3" t="s">
        <v>1877</v>
      </c>
      <c r="F2471" s="1">
        <v>46034</v>
      </c>
      <c r="G2471" t="str">
        <f t="shared" si="87"/>
        <v>Jan -2026</v>
      </c>
    </row>
    <row r="2472" spans="1:7" x14ac:dyDescent="0.3">
      <c r="A2472" s="4">
        <v>900005877</v>
      </c>
      <c r="B2472" t="s">
        <v>1901</v>
      </c>
      <c r="C2472" s="3" t="s">
        <v>1010</v>
      </c>
      <c r="D2472" s="3" t="s">
        <v>1900</v>
      </c>
      <c r="E2472" s="3" t="s">
        <v>1877</v>
      </c>
      <c r="F2472" s="1">
        <v>46034</v>
      </c>
      <c r="G2472" t="str">
        <f t="shared" si="87"/>
        <v>Jan -2026</v>
      </c>
    </row>
    <row r="2473" spans="1:7" x14ac:dyDescent="0.3">
      <c r="A2473" s="4">
        <v>900005902</v>
      </c>
      <c r="B2473" t="s">
        <v>1902</v>
      </c>
      <c r="C2473" s="3" t="s">
        <v>1010</v>
      </c>
      <c r="D2473" s="3" t="s">
        <v>1900</v>
      </c>
      <c r="E2473" s="3" t="s">
        <v>1877</v>
      </c>
      <c r="F2473" s="1">
        <v>46034</v>
      </c>
      <c r="G2473" t="str">
        <f t="shared" si="87"/>
        <v>Jan -2026</v>
      </c>
    </row>
    <row r="2474" spans="1:7" x14ac:dyDescent="0.3">
      <c r="A2474" s="4">
        <v>100005079</v>
      </c>
      <c r="B2474" t="s">
        <v>1903</v>
      </c>
      <c r="C2474" s="3" t="s">
        <v>1011</v>
      </c>
      <c r="D2474" s="3" t="s">
        <v>972</v>
      </c>
      <c r="E2474" s="3" t="s">
        <v>1569</v>
      </c>
      <c r="F2474" s="1">
        <v>46034</v>
      </c>
      <c r="G2474" t="str">
        <f t="shared" ref="G2474:G2527" si="88">TEXT(F2474,"mmm -YYYY")</f>
        <v>Jan -2026</v>
      </c>
    </row>
    <row r="2475" spans="1:7" x14ac:dyDescent="0.3">
      <c r="A2475" s="4">
        <v>100005067</v>
      </c>
      <c r="B2475" t="s">
        <v>1904</v>
      </c>
      <c r="C2475" s="3" t="s">
        <v>1011</v>
      </c>
      <c r="D2475" s="3" t="s">
        <v>972</v>
      </c>
      <c r="E2475" s="3" t="s">
        <v>976</v>
      </c>
      <c r="F2475" s="1">
        <v>46034</v>
      </c>
      <c r="G2475" t="str">
        <f t="shared" si="88"/>
        <v>Jan -2026</v>
      </c>
    </row>
    <row r="2476" spans="1:7" x14ac:dyDescent="0.3">
      <c r="A2476" s="4">
        <v>100005097</v>
      </c>
      <c r="B2476" t="s">
        <v>1859</v>
      </c>
      <c r="C2476" s="3" t="s">
        <v>1011</v>
      </c>
      <c r="D2476" s="3" t="s">
        <v>972</v>
      </c>
      <c r="E2476" s="3" t="s">
        <v>970</v>
      </c>
      <c r="F2476" s="1">
        <v>46034</v>
      </c>
      <c r="G2476" t="str">
        <f t="shared" si="88"/>
        <v>Jan -2026</v>
      </c>
    </row>
    <row r="2477" spans="1:7" x14ac:dyDescent="0.3">
      <c r="A2477" s="4">
        <v>100004936</v>
      </c>
      <c r="B2477" t="s">
        <v>1889</v>
      </c>
      <c r="C2477" s="3" t="s">
        <v>1011</v>
      </c>
      <c r="D2477" s="3" t="s">
        <v>972</v>
      </c>
      <c r="E2477" s="3" t="s">
        <v>1569</v>
      </c>
      <c r="F2477" s="1">
        <v>46034</v>
      </c>
      <c r="G2477" t="str">
        <f t="shared" si="88"/>
        <v>Jan -2026</v>
      </c>
    </row>
    <row r="2478" spans="1:7" x14ac:dyDescent="0.3">
      <c r="A2478" s="4">
        <v>100005096</v>
      </c>
      <c r="B2478" t="s">
        <v>1905</v>
      </c>
      <c r="C2478" s="3" t="s">
        <v>1011</v>
      </c>
      <c r="D2478" s="3" t="s">
        <v>972</v>
      </c>
      <c r="E2478" s="3" t="s">
        <v>1526</v>
      </c>
      <c r="F2478" s="1">
        <v>46034</v>
      </c>
      <c r="G2478" t="str">
        <f t="shared" si="88"/>
        <v>Jan -2026</v>
      </c>
    </row>
    <row r="2479" spans="1:7" x14ac:dyDescent="0.3">
      <c r="A2479" s="4">
        <v>100004936</v>
      </c>
      <c r="B2479" t="s">
        <v>1889</v>
      </c>
      <c r="C2479" s="3" t="s">
        <v>1011</v>
      </c>
      <c r="D2479" s="3" t="s">
        <v>972</v>
      </c>
      <c r="E2479" s="3" t="s">
        <v>1569</v>
      </c>
      <c r="F2479" s="1">
        <v>46035</v>
      </c>
      <c r="G2479" t="str">
        <f t="shared" si="88"/>
        <v>Jan -2026</v>
      </c>
    </row>
    <row r="2480" spans="1:7" x14ac:dyDescent="0.3">
      <c r="A2480" s="4">
        <v>2157910</v>
      </c>
      <c r="B2480" t="s">
        <v>1906</v>
      </c>
      <c r="C2480" s="3" t="s">
        <v>1010</v>
      </c>
      <c r="D2480" s="3" t="s">
        <v>1259</v>
      </c>
      <c r="E2480" s="3" t="s">
        <v>228</v>
      </c>
      <c r="F2480" s="1">
        <v>46035</v>
      </c>
      <c r="G2480" t="str">
        <f t="shared" si="88"/>
        <v>Jan -2026</v>
      </c>
    </row>
    <row r="2481" spans="1:7" x14ac:dyDescent="0.3">
      <c r="A2481" s="4">
        <v>2152527</v>
      </c>
      <c r="B2481" t="s">
        <v>1907</v>
      </c>
      <c r="C2481" s="3" t="s">
        <v>1010</v>
      </c>
      <c r="D2481" s="3" t="s">
        <v>364</v>
      </c>
      <c r="E2481" s="3" t="s">
        <v>15</v>
      </c>
      <c r="F2481" s="1">
        <v>46035</v>
      </c>
      <c r="G2481" t="str">
        <f t="shared" si="88"/>
        <v>Jan -2026</v>
      </c>
    </row>
    <row r="2482" spans="1:7" x14ac:dyDescent="0.3">
      <c r="A2482" s="4">
        <v>2157550</v>
      </c>
      <c r="B2482" t="s">
        <v>1908</v>
      </c>
      <c r="C2482" s="3" t="s">
        <v>1010</v>
      </c>
      <c r="D2482" s="3" t="s">
        <v>364</v>
      </c>
      <c r="E2482" s="3" t="s">
        <v>15</v>
      </c>
      <c r="F2482" s="1">
        <v>46035</v>
      </c>
      <c r="G2482" t="str">
        <f t="shared" si="88"/>
        <v>Jan -2026</v>
      </c>
    </row>
    <row r="2483" spans="1:7" x14ac:dyDescent="0.3">
      <c r="A2483" s="4">
        <v>2152736</v>
      </c>
      <c r="B2483" t="s">
        <v>1909</v>
      </c>
      <c r="C2483" s="3" t="s">
        <v>1010</v>
      </c>
      <c r="D2483" s="3" t="s">
        <v>364</v>
      </c>
      <c r="E2483" s="3" t="s">
        <v>15</v>
      </c>
      <c r="F2483" s="1">
        <v>46035</v>
      </c>
      <c r="G2483" t="str">
        <f t="shared" si="88"/>
        <v>Jan -2026</v>
      </c>
    </row>
    <row r="2484" spans="1:7" x14ac:dyDescent="0.3">
      <c r="A2484" s="4">
        <v>2152630</v>
      </c>
      <c r="B2484" t="s">
        <v>1910</v>
      </c>
      <c r="C2484" s="3" t="s">
        <v>1010</v>
      </c>
      <c r="D2484" s="3" t="s">
        <v>1259</v>
      </c>
      <c r="E2484" s="3" t="s">
        <v>228</v>
      </c>
      <c r="F2484" s="1">
        <v>46035</v>
      </c>
      <c r="G2484" t="str">
        <f t="shared" si="88"/>
        <v>Jan -2026</v>
      </c>
    </row>
    <row r="2485" spans="1:7" x14ac:dyDescent="0.3">
      <c r="A2485" s="4">
        <v>2147676</v>
      </c>
      <c r="B2485" t="s">
        <v>1874</v>
      </c>
      <c r="C2485" s="3" t="s">
        <v>1010</v>
      </c>
      <c r="D2485" s="3" t="s">
        <v>1875</v>
      </c>
      <c r="E2485" s="3" t="s">
        <v>15</v>
      </c>
      <c r="F2485" s="1">
        <v>46035</v>
      </c>
      <c r="G2485" t="str">
        <f t="shared" si="88"/>
        <v>Jan -2026</v>
      </c>
    </row>
    <row r="2486" spans="1:7" x14ac:dyDescent="0.3">
      <c r="A2486" s="4">
        <v>2160409</v>
      </c>
      <c r="B2486" t="s">
        <v>1673</v>
      </c>
      <c r="C2486" s="3" t="s">
        <v>1010</v>
      </c>
      <c r="D2486" s="3" t="s">
        <v>1020</v>
      </c>
      <c r="E2486" s="3" t="s">
        <v>338</v>
      </c>
      <c r="F2486" s="1">
        <v>46035</v>
      </c>
      <c r="G2486" t="str">
        <f t="shared" si="88"/>
        <v>Jan -2026</v>
      </c>
    </row>
    <row r="2487" spans="1:7" x14ac:dyDescent="0.3">
      <c r="A2487" s="4">
        <v>2160367</v>
      </c>
      <c r="B2487" t="s">
        <v>1673</v>
      </c>
      <c r="C2487" s="3" t="s">
        <v>1010</v>
      </c>
      <c r="D2487" s="3" t="s">
        <v>1020</v>
      </c>
      <c r="E2487" s="3" t="s">
        <v>338</v>
      </c>
      <c r="F2487" s="1">
        <v>46035</v>
      </c>
      <c r="G2487" t="str">
        <f t="shared" si="88"/>
        <v>Jan -2026</v>
      </c>
    </row>
    <row r="2488" spans="1:7" x14ac:dyDescent="0.3">
      <c r="A2488" s="4">
        <v>2152232</v>
      </c>
      <c r="B2488" t="s">
        <v>1911</v>
      </c>
      <c r="C2488" s="3" t="s">
        <v>1010</v>
      </c>
      <c r="D2488" s="3" t="s">
        <v>1020</v>
      </c>
      <c r="E2488" s="3" t="s">
        <v>338</v>
      </c>
      <c r="F2488" s="1">
        <v>46035</v>
      </c>
      <c r="G2488" t="str">
        <f t="shared" si="88"/>
        <v>Jan -2026</v>
      </c>
    </row>
    <row r="2489" spans="1:7" x14ac:dyDescent="0.3">
      <c r="A2489" s="4">
        <v>900005921</v>
      </c>
      <c r="B2489" t="s">
        <v>1912</v>
      </c>
      <c r="C2489" s="3" t="s">
        <v>1010</v>
      </c>
      <c r="D2489" s="3" t="s">
        <v>1900</v>
      </c>
      <c r="E2489" s="3" t="s">
        <v>1877</v>
      </c>
      <c r="F2489" s="1">
        <v>46035</v>
      </c>
      <c r="G2489" t="str">
        <f t="shared" si="88"/>
        <v>Jan -2026</v>
      </c>
    </row>
    <row r="2490" spans="1:7" x14ac:dyDescent="0.3">
      <c r="A2490" s="4">
        <v>900005908</v>
      </c>
      <c r="B2490" t="s">
        <v>1913</v>
      </c>
      <c r="C2490" s="3" t="s">
        <v>1010</v>
      </c>
      <c r="D2490" s="3" t="s">
        <v>1900</v>
      </c>
      <c r="E2490" s="3" t="s">
        <v>1877</v>
      </c>
      <c r="F2490" s="1">
        <v>46035</v>
      </c>
      <c r="G2490" t="str">
        <f t="shared" si="88"/>
        <v>Jan -2026</v>
      </c>
    </row>
    <row r="2491" spans="1:7" x14ac:dyDescent="0.3">
      <c r="A2491" s="4">
        <v>900005910</v>
      </c>
      <c r="B2491" t="s">
        <v>1914</v>
      </c>
      <c r="C2491" s="3" t="s">
        <v>1010</v>
      </c>
      <c r="D2491" s="3" t="s">
        <v>1900</v>
      </c>
      <c r="E2491" s="3" t="s">
        <v>1877</v>
      </c>
      <c r="F2491" s="1">
        <v>46035</v>
      </c>
      <c r="G2491" t="str">
        <f t="shared" si="88"/>
        <v>Jan -2026</v>
      </c>
    </row>
    <row r="2492" spans="1:7" x14ac:dyDescent="0.3">
      <c r="A2492" s="4">
        <v>2157592</v>
      </c>
      <c r="B2492" t="s">
        <v>1915</v>
      </c>
      <c r="C2492" s="3" t="s">
        <v>1010</v>
      </c>
      <c r="D2492" s="3" t="s">
        <v>364</v>
      </c>
      <c r="E2492" s="3" t="s">
        <v>15</v>
      </c>
      <c r="F2492" s="1">
        <v>46035</v>
      </c>
      <c r="G2492" t="str">
        <f t="shared" si="88"/>
        <v>Jan -2026</v>
      </c>
    </row>
    <row r="2493" spans="1:7" x14ac:dyDescent="0.3">
      <c r="A2493" s="4">
        <v>2150962</v>
      </c>
      <c r="B2493" t="s">
        <v>1849</v>
      </c>
      <c r="C2493" s="3" t="s">
        <v>1010</v>
      </c>
      <c r="D2493" s="3" t="s">
        <v>1020</v>
      </c>
      <c r="E2493" s="3" t="s">
        <v>338</v>
      </c>
      <c r="F2493" s="1">
        <v>46035</v>
      </c>
      <c r="G2493" t="str">
        <f t="shared" si="88"/>
        <v>Jan -2026</v>
      </c>
    </row>
    <row r="2494" spans="1:7" x14ac:dyDescent="0.3">
      <c r="A2494" s="4">
        <v>2152610</v>
      </c>
      <c r="B2494" t="s">
        <v>1496</v>
      </c>
      <c r="C2494" s="3" t="s">
        <v>1010</v>
      </c>
      <c r="D2494" s="3" t="s">
        <v>1020</v>
      </c>
      <c r="E2494" s="3" t="s">
        <v>338</v>
      </c>
      <c r="F2494" s="1">
        <v>46035</v>
      </c>
      <c r="G2494" t="str">
        <f t="shared" si="88"/>
        <v>Jan -2026</v>
      </c>
    </row>
    <row r="2495" spans="1:7" x14ac:dyDescent="0.3">
      <c r="A2495" s="4">
        <v>2152761</v>
      </c>
      <c r="B2495" t="s">
        <v>264</v>
      </c>
      <c r="C2495" s="3" t="s">
        <v>1010</v>
      </c>
      <c r="D2495" s="3" t="s">
        <v>1020</v>
      </c>
      <c r="E2495" s="3" t="s">
        <v>338</v>
      </c>
      <c r="F2495" s="1">
        <v>46035</v>
      </c>
      <c r="G2495" t="str">
        <f t="shared" si="88"/>
        <v>Jan -2026</v>
      </c>
    </row>
    <row r="2496" spans="1:7" x14ac:dyDescent="0.3">
      <c r="A2496" s="4">
        <v>2152786</v>
      </c>
      <c r="B2496" t="s">
        <v>1916</v>
      </c>
      <c r="C2496" s="3" t="s">
        <v>1010</v>
      </c>
      <c r="D2496" s="3" t="s">
        <v>1020</v>
      </c>
      <c r="E2496" s="3" t="s">
        <v>338</v>
      </c>
      <c r="F2496" s="1">
        <v>46035</v>
      </c>
      <c r="G2496" t="str">
        <f t="shared" si="88"/>
        <v>Jan -2026</v>
      </c>
    </row>
    <row r="2497" spans="1:7" x14ac:dyDescent="0.3">
      <c r="A2497" s="4">
        <v>2160363</v>
      </c>
      <c r="B2497" t="s">
        <v>1917</v>
      </c>
      <c r="C2497" s="3" t="s">
        <v>1010</v>
      </c>
      <c r="D2497" s="3" t="s">
        <v>1020</v>
      </c>
      <c r="E2497" s="3" t="s">
        <v>338</v>
      </c>
      <c r="F2497" s="1">
        <v>46035</v>
      </c>
      <c r="G2497" t="str">
        <f t="shared" si="88"/>
        <v>Jan -2026</v>
      </c>
    </row>
    <row r="2498" spans="1:7" x14ac:dyDescent="0.3">
      <c r="A2498" s="4">
        <v>2157580</v>
      </c>
      <c r="B2498" t="s">
        <v>1918</v>
      </c>
      <c r="C2498" s="3" t="s">
        <v>1010</v>
      </c>
      <c r="D2498" s="3" t="s">
        <v>364</v>
      </c>
      <c r="E2498" s="3" t="s">
        <v>15</v>
      </c>
      <c r="F2498" s="1">
        <v>46035</v>
      </c>
      <c r="G2498" t="str">
        <f t="shared" si="88"/>
        <v>Jan -2026</v>
      </c>
    </row>
    <row r="2499" spans="1:7" x14ac:dyDescent="0.3">
      <c r="A2499" s="4">
        <v>2147931</v>
      </c>
      <c r="B2499" t="s">
        <v>53</v>
      </c>
      <c r="C2499" s="3" t="s">
        <v>1010</v>
      </c>
      <c r="D2499" s="3" t="s">
        <v>1020</v>
      </c>
      <c r="E2499" s="3" t="s">
        <v>268</v>
      </c>
      <c r="F2499" s="1">
        <v>46036</v>
      </c>
      <c r="G2499" t="str">
        <f t="shared" si="88"/>
        <v>Jan -2026</v>
      </c>
    </row>
    <row r="2500" spans="1:7" x14ac:dyDescent="0.3">
      <c r="A2500" s="4">
        <v>2145424</v>
      </c>
      <c r="B2500" t="s">
        <v>47</v>
      </c>
      <c r="C2500" s="3" t="s">
        <v>1010</v>
      </c>
      <c r="D2500" s="3" t="s">
        <v>1020</v>
      </c>
      <c r="E2500" s="3" t="s">
        <v>211</v>
      </c>
      <c r="F2500" s="1">
        <v>46036</v>
      </c>
      <c r="G2500" t="str">
        <f t="shared" si="88"/>
        <v>Jan -2026</v>
      </c>
    </row>
    <row r="2501" spans="1:7" x14ac:dyDescent="0.3">
      <c r="A2501" s="4">
        <v>2150292</v>
      </c>
      <c r="B2501" t="s">
        <v>53</v>
      </c>
      <c r="C2501" s="3" t="s">
        <v>1010</v>
      </c>
      <c r="D2501" s="3" t="s">
        <v>1020</v>
      </c>
      <c r="E2501" s="3" t="s">
        <v>268</v>
      </c>
      <c r="F2501" s="1">
        <v>46036</v>
      </c>
      <c r="G2501" t="str">
        <f t="shared" si="88"/>
        <v>Jan -2026</v>
      </c>
    </row>
    <row r="2502" spans="1:7" x14ac:dyDescent="0.3">
      <c r="A2502" s="4">
        <v>2160367</v>
      </c>
      <c r="B2502" t="s">
        <v>1673</v>
      </c>
      <c r="C2502" s="3" t="s">
        <v>1010</v>
      </c>
      <c r="D2502" s="3" t="s">
        <v>1020</v>
      </c>
      <c r="E2502" s="3" t="s">
        <v>338</v>
      </c>
      <c r="F2502" s="1">
        <v>46036</v>
      </c>
      <c r="G2502" t="str">
        <f t="shared" si="88"/>
        <v>Jan -2026</v>
      </c>
    </row>
    <row r="2503" spans="1:7" x14ac:dyDescent="0.3">
      <c r="A2503" s="4">
        <v>2160409</v>
      </c>
      <c r="B2503" t="s">
        <v>1673</v>
      </c>
      <c r="C2503" s="3" t="s">
        <v>1010</v>
      </c>
      <c r="D2503" s="3" t="s">
        <v>1020</v>
      </c>
      <c r="E2503" s="3" t="s">
        <v>338</v>
      </c>
      <c r="F2503" s="1">
        <v>46036</v>
      </c>
      <c r="G2503" t="str">
        <f t="shared" si="88"/>
        <v>Jan -2026</v>
      </c>
    </row>
    <row r="2504" spans="1:7" x14ac:dyDescent="0.3">
      <c r="A2504" s="4">
        <v>2161177</v>
      </c>
      <c r="B2504" t="s">
        <v>1919</v>
      </c>
      <c r="C2504" s="3" t="s">
        <v>1010</v>
      </c>
      <c r="D2504" s="3" t="s">
        <v>1020</v>
      </c>
      <c r="E2504" s="3" t="s">
        <v>435</v>
      </c>
      <c r="F2504" s="1">
        <v>46036</v>
      </c>
      <c r="G2504" t="str">
        <f t="shared" si="88"/>
        <v>Jan -2026</v>
      </c>
    </row>
    <row r="2505" spans="1:7" x14ac:dyDescent="0.3">
      <c r="A2505" s="4">
        <v>2161254</v>
      </c>
      <c r="B2505" t="s">
        <v>1920</v>
      </c>
      <c r="C2505" s="3" t="s">
        <v>1010</v>
      </c>
      <c r="D2505" s="3" t="s">
        <v>1020</v>
      </c>
      <c r="E2505" s="3" t="s">
        <v>435</v>
      </c>
      <c r="F2505" s="1">
        <v>46036</v>
      </c>
      <c r="G2505" t="str">
        <f t="shared" si="88"/>
        <v>Jan -2026</v>
      </c>
    </row>
    <row r="2506" spans="1:7" x14ac:dyDescent="0.3">
      <c r="A2506" s="4">
        <v>2161352</v>
      </c>
      <c r="B2506" t="s">
        <v>1921</v>
      </c>
      <c r="C2506" s="3" t="s">
        <v>1010</v>
      </c>
      <c r="D2506" s="3" t="s">
        <v>1020</v>
      </c>
      <c r="E2506" s="3" t="s">
        <v>435</v>
      </c>
      <c r="F2506" s="1">
        <v>46036</v>
      </c>
      <c r="G2506" t="str">
        <f t="shared" si="88"/>
        <v>Jan -2026</v>
      </c>
    </row>
    <row r="2507" spans="1:7" x14ac:dyDescent="0.3">
      <c r="A2507" s="4">
        <v>2161440</v>
      </c>
      <c r="B2507" t="s">
        <v>1922</v>
      </c>
      <c r="C2507" s="3" t="s">
        <v>1010</v>
      </c>
      <c r="D2507" s="3" t="s">
        <v>1020</v>
      </c>
      <c r="E2507" s="3" t="s">
        <v>435</v>
      </c>
      <c r="F2507" s="1">
        <v>46036</v>
      </c>
      <c r="G2507" t="str">
        <f t="shared" si="88"/>
        <v>Jan -2026</v>
      </c>
    </row>
    <row r="2508" spans="1:7" x14ac:dyDescent="0.3">
      <c r="A2508" s="4">
        <v>200001526</v>
      </c>
      <c r="B2508" t="s">
        <v>1250</v>
      </c>
      <c r="C2508" s="3" t="s">
        <v>1010</v>
      </c>
      <c r="D2508" s="3" t="s">
        <v>1229</v>
      </c>
      <c r="E2508" s="3" t="s">
        <v>7</v>
      </c>
      <c r="F2508" s="1">
        <v>46036</v>
      </c>
      <c r="G2508" t="str">
        <f t="shared" si="88"/>
        <v>Jan -2026</v>
      </c>
    </row>
    <row r="2509" spans="1:7" x14ac:dyDescent="0.3">
      <c r="A2509" s="4">
        <v>200001527</v>
      </c>
      <c r="B2509" t="s">
        <v>1250</v>
      </c>
      <c r="C2509" s="3" t="s">
        <v>1010</v>
      </c>
      <c r="D2509" s="3" t="s">
        <v>1229</v>
      </c>
      <c r="E2509" s="3" t="s">
        <v>7</v>
      </c>
      <c r="F2509" s="1">
        <v>46036</v>
      </c>
      <c r="G2509" t="str">
        <f t="shared" si="88"/>
        <v>Jan -2026</v>
      </c>
    </row>
    <row r="2510" spans="1:7" x14ac:dyDescent="0.3">
      <c r="A2510" s="4">
        <v>200001528</v>
      </c>
      <c r="B2510" t="s">
        <v>1250</v>
      </c>
      <c r="C2510" s="3" t="s">
        <v>1010</v>
      </c>
      <c r="D2510" s="3" t="s">
        <v>1229</v>
      </c>
      <c r="E2510" s="3" t="s">
        <v>7</v>
      </c>
      <c r="F2510" s="1">
        <v>46036</v>
      </c>
      <c r="G2510" t="str">
        <f t="shared" si="88"/>
        <v>Jan -2026</v>
      </c>
    </row>
    <row r="2511" spans="1:7" x14ac:dyDescent="0.3">
      <c r="A2511" s="4">
        <v>200001529</v>
      </c>
      <c r="B2511" t="s">
        <v>1250</v>
      </c>
      <c r="C2511" s="3" t="s">
        <v>1010</v>
      </c>
      <c r="D2511" s="3" t="s">
        <v>1229</v>
      </c>
      <c r="E2511" s="3" t="s">
        <v>7</v>
      </c>
      <c r="F2511" s="1">
        <v>46036</v>
      </c>
      <c r="G2511" t="str">
        <f t="shared" si="88"/>
        <v>Jan -2026</v>
      </c>
    </row>
    <row r="2512" spans="1:7" x14ac:dyDescent="0.3">
      <c r="A2512" s="4">
        <v>2160787</v>
      </c>
      <c r="B2512" t="s">
        <v>1923</v>
      </c>
      <c r="C2512" s="3" t="s">
        <v>1010</v>
      </c>
      <c r="D2512" s="3" t="s">
        <v>1259</v>
      </c>
      <c r="E2512" s="3" t="s">
        <v>228</v>
      </c>
      <c r="F2512" s="1">
        <v>46036</v>
      </c>
      <c r="G2512" t="str">
        <f t="shared" si="88"/>
        <v>Jan -2026</v>
      </c>
    </row>
    <row r="2513" spans="1:7" x14ac:dyDescent="0.3">
      <c r="A2513" s="4">
        <v>2157596</v>
      </c>
      <c r="B2513" t="s">
        <v>1924</v>
      </c>
      <c r="C2513" s="3" t="s">
        <v>1010</v>
      </c>
      <c r="D2513" s="3" t="s">
        <v>364</v>
      </c>
      <c r="E2513" s="3" t="s">
        <v>15</v>
      </c>
      <c r="F2513" s="1">
        <v>46036</v>
      </c>
      <c r="G2513" t="str">
        <f t="shared" si="88"/>
        <v>Jan -2026</v>
      </c>
    </row>
    <row r="2514" spans="1:7" x14ac:dyDescent="0.3">
      <c r="A2514" s="4">
        <v>2161498</v>
      </c>
      <c r="B2514" t="s">
        <v>1925</v>
      </c>
      <c r="C2514" s="3" t="s">
        <v>1010</v>
      </c>
      <c r="D2514" s="3" t="s">
        <v>1020</v>
      </c>
      <c r="E2514" s="3" t="s">
        <v>435</v>
      </c>
      <c r="F2514" s="1">
        <v>46036</v>
      </c>
      <c r="G2514" t="str">
        <f t="shared" si="88"/>
        <v>Jan -2026</v>
      </c>
    </row>
    <row r="2515" spans="1:7" x14ac:dyDescent="0.3">
      <c r="A2515" s="4">
        <v>2163321</v>
      </c>
      <c r="B2515" t="s">
        <v>1926</v>
      </c>
      <c r="C2515" s="3" t="s">
        <v>1010</v>
      </c>
      <c r="D2515" s="3" t="s">
        <v>209</v>
      </c>
      <c r="E2515" s="3" t="s">
        <v>228</v>
      </c>
      <c r="F2515" s="1">
        <v>46036</v>
      </c>
      <c r="G2515" t="str">
        <f t="shared" si="88"/>
        <v>Jan -2026</v>
      </c>
    </row>
    <row r="2516" spans="1:7" x14ac:dyDescent="0.3">
      <c r="A2516" s="4">
        <v>2163312</v>
      </c>
      <c r="B2516" t="s">
        <v>1927</v>
      </c>
      <c r="C2516" s="3" t="s">
        <v>1010</v>
      </c>
      <c r="D2516" s="3" t="s">
        <v>209</v>
      </c>
      <c r="E2516" s="3" t="s">
        <v>228</v>
      </c>
      <c r="F2516" s="1">
        <v>46036</v>
      </c>
      <c r="G2516" t="str">
        <f t="shared" si="88"/>
        <v>Jan -2026</v>
      </c>
    </row>
    <row r="2517" spans="1:7" x14ac:dyDescent="0.3">
      <c r="A2517" s="4">
        <v>2163284</v>
      </c>
      <c r="B2517" t="s">
        <v>1928</v>
      </c>
      <c r="C2517" s="3" t="s">
        <v>1010</v>
      </c>
      <c r="D2517" s="3" t="s">
        <v>209</v>
      </c>
      <c r="E2517" s="3" t="s">
        <v>228</v>
      </c>
      <c r="F2517" s="1">
        <v>46036</v>
      </c>
      <c r="G2517" t="str">
        <f t="shared" si="88"/>
        <v>Jan -2026</v>
      </c>
    </row>
    <row r="2518" spans="1:7" x14ac:dyDescent="0.3">
      <c r="A2518" s="4">
        <v>2163322</v>
      </c>
      <c r="B2518" t="s">
        <v>1926</v>
      </c>
      <c r="C2518" s="3" t="s">
        <v>1010</v>
      </c>
      <c r="D2518" s="3" t="s">
        <v>209</v>
      </c>
      <c r="E2518" s="3" t="s">
        <v>228</v>
      </c>
      <c r="F2518" s="1">
        <v>46036</v>
      </c>
      <c r="G2518" t="str">
        <f t="shared" si="88"/>
        <v>Jan -2026</v>
      </c>
    </row>
    <row r="2519" spans="1:7" x14ac:dyDescent="0.3">
      <c r="A2519" s="4">
        <v>2163351</v>
      </c>
      <c r="B2519" t="s">
        <v>1929</v>
      </c>
      <c r="C2519" s="3" t="s">
        <v>1010</v>
      </c>
      <c r="D2519" s="3" t="s">
        <v>209</v>
      </c>
      <c r="E2519" s="3" t="s">
        <v>228</v>
      </c>
      <c r="F2519" s="1">
        <v>46036</v>
      </c>
      <c r="G2519" t="str">
        <f t="shared" si="88"/>
        <v>Jan -2026</v>
      </c>
    </row>
    <row r="2520" spans="1:7" x14ac:dyDescent="0.3">
      <c r="A2520" s="4">
        <v>2163562</v>
      </c>
      <c r="B2520" t="s">
        <v>1930</v>
      </c>
      <c r="C2520" s="3" t="s">
        <v>1010</v>
      </c>
      <c r="D2520" s="3" t="s">
        <v>209</v>
      </c>
      <c r="E2520" s="3" t="s">
        <v>210</v>
      </c>
      <c r="F2520" s="1">
        <v>46036</v>
      </c>
      <c r="G2520" t="str">
        <f t="shared" si="88"/>
        <v>Jan -2026</v>
      </c>
    </row>
    <row r="2521" spans="1:7" x14ac:dyDescent="0.3">
      <c r="A2521" s="4">
        <v>2138648</v>
      </c>
      <c r="B2521" t="s">
        <v>403</v>
      </c>
      <c r="C2521" s="3" t="s">
        <v>1010</v>
      </c>
      <c r="D2521" s="3" t="s">
        <v>1020</v>
      </c>
      <c r="E2521" s="3" t="s">
        <v>338</v>
      </c>
      <c r="F2521" s="1">
        <v>46036</v>
      </c>
      <c r="G2521" t="str">
        <f t="shared" si="88"/>
        <v>Jan -2026</v>
      </c>
    </row>
    <row r="2522" spans="1:7" x14ac:dyDescent="0.3">
      <c r="A2522" s="4">
        <v>2150895</v>
      </c>
      <c r="B2522" t="s">
        <v>479</v>
      </c>
      <c r="C2522" s="3" t="s">
        <v>1010</v>
      </c>
      <c r="D2522" s="3" t="s">
        <v>1020</v>
      </c>
      <c r="E2522" s="3" t="s">
        <v>338</v>
      </c>
      <c r="F2522" s="1">
        <v>46036</v>
      </c>
      <c r="G2522" t="str">
        <f t="shared" si="88"/>
        <v>Jan -2026</v>
      </c>
    </row>
    <row r="2523" spans="1:7" x14ac:dyDescent="0.3">
      <c r="A2523" s="4">
        <v>2161560</v>
      </c>
      <c r="B2523" t="s">
        <v>1931</v>
      </c>
      <c r="C2523" s="3" t="s">
        <v>1010</v>
      </c>
      <c r="D2523" s="3" t="s">
        <v>1020</v>
      </c>
      <c r="E2523" s="3" t="s">
        <v>435</v>
      </c>
      <c r="F2523" s="1">
        <v>46036</v>
      </c>
      <c r="G2523" t="str">
        <f t="shared" si="88"/>
        <v>Jan -2026</v>
      </c>
    </row>
    <row r="2524" spans="1:7" x14ac:dyDescent="0.3">
      <c r="A2524" s="4">
        <v>2157467</v>
      </c>
      <c r="B2524" t="s">
        <v>1932</v>
      </c>
      <c r="C2524" s="3" t="s">
        <v>1010</v>
      </c>
      <c r="D2524" s="3" t="s">
        <v>364</v>
      </c>
      <c r="E2524" s="3" t="s">
        <v>15</v>
      </c>
      <c r="F2524" s="1">
        <v>46036</v>
      </c>
      <c r="G2524" t="str">
        <f t="shared" si="88"/>
        <v>Jan -2026</v>
      </c>
    </row>
    <row r="2525" spans="1:7" x14ac:dyDescent="0.3">
      <c r="A2525" s="4">
        <v>2163285</v>
      </c>
      <c r="B2525" t="s">
        <v>1933</v>
      </c>
      <c r="C2525" s="3" t="s">
        <v>1010</v>
      </c>
      <c r="D2525" s="3" t="s">
        <v>209</v>
      </c>
      <c r="E2525" s="3" t="s">
        <v>228</v>
      </c>
      <c r="F2525" s="1">
        <v>46036</v>
      </c>
      <c r="G2525" t="str">
        <f t="shared" si="88"/>
        <v>Jan -2026</v>
      </c>
    </row>
    <row r="2526" spans="1:7" x14ac:dyDescent="0.3">
      <c r="A2526" s="4">
        <v>2163324</v>
      </c>
      <c r="B2526" t="s">
        <v>1934</v>
      </c>
      <c r="C2526" s="3" t="s">
        <v>1010</v>
      </c>
      <c r="D2526" s="3" t="s">
        <v>209</v>
      </c>
      <c r="E2526" s="3" t="s">
        <v>228</v>
      </c>
      <c r="F2526" s="1">
        <v>46036</v>
      </c>
      <c r="G2526" t="str">
        <f t="shared" si="88"/>
        <v>Jan -2026</v>
      </c>
    </row>
    <row r="2527" spans="1:7" x14ac:dyDescent="0.3">
      <c r="A2527" s="4">
        <v>2163286</v>
      </c>
      <c r="B2527" t="s">
        <v>1707</v>
      </c>
      <c r="C2527" s="3" t="s">
        <v>1010</v>
      </c>
      <c r="D2527" s="3" t="s">
        <v>209</v>
      </c>
      <c r="E2527" s="3" t="s">
        <v>228</v>
      </c>
      <c r="F2527" s="1">
        <v>46036</v>
      </c>
      <c r="G2527" t="str">
        <f t="shared" si="88"/>
        <v>Jan -2026</v>
      </c>
    </row>
    <row r="2528" spans="1:7" x14ac:dyDescent="0.3">
      <c r="A2528" s="4">
        <v>100005108</v>
      </c>
      <c r="B2528" t="s">
        <v>1935</v>
      </c>
      <c r="C2528" s="3" t="s">
        <v>1011</v>
      </c>
      <c r="D2528" s="3" t="s">
        <v>972</v>
      </c>
      <c r="E2528" s="3" t="s">
        <v>968</v>
      </c>
      <c r="F2528" s="1">
        <v>46036</v>
      </c>
      <c r="G2528" t="str">
        <f t="shared" ref="G2528:G2531" si="89">TEXT(F2528,"mmm -YYYY")</f>
        <v>Jan -2026</v>
      </c>
    </row>
    <row r="2529" spans="1:7" x14ac:dyDescent="0.3">
      <c r="A2529" s="4">
        <v>100005109</v>
      </c>
      <c r="B2529" t="s">
        <v>1936</v>
      </c>
      <c r="C2529" s="3" t="s">
        <v>1011</v>
      </c>
      <c r="D2529" s="3" t="s">
        <v>972</v>
      </c>
      <c r="E2529" s="3" t="s">
        <v>968</v>
      </c>
      <c r="F2529" s="1">
        <v>46036</v>
      </c>
      <c r="G2529" t="str">
        <f t="shared" si="89"/>
        <v>Jan -2026</v>
      </c>
    </row>
    <row r="2530" spans="1:7" x14ac:dyDescent="0.3">
      <c r="A2530" s="4">
        <v>100005105</v>
      </c>
      <c r="B2530" t="s">
        <v>1937</v>
      </c>
      <c r="C2530" s="3" t="s">
        <v>1011</v>
      </c>
      <c r="D2530" s="3" t="s">
        <v>972</v>
      </c>
      <c r="E2530" s="3" t="s">
        <v>982</v>
      </c>
      <c r="F2530" s="1">
        <v>46036</v>
      </c>
      <c r="G2530" t="str">
        <f t="shared" si="89"/>
        <v>Jan -2026</v>
      </c>
    </row>
    <row r="2531" spans="1:7" x14ac:dyDescent="0.3">
      <c r="A2531" s="4">
        <v>100005153</v>
      </c>
      <c r="B2531" t="s">
        <v>1938</v>
      </c>
      <c r="C2531" s="3" t="s">
        <v>1011</v>
      </c>
      <c r="D2531" s="3" t="s">
        <v>972</v>
      </c>
      <c r="E2531" s="3" t="s">
        <v>968</v>
      </c>
      <c r="F2531" s="1">
        <v>46037</v>
      </c>
      <c r="G2531" t="str">
        <f t="shared" si="89"/>
        <v>Jan -2026</v>
      </c>
    </row>
    <row r="2532" spans="1:7" x14ac:dyDescent="0.3">
      <c r="A2532" s="4">
        <v>100005152</v>
      </c>
      <c r="B2532" t="s">
        <v>1939</v>
      </c>
      <c r="C2532" s="3" t="s">
        <v>1011</v>
      </c>
      <c r="D2532" s="3" t="s">
        <v>972</v>
      </c>
      <c r="E2532" s="3" t="s">
        <v>968</v>
      </c>
      <c r="F2532" s="1">
        <v>46037</v>
      </c>
      <c r="G2532" t="str">
        <f t="shared" ref="G2532:G2564" si="90">TEXT(F2532,"mmm -YYYY")</f>
        <v>Jan -2026</v>
      </c>
    </row>
    <row r="2533" spans="1:7" x14ac:dyDescent="0.3">
      <c r="A2533" s="4">
        <v>100005099</v>
      </c>
      <c r="B2533" t="s">
        <v>1940</v>
      </c>
      <c r="C2533" s="3" t="s">
        <v>1011</v>
      </c>
      <c r="D2533" s="3" t="s">
        <v>972</v>
      </c>
      <c r="E2533" s="3" t="s">
        <v>976</v>
      </c>
      <c r="F2533" s="1">
        <v>46037</v>
      </c>
      <c r="G2533" t="str">
        <f t="shared" si="90"/>
        <v>Jan -2026</v>
      </c>
    </row>
    <row r="2534" spans="1:7" x14ac:dyDescent="0.3">
      <c r="A2534" s="4">
        <v>100005004</v>
      </c>
      <c r="B2534" t="s">
        <v>1941</v>
      </c>
      <c r="C2534" s="3" t="s">
        <v>1011</v>
      </c>
      <c r="D2534" s="3" t="s">
        <v>972</v>
      </c>
      <c r="E2534" s="3" t="s">
        <v>976</v>
      </c>
      <c r="F2534" s="1">
        <v>46037</v>
      </c>
      <c r="G2534" t="str">
        <f t="shared" si="90"/>
        <v>Jan -2026</v>
      </c>
    </row>
    <row r="2535" spans="1:7" x14ac:dyDescent="0.3">
      <c r="A2535" s="4">
        <v>100005133</v>
      </c>
      <c r="B2535" t="s">
        <v>1856</v>
      </c>
      <c r="C2535" s="3" t="s">
        <v>1011</v>
      </c>
      <c r="D2535" s="3" t="s">
        <v>972</v>
      </c>
      <c r="E2535" s="3" t="s">
        <v>1103</v>
      </c>
      <c r="F2535" s="1">
        <v>46037</v>
      </c>
      <c r="G2535" t="str">
        <f t="shared" si="90"/>
        <v>Jan -2026</v>
      </c>
    </row>
    <row r="2536" spans="1:7" x14ac:dyDescent="0.3">
      <c r="A2536" s="4">
        <v>100005131</v>
      </c>
      <c r="B2536" t="s">
        <v>1942</v>
      </c>
      <c r="C2536" s="3" t="s">
        <v>1011</v>
      </c>
      <c r="D2536" s="3" t="s">
        <v>972</v>
      </c>
      <c r="E2536" s="3" t="s">
        <v>1569</v>
      </c>
      <c r="F2536" s="1">
        <v>46037</v>
      </c>
      <c r="G2536" t="str">
        <f t="shared" si="90"/>
        <v>Jan -2026</v>
      </c>
    </row>
    <row r="2537" spans="1:7" x14ac:dyDescent="0.3">
      <c r="A2537" s="4">
        <v>2165307</v>
      </c>
      <c r="B2537" t="s">
        <v>1943</v>
      </c>
      <c r="C2537" s="3" t="s">
        <v>1010</v>
      </c>
      <c r="D2537" s="3" t="s">
        <v>209</v>
      </c>
      <c r="E2537" s="3" t="s">
        <v>210</v>
      </c>
      <c r="F2537" s="1">
        <v>46037</v>
      </c>
      <c r="G2537" t="str">
        <f t="shared" si="90"/>
        <v>Jan -2026</v>
      </c>
    </row>
    <row r="2538" spans="1:7" x14ac:dyDescent="0.3">
      <c r="A2538" s="4">
        <v>2165343</v>
      </c>
      <c r="B2538" t="s">
        <v>1943</v>
      </c>
      <c r="C2538" s="3" t="s">
        <v>1010</v>
      </c>
      <c r="D2538" s="3" t="s">
        <v>209</v>
      </c>
      <c r="E2538" s="3" t="s">
        <v>210</v>
      </c>
      <c r="F2538" s="1">
        <v>46037</v>
      </c>
      <c r="G2538" t="str">
        <f t="shared" si="90"/>
        <v>Jan -2026</v>
      </c>
    </row>
    <row r="2539" spans="1:7" x14ac:dyDescent="0.3">
      <c r="A2539" s="4">
        <v>2165270</v>
      </c>
      <c r="B2539" t="s">
        <v>1944</v>
      </c>
      <c r="C2539" s="3" t="s">
        <v>1010</v>
      </c>
      <c r="D2539" s="3" t="s">
        <v>209</v>
      </c>
      <c r="E2539" s="3" t="s">
        <v>210</v>
      </c>
      <c r="F2539" s="1">
        <v>46037</v>
      </c>
      <c r="G2539" t="str">
        <f t="shared" si="90"/>
        <v>Jan -2026</v>
      </c>
    </row>
    <row r="2540" spans="1:7" x14ac:dyDescent="0.3">
      <c r="A2540" s="4">
        <v>2165314</v>
      </c>
      <c r="B2540" t="s">
        <v>1945</v>
      </c>
      <c r="C2540" s="3" t="s">
        <v>1010</v>
      </c>
      <c r="D2540" s="3" t="s">
        <v>209</v>
      </c>
      <c r="E2540" s="3" t="s">
        <v>210</v>
      </c>
      <c r="F2540" s="1">
        <v>46037</v>
      </c>
      <c r="G2540" t="str">
        <f t="shared" si="90"/>
        <v>Jan -2026</v>
      </c>
    </row>
    <row r="2541" spans="1:7" x14ac:dyDescent="0.3">
      <c r="A2541" s="4">
        <v>2160784</v>
      </c>
      <c r="B2541" t="s">
        <v>1866</v>
      </c>
      <c r="C2541" s="3" t="s">
        <v>1010</v>
      </c>
      <c r="D2541" s="3" t="s">
        <v>1020</v>
      </c>
      <c r="E2541" s="3" t="s">
        <v>211</v>
      </c>
      <c r="F2541" s="1">
        <v>46037</v>
      </c>
      <c r="G2541" t="str">
        <f t="shared" si="90"/>
        <v>Jan -2026</v>
      </c>
    </row>
    <row r="2542" spans="1:7" x14ac:dyDescent="0.3">
      <c r="A2542" s="4">
        <v>2157621</v>
      </c>
      <c r="B2542" t="s">
        <v>1946</v>
      </c>
      <c r="C2542" s="3" t="s">
        <v>1010</v>
      </c>
      <c r="D2542" s="3" t="s">
        <v>364</v>
      </c>
      <c r="E2542" s="3" t="s">
        <v>15</v>
      </c>
      <c r="F2542" s="1">
        <v>46037</v>
      </c>
      <c r="G2542" t="str">
        <f t="shared" si="90"/>
        <v>Jan -2026</v>
      </c>
    </row>
    <row r="2543" spans="1:7" x14ac:dyDescent="0.3">
      <c r="A2543" s="4">
        <v>2163586</v>
      </c>
      <c r="B2543" t="s">
        <v>1947</v>
      </c>
      <c r="C2543" s="3" t="s">
        <v>1010</v>
      </c>
      <c r="D2543" s="3" t="s">
        <v>1259</v>
      </c>
      <c r="E2543" s="3" t="s">
        <v>228</v>
      </c>
      <c r="F2543" s="1">
        <v>46037</v>
      </c>
      <c r="G2543" t="str">
        <f t="shared" si="90"/>
        <v>Jan -2026</v>
      </c>
    </row>
    <row r="2544" spans="1:7" x14ac:dyDescent="0.3">
      <c r="A2544" s="4">
        <v>2158340</v>
      </c>
      <c r="B2544" t="s">
        <v>1948</v>
      </c>
      <c r="C2544" s="3" t="s">
        <v>1010</v>
      </c>
      <c r="D2544" s="3" t="s">
        <v>364</v>
      </c>
      <c r="E2544" s="3" t="s">
        <v>15</v>
      </c>
      <c r="F2544" s="1">
        <v>46037</v>
      </c>
      <c r="G2544" t="str">
        <f t="shared" si="90"/>
        <v>Jan -2026</v>
      </c>
    </row>
    <row r="2545" spans="1:7" x14ac:dyDescent="0.3">
      <c r="A2545" s="4">
        <v>2165830</v>
      </c>
      <c r="B2545" t="s">
        <v>1949</v>
      </c>
      <c r="C2545" s="3" t="s">
        <v>1010</v>
      </c>
      <c r="D2545" s="3" t="s">
        <v>1020</v>
      </c>
      <c r="E2545" s="3" t="s">
        <v>338</v>
      </c>
      <c r="F2545" s="1">
        <v>46037</v>
      </c>
      <c r="G2545" t="str">
        <f t="shared" si="90"/>
        <v>Jan -2026</v>
      </c>
    </row>
    <row r="2546" spans="1:7" x14ac:dyDescent="0.3">
      <c r="A2546" s="4">
        <v>2166289</v>
      </c>
      <c r="B2546" t="s">
        <v>1950</v>
      </c>
      <c r="C2546" s="3" t="s">
        <v>1010</v>
      </c>
      <c r="D2546" s="3" t="s">
        <v>209</v>
      </c>
      <c r="E2546" s="3" t="s">
        <v>210</v>
      </c>
      <c r="F2546" s="1">
        <v>46037</v>
      </c>
      <c r="G2546" t="str">
        <f t="shared" si="90"/>
        <v>Jan -2026</v>
      </c>
    </row>
    <row r="2547" spans="1:7" x14ac:dyDescent="0.3">
      <c r="A2547" s="4">
        <v>2165753</v>
      </c>
      <c r="B2547" t="s">
        <v>1951</v>
      </c>
      <c r="C2547" s="3" t="s">
        <v>1010</v>
      </c>
      <c r="D2547" s="3" t="s">
        <v>209</v>
      </c>
      <c r="E2547" s="3" t="s">
        <v>210</v>
      </c>
      <c r="F2547" s="1">
        <v>46037</v>
      </c>
      <c r="G2547" t="str">
        <f t="shared" si="90"/>
        <v>Jan -2026</v>
      </c>
    </row>
    <row r="2548" spans="1:7" x14ac:dyDescent="0.3">
      <c r="A2548" s="4">
        <v>2166005</v>
      </c>
      <c r="B2548" t="s">
        <v>1952</v>
      </c>
      <c r="C2548" s="3" t="s">
        <v>1010</v>
      </c>
      <c r="D2548" s="3" t="s">
        <v>209</v>
      </c>
      <c r="E2548" s="3" t="s">
        <v>210</v>
      </c>
      <c r="F2548" s="1">
        <v>46037</v>
      </c>
      <c r="G2548" t="str">
        <f t="shared" si="90"/>
        <v>Jan -2026</v>
      </c>
    </row>
    <row r="2549" spans="1:7" x14ac:dyDescent="0.3">
      <c r="A2549" s="4">
        <v>2166007</v>
      </c>
      <c r="B2549" t="s">
        <v>1953</v>
      </c>
      <c r="C2549" s="3" t="s">
        <v>1010</v>
      </c>
      <c r="D2549" s="3" t="s">
        <v>209</v>
      </c>
      <c r="E2549" s="3" t="s">
        <v>210</v>
      </c>
      <c r="F2549" s="1">
        <v>46037</v>
      </c>
      <c r="G2549" t="str">
        <f t="shared" si="90"/>
        <v>Jan -2026</v>
      </c>
    </row>
    <row r="2550" spans="1:7" x14ac:dyDescent="0.3">
      <c r="A2550" s="4">
        <v>2158401</v>
      </c>
      <c r="B2550" t="s">
        <v>1954</v>
      </c>
      <c r="C2550" s="3" t="s">
        <v>1010</v>
      </c>
      <c r="D2550" s="3" t="s">
        <v>364</v>
      </c>
      <c r="E2550" s="3" t="s">
        <v>15</v>
      </c>
      <c r="F2550" s="1">
        <v>46038</v>
      </c>
      <c r="G2550" t="str">
        <f t="shared" si="90"/>
        <v>Jan -2026</v>
      </c>
    </row>
    <row r="2551" spans="1:7" x14ac:dyDescent="0.3">
      <c r="A2551" s="4">
        <v>2160784</v>
      </c>
      <c r="B2551" t="s">
        <v>47</v>
      </c>
      <c r="C2551" s="3" t="s">
        <v>1010</v>
      </c>
      <c r="D2551" s="3" t="s">
        <v>1020</v>
      </c>
      <c r="E2551" s="3" t="s">
        <v>211</v>
      </c>
      <c r="F2551" s="1">
        <v>46038</v>
      </c>
      <c r="G2551" t="str">
        <f t="shared" si="90"/>
        <v>Jan -2026</v>
      </c>
    </row>
    <row r="2552" spans="1:7" x14ac:dyDescent="0.3">
      <c r="A2552" s="4">
        <v>2158680</v>
      </c>
      <c r="B2552" t="s">
        <v>1955</v>
      </c>
      <c r="C2552" s="3" t="s">
        <v>1010</v>
      </c>
      <c r="D2552" s="3" t="s">
        <v>364</v>
      </c>
      <c r="E2552" s="3" t="s">
        <v>15</v>
      </c>
      <c r="F2552" s="1">
        <v>46038</v>
      </c>
      <c r="G2552" t="str">
        <f t="shared" si="90"/>
        <v>Jan -2026</v>
      </c>
    </row>
    <row r="2553" spans="1:7" x14ac:dyDescent="0.3">
      <c r="A2553" s="4">
        <v>2166281</v>
      </c>
      <c r="B2553" t="s">
        <v>1956</v>
      </c>
      <c r="C2553" s="3" t="s">
        <v>1010</v>
      </c>
      <c r="D2553" s="3" t="s">
        <v>1020</v>
      </c>
      <c r="E2553" s="3" t="s">
        <v>435</v>
      </c>
      <c r="F2553" s="1">
        <v>46038</v>
      </c>
      <c r="G2553" t="str">
        <f t="shared" si="90"/>
        <v>Jan -2026</v>
      </c>
    </row>
    <row r="2554" spans="1:7" x14ac:dyDescent="0.3">
      <c r="A2554" s="4">
        <v>2166263</v>
      </c>
      <c r="B2554" t="s">
        <v>1957</v>
      </c>
      <c r="C2554" s="3" t="s">
        <v>1010</v>
      </c>
      <c r="D2554" s="3" t="s">
        <v>1020</v>
      </c>
      <c r="E2554" s="3" t="s">
        <v>435</v>
      </c>
      <c r="F2554" s="1">
        <v>46038</v>
      </c>
      <c r="G2554" t="str">
        <f t="shared" si="90"/>
        <v>Jan -2026</v>
      </c>
    </row>
    <row r="2555" spans="1:7" x14ac:dyDescent="0.3">
      <c r="A2555" s="4">
        <v>2168352</v>
      </c>
      <c r="B2555" t="s">
        <v>1958</v>
      </c>
      <c r="C2555" s="3" t="s">
        <v>1010</v>
      </c>
      <c r="D2555" s="3" t="s">
        <v>209</v>
      </c>
      <c r="E2555" s="3" t="s">
        <v>225</v>
      </c>
      <c r="F2555" s="1">
        <v>46038</v>
      </c>
      <c r="G2555" t="str">
        <f t="shared" si="90"/>
        <v>Jan -2026</v>
      </c>
    </row>
    <row r="2556" spans="1:7" x14ac:dyDescent="0.3">
      <c r="A2556" s="4">
        <v>2168294</v>
      </c>
      <c r="B2556" t="s">
        <v>1958</v>
      </c>
      <c r="C2556" s="3" t="s">
        <v>1010</v>
      </c>
      <c r="D2556" s="3" t="s">
        <v>209</v>
      </c>
      <c r="E2556" s="3" t="s">
        <v>225</v>
      </c>
      <c r="F2556" s="1">
        <v>46038</v>
      </c>
      <c r="G2556" t="str">
        <f t="shared" si="90"/>
        <v>Jan -2026</v>
      </c>
    </row>
    <row r="2557" spans="1:7" x14ac:dyDescent="0.3">
      <c r="A2557" s="4">
        <v>2168337</v>
      </c>
      <c r="B2557" t="s">
        <v>1958</v>
      </c>
      <c r="C2557" s="3" t="s">
        <v>1010</v>
      </c>
      <c r="D2557" s="3" t="s">
        <v>209</v>
      </c>
      <c r="E2557" s="3" t="s">
        <v>225</v>
      </c>
      <c r="F2557" s="1">
        <v>46038</v>
      </c>
      <c r="G2557" t="str">
        <f t="shared" si="90"/>
        <v>Jan -2026</v>
      </c>
    </row>
    <row r="2558" spans="1:7" x14ac:dyDescent="0.3">
      <c r="A2558" s="4">
        <v>2168353</v>
      </c>
      <c r="B2558" t="s">
        <v>1958</v>
      </c>
      <c r="C2558" s="3" t="s">
        <v>1010</v>
      </c>
      <c r="D2558" s="3" t="s">
        <v>209</v>
      </c>
      <c r="E2558" s="3" t="s">
        <v>225</v>
      </c>
      <c r="F2558" s="1">
        <v>46038</v>
      </c>
      <c r="G2558" t="str">
        <f t="shared" si="90"/>
        <v>Jan -2026</v>
      </c>
    </row>
    <row r="2559" spans="1:7" x14ac:dyDescent="0.3">
      <c r="A2559" s="4">
        <v>2165830</v>
      </c>
      <c r="B2559" t="s">
        <v>1496</v>
      </c>
      <c r="C2559" s="3" t="s">
        <v>1010</v>
      </c>
      <c r="D2559" s="3" t="s">
        <v>1020</v>
      </c>
      <c r="E2559" s="3" t="s">
        <v>338</v>
      </c>
      <c r="F2559" s="1">
        <v>46038</v>
      </c>
      <c r="G2559" t="str">
        <f t="shared" si="90"/>
        <v>Jan -2026</v>
      </c>
    </row>
    <row r="2560" spans="1:7" x14ac:dyDescent="0.3">
      <c r="A2560" s="4" t="s">
        <v>1959</v>
      </c>
      <c r="B2560" t="s">
        <v>47</v>
      </c>
      <c r="C2560" s="3" t="s">
        <v>1010</v>
      </c>
      <c r="D2560" s="3" t="s">
        <v>1020</v>
      </c>
      <c r="E2560" s="3" t="s">
        <v>211</v>
      </c>
      <c r="F2560" s="1">
        <v>46038</v>
      </c>
      <c r="G2560" t="str">
        <f t="shared" si="90"/>
        <v>Jan -2026</v>
      </c>
    </row>
    <row r="2561" spans="1:7" x14ac:dyDescent="0.3">
      <c r="A2561" s="4" t="s">
        <v>1960</v>
      </c>
      <c r="B2561" t="s">
        <v>47</v>
      </c>
      <c r="C2561" s="3" t="s">
        <v>1010</v>
      </c>
      <c r="D2561" s="3" t="s">
        <v>1020</v>
      </c>
      <c r="E2561" s="3" t="s">
        <v>211</v>
      </c>
      <c r="F2561" s="1">
        <v>46038</v>
      </c>
      <c r="G2561" t="str">
        <f t="shared" si="90"/>
        <v>Jan -2026</v>
      </c>
    </row>
    <row r="2562" spans="1:7" x14ac:dyDescent="0.3">
      <c r="A2562" s="4">
        <v>2164266</v>
      </c>
      <c r="B2562" t="s">
        <v>1961</v>
      </c>
      <c r="C2562" s="3" t="s">
        <v>1010</v>
      </c>
      <c r="D2562" s="3" t="s">
        <v>1259</v>
      </c>
      <c r="E2562" s="3" t="s">
        <v>228</v>
      </c>
      <c r="F2562" s="1">
        <v>46038</v>
      </c>
      <c r="G2562" t="str">
        <f t="shared" si="90"/>
        <v>Jan -2026</v>
      </c>
    </row>
    <row r="2563" spans="1:7" x14ac:dyDescent="0.3">
      <c r="A2563" s="4">
        <v>2163097</v>
      </c>
      <c r="B2563" t="s">
        <v>1962</v>
      </c>
      <c r="C2563" s="3" t="s">
        <v>1010</v>
      </c>
      <c r="D2563" s="3" t="s">
        <v>364</v>
      </c>
      <c r="E2563" s="3" t="s">
        <v>15</v>
      </c>
      <c r="F2563" s="1">
        <v>46038</v>
      </c>
      <c r="G2563" t="str">
        <f t="shared" si="90"/>
        <v>Jan -2026</v>
      </c>
    </row>
    <row r="2564" spans="1:7" x14ac:dyDescent="0.3">
      <c r="A2564" s="4">
        <v>2170021</v>
      </c>
      <c r="B2564" t="s">
        <v>1963</v>
      </c>
      <c r="C2564" s="3" t="s">
        <v>1010</v>
      </c>
      <c r="D2564" s="3" t="s">
        <v>1020</v>
      </c>
      <c r="E2564" s="3" t="s">
        <v>228</v>
      </c>
      <c r="F2564" s="1">
        <v>46038</v>
      </c>
      <c r="G2564" t="str">
        <f t="shared" si="90"/>
        <v>Jan -2026</v>
      </c>
    </row>
    <row r="2565" spans="1:7" x14ac:dyDescent="0.3">
      <c r="A2565" s="4">
        <v>100005131</v>
      </c>
      <c r="B2565" t="s">
        <v>1942</v>
      </c>
      <c r="C2565" s="3" t="s">
        <v>1011</v>
      </c>
      <c r="D2565" s="3" t="s">
        <v>972</v>
      </c>
      <c r="E2565" s="3" t="s">
        <v>1569</v>
      </c>
      <c r="F2565" s="1">
        <v>46038</v>
      </c>
      <c r="G2565" t="str">
        <f t="shared" ref="G2565:G2573" si="91">TEXT(F2565,"mmm -YYYY")</f>
        <v>Jan -2026</v>
      </c>
    </row>
    <row r="2566" spans="1:7" x14ac:dyDescent="0.3">
      <c r="A2566" s="4">
        <v>100005126</v>
      </c>
      <c r="B2566" t="s">
        <v>1964</v>
      </c>
      <c r="C2566" s="3" t="s">
        <v>1011</v>
      </c>
      <c r="D2566" s="3" t="s">
        <v>972</v>
      </c>
      <c r="E2566" s="3" t="s">
        <v>1569</v>
      </c>
      <c r="F2566" s="1">
        <v>46038</v>
      </c>
      <c r="G2566" t="str">
        <f t="shared" si="91"/>
        <v>Jan -2026</v>
      </c>
    </row>
    <row r="2567" spans="1:7" x14ac:dyDescent="0.3">
      <c r="A2567" s="4">
        <v>100005019</v>
      </c>
      <c r="B2567" t="s">
        <v>1965</v>
      </c>
      <c r="C2567" s="3" t="s">
        <v>1011</v>
      </c>
      <c r="D2567" s="3" t="s">
        <v>972</v>
      </c>
      <c r="E2567" s="3" t="s">
        <v>1569</v>
      </c>
      <c r="F2567" s="1">
        <v>46041</v>
      </c>
      <c r="G2567" t="str">
        <f t="shared" si="91"/>
        <v>Jan -2026</v>
      </c>
    </row>
    <row r="2568" spans="1:7" x14ac:dyDescent="0.3">
      <c r="A2568" s="4">
        <v>100005142</v>
      </c>
      <c r="B2568" t="s">
        <v>1966</v>
      </c>
      <c r="C2568" s="3" t="s">
        <v>1011</v>
      </c>
      <c r="D2568" s="3" t="s">
        <v>972</v>
      </c>
      <c r="E2568" s="3" t="s">
        <v>1569</v>
      </c>
      <c r="F2568" s="1">
        <v>46041</v>
      </c>
      <c r="G2568" t="str">
        <f t="shared" si="91"/>
        <v>Jan -2026</v>
      </c>
    </row>
    <row r="2569" spans="1:7" x14ac:dyDescent="0.3">
      <c r="A2569" s="4">
        <v>100005113</v>
      </c>
      <c r="B2569" t="s">
        <v>1967</v>
      </c>
      <c r="C2569" s="3" t="s">
        <v>1011</v>
      </c>
      <c r="D2569" s="3" t="s">
        <v>972</v>
      </c>
      <c r="E2569" s="3" t="s">
        <v>1569</v>
      </c>
      <c r="F2569" s="1">
        <v>46041</v>
      </c>
      <c r="G2569" t="str">
        <f t="shared" si="91"/>
        <v>Jan -2026</v>
      </c>
    </row>
    <row r="2570" spans="1:7" x14ac:dyDescent="0.3">
      <c r="A2570" s="4">
        <v>100005017</v>
      </c>
      <c r="B2570" t="s">
        <v>1478</v>
      </c>
      <c r="C2570" s="3" t="s">
        <v>1011</v>
      </c>
      <c r="D2570" s="3" t="s">
        <v>972</v>
      </c>
      <c r="E2570" s="3" t="s">
        <v>1103</v>
      </c>
      <c r="F2570" s="1">
        <v>46041</v>
      </c>
      <c r="G2570" t="str">
        <f t="shared" si="91"/>
        <v>Jan -2026</v>
      </c>
    </row>
    <row r="2571" spans="1:7" x14ac:dyDescent="0.3">
      <c r="A2571" s="4">
        <v>100005069</v>
      </c>
      <c r="B2571" t="s">
        <v>1478</v>
      </c>
      <c r="C2571" s="3" t="s">
        <v>1011</v>
      </c>
      <c r="D2571" s="3" t="s">
        <v>972</v>
      </c>
      <c r="E2571" s="3" t="s">
        <v>1103</v>
      </c>
      <c r="F2571" s="1">
        <v>46041</v>
      </c>
      <c r="G2571" t="str">
        <f t="shared" si="91"/>
        <v>Jan -2026</v>
      </c>
    </row>
    <row r="2572" spans="1:7" x14ac:dyDescent="0.3">
      <c r="A2572" s="4">
        <v>100005134</v>
      </c>
      <c r="B2572" t="s">
        <v>1968</v>
      </c>
      <c r="C2572" s="3" t="s">
        <v>1011</v>
      </c>
      <c r="D2572" s="3" t="s">
        <v>972</v>
      </c>
      <c r="E2572" s="3" t="s">
        <v>1569</v>
      </c>
      <c r="F2572" s="1">
        <v>46041</v>
      </c>
      <c r="G2572" t="str">
        <f t="shared" si="91"/>
        <v>Jan -2026</v>
      </c>
    </row>
    <row r="2573" spans="1:7" x14ac:dyDescent="0.3">
      <c r="A2573" s="4">
        <v>100005130</v>
      </c>
      <c r="B2573" t="s">
        <v>1969</v>
      </c>
      <c r="C2573" s="3" t="s">
        <v>1011</v>
      </c>
      <c r="D2573" s="3" t="s">
        <v>972</v>
      </c>
      <c r="E2573" s="3" t="s">
        <v>1569</v>
      </c>
      <c r="F2573" s="1">
        <v>46041</v>
      </c>
      <c r="G2573" t="str">
        <f t="shared" si="91"/>
        <v>Jan -2026</v>
      </c>
    </row>
    <row r="2574" spans="1:7" x14ac:dyDescent="0.3">
      <c r="A2574" s="4">
        <v>2170021</v>
      </c>
      <c r="B2574" t="s">
        <v>1963</v>
      </c>
      <c r="C2574" s="3" t="s">
        <v>1010</v>
      </c>
      <c r="D2574" s="3" t="s">
        <v>1020</v>
      </c>
      <c r="E2574" s="3" t="s">
        <v>228</v>
      </c>
      <c r="F2574" s="1">
        <v>46041</v>
      </c>
      <c r="G2574" t="str">
        <f t="shared" ref="G2574:G2605" si="92">TEXT(F2574,"mmm -YYYY")</f>
        <v>Jan -2026</v>
      </c>
    </row>
    <row r="2575" spans="1:7" x14ac:dyDescent="0.3">
      <c r="A2575" s="4">
        <v>2172128</v>
      </c>
      <c r="B2575" t="s">
        <v>47</v>
      </c>
      <c r="C2575" s="3" t="s">
        <v>1010</v>
      </c>
      <c r="D2575" s="3" t="s">
        <v>1020</v>
      </c>
      <c r="E2575" s="3" t="s">
        <v>211</v>
      </c>
      <c r="F2575" s="1">
        <v>46041</v>
      </c>
      <c r="G2575" t="str">
        <f t="shared" si="92"/>
        <v>Jan -2026</v>
      </c>
    </row>
    <row r="2576" spans="1:7" x14ac:dyDescent="0.3">
      <c r="A2576" s="4">
        <v>2172254</v>
      </c>
      <c r="B2576" t="s">
        <v>41</v>
      </c>
      <c r="C2576" s="3" t="s">
        <v>1010</v>
      </c>
      <c r="D2576" s="3" t="s">
        <v>1020</v>
      </c>
      <c r="E2576" s="3" t="s">
        <v>211</v>
      </c>
      <c r="F2576" s="1">
        <v>46041</v>
      </c>
      <c r="G2576" t="str">
        <f t="shared" si="92"/>
        <v>Jan -2026</v>
      </c>
    </row>
    <row r="2577" spans="1:7" x14ac:dyDescent="0.3">
      <c r="A2577" s="4">
        <v>900006040</v>
      </c>
      <c r="B2577" t="s">
        <v>1970</v>
      </c>
      <c r="C2577" s="3" t="s">
        <v>1010</v>
      </c>
      <c r="D2577" s="3" t="s">
        <v>1971</v>
      </c>
      <c r="E2577" s="3" t="s">
        <v>1877</v>
      </c>
      <c r="F2577" s="1">
        <v>46041</v>
      </c>
      <c r="G2577" t="str">
        <f t="shared" si="92"/>
        <v>Jan -2026</v>
      </c>
    </row>
    <row r="2578" spans="1:7" x14ac:dyDescent="0.3">
      <c r="A2578" s="4">
        <v>2172301</v>
      </c>
      <c r="B2578" t="s">
        <v>41</v>
      </c>
      <c r="C2578" s="3" t="s">
        <v>1010</v>
      </c>
      <c r="D2578" s="3" t="s">
        <v>1020</v>
      </c>
      <c r="E2578" s="3" t="s">
        <v>211</v>
      </c>
      <c r="F2578" s="1">
        <v>46041</v>
      </c>
      <c r="G2578" t="str">
        <f t="shared" si="92"/>
        <v>Jan -2026</v>
      </c>
    </row>
    <row r="2579" spans="1:7" x14ac:dyDescent="0.3">
      <c r="A2579" s="4">
        <v>2172278</v>
      </c>
      <c r="B2579" t="s">
        <v>41</v>
      </c>
      <c r="C2579" s="3" t="s">
        <v>1010</v>
      </c>
      <c r="D2579" s="3" t="s">
        <v>1020</v>
      </c>
      <c r="E2579" s="3" t="s">
        <v>211</v>
      </c>
      <c r="F2579" s="1">
        <v>46041</v>
      </c>
      <c r="G2579" t="str">
        <f t="shared" si="92"/>
        <v>Jan -2026</v>
      </c>
    </row>
    <row r="2580" spans="1:7" x14ac:dyDescent="0.3">
      <c r="A2580" s="4">
        <v>2165654</v>
      </c>
      <c r="B2580" t="s">
        <v>47</v>
      </c>
      <c r="C2580" s="3" t="s">
        <v>1010</v>
      </c>
      <c r="D2580" s="3" t="s">
        <v>1020</v>
      </c>
      <c r="E2580" s="3" t="s">
        <v>211</v>
      </c>
      <c r="F2580" s="1">
        <v>46041</v>
      </c>
      <c r="G2580" t="str">
        <f t="shared" si="92"/>
        <v>Jan -2026</v>
      </c>
    </row>
    <row r="2581" spans="1:7" x14ac:dyDescent="0.3">
      <c r="A2581" s="4">
        <v>2166285</v>
      </c>
      <c r="B2581" t="s">
        <v>41</v>
      </c>
      <c r="C2581" s="3" t="s">
        <v>1010</v>
      </c>
      <c r="D2581" s="3" t="s">
        <v>1020</v>
      </c>
      <c r="E2581" s="3" t="s">
        <v>211</v>
      </c>
      <c r="F2581" s="1">
        <v>46041</v>
      </c>
      <c r="G2581" t="str">
        <f t="shared" si="92"/>
        <v>Jan -2026</v>
      </c>
    </row>
    <row r="2582" spans="1:7" x14ac:dyDescent="0.3">
      <c r="A2582" s="4">
        <v>2168119</v>
      </c>
      <c r="B2582" t="s">
        <v>47</v>
      </c>
      <c r="C2582" s="3" t="s">
        <v>1010</v>
      </c>
      <c r="D2582" s="3" t="s">
        <v>1020</v>
      </c>
      <c r="E2582" s="3" t="s">
        <v>211</v>
      </c>
      <c r="F2582" s="1">
        <v>46041</v>
      </c>
      <c r="G2582" t="str">
        <f t="shared" si="92"/>
        <v>Jan -2026</v>
      </c>
    </row>
    <row r="2583" spans="1:7" x14ac:dyDescent="0.3">
      <c r="A2583" s="4">
        <v>2168189</v>
      </c>
      <c r="B2583" t="s">
        <v>47</v>
      </c>
      <c r="C2583" s="3" t="s">
        <v>1010</v>
      </c>
      <c r="D2583" s="3" t="s">
        <v>1020</v>
      </c>
      <c r="E2583" s="3" t="s">
        <v>211</v>
      </c>
      <c r="F2583" s="1">
        <v>46041</v>
      </c>
      <c r="G2583" t="str">
        <f t="shared" si="92"/>
        <v>Jan -2026</v>
      </c>
    </row>
    <row r="2584" spans="1:7" x14ac:dyDescent="0.3">
      <c r="A2584" s="4">
        <v>2169747</v>
      </c>
      <c r="B2584" t="s">
        <v>1972</v>
      </c>
      <c r="C2584" s="3" t="s">
        <v>1010</v>
      </c>
      <c r="D2584" s="3" t="s">
        <v>1259</v>
      </c>
      <c r="E2584" s="3" t="s">
        <v>228</v>
      </c>
      <c r="F2584" s="1">
        <v>46042</v>
      </c>
      <c r="G2584" t="str">
        <f t="shared" si="92"/>
        <v>Jan -2026</v>
      </c>
    </row>
    <row r="2585" spans="1:7" x14ac:dyDescent="0.3">
      <c r="A2585" s="4">
        <v>2172761</v>
      </c>
      <c r="B2585" t="s">
        <v>1973</v>
      </c>
      <c r="C2585" s="3" t="s">
        <v>1010</v>
      </c>
      <c r="D2585" s="3" t="s">
        <v>209</v>
      </c>
      <c r="E2585" s="3" t="s">
        <v>225</v>
      </c>
      <c r="F2585" s="1">
        <v>46042</v>
      </c>
      <c r="G2585" t="str">
        <f t="shared" si="92"/>
        <v>Jan -2026</v>
      </c>
    </row>
    <row r="2586" spans="1:7" x14ac:dyDescent="0.3">
      <c r="A2586" s="4">
        <v>2173052</v>
      </c>
      <c r="B2586" t="s">
        <v>1974</v>
      </c>
      <c r="C2586" s="3" t="s">
        <v>1010</v>
      </c>
      <c r="D2586" s="3" t="s">
        <v>209</v>
      </c>
      <c r="E2586" s="3" t="s">
        <v>225</v>
      </c>
      <c r="F2586" s="1">
        <v>46042</v>
      </c>
      <c r="G2586" t="str">
        <f t="shared" si="92"/>
        <v>Jan -2026</v>
      </c>
    </row>
    <row r="2587" spans="1:7" x14ac:dyDescent="0.3">
      <c r="A2587" s="4">
        <v>2173194</v>
      </c>
      <c r="B2587" t="s">
        <v>1532</v>
      </c>
      <c r="C2587" s="3" t="s">
        <v>1010</v>
      </c>
      <c r="D2587" s="3" t="s">
        <v>209</v>
      </c>
      <c r="E2587" s="3" t="s">
        <v>225</v>
      </c>
      <c r="F2587" s="1">
        <v>46042</v>
      </c>
      <c r="G2587" t="str">
        <f t="shared" si="92"/>
        <v>Jan -2026</v>
      </c>
    </row>
    <row r="2588" spans="1:7" x14ac:dyDescent="0.3">
      <c r="A2588" s="4">
        <v>2173217</v>
      </c>
      <c r="B2588" t="s">
        <v>1532</v>
      </c>
      <c r="C2588" s="3" t="s">
        <v>1010</v>
      </c>
      <c r="D2588" s="3" t="s">
        <v>209</v>
      </c>
      <c r="E2588" s="3" t="s">
        <v>225</v>
      </c>
      <c r="F2588" s="1">
        <v>46042</v>
      </c>
      <c r="G2588" t="str">
        <f t="shared" si="92"/>
        <v>Jan -2026</v>
      </c>
    </row>
    <row r="2589" spans="1:7" x14ac:dyDescent="0.3">
      <c r="A2589" s="4">
        <v>2172979</v>
      </c>
      <c r="B2589" t="s">
        <v>1975</v>
      </c>
      <c r="C2589" s="3" t="s">
        <v>1010</v>
      </c>
      <c r="D2589" s="3" t="s">
        <v>209</v>
      </c>
      <c r="E2589" s="3" t="s">
        <v>225</v>
      </c>
      <c r="F2589" s="1">
        <v>46042</v>
      </c>
      <c r="G2589" t="str">
        <f t="shared" si="92"/>
        <v>Jan -2026</v>
      </c>
    </row>
    <row r="2590" spans="1:7" x14ac:dyDescent="0.3">
      <c r="A2590" s="4">
        <v>2173059</v>
      </c>
      <c r="B2590" t="s">
        <v>1532</v>
      </c>
      <c r="C2590" s="3" t="s">
        <v>1010</v>
      </c>
      <c r="D2590" s="3" t="s">
        <v>209</v>
      </c>
      <c r="E2590" s="3" t="s">
        <v>225</v>
      </c>
      <c r="F2590" s="1">
        <v>46042</v>
      </c>
      <c r="G2590" t="str">
        <f t="shared" si="92"/>
        <v>Jan -2026</v>
      </c>
    </row>
    <row r="2591" spans="1:7" x14ac:dyDescent="0.3">
      <c r="A2591" s="4">
        <v>2173278</v>
      </c>
      <c r="B2591" t="s">
        <v>1532</v>
      </c>
      <c r="C2591" s="3" t="s">
        <v>1010</v>
      </c>
      <c r="D2591" s="3" t="s">
        <v>209</v>
      </c>
      <c r="E2591" s="3" t="s">
        <v>225</v>
      </c>
      <c r="F2591" s="1">
        <v>46042</v>
      </c>
      <c r="G2591" t="str">
        <f t="shared" si="92"/>
        <v>Jan -2026</v>
      </c>
    </row>
    <row r="2592" spans="1:7" x14ac:dyDescent="0.3">
      <c r="A2592" s="4">
        <v>2173193</v>
      </c>
      <c r="B2592" t="s">
        <v>1532</v>
      </c>
      <c r="C2592" s="3" t="s">
        <v>1010</v>
      </c>
      <c r="D2592" s="3" t="s">
        <v>209</v>
      </c>
      <c r="E2592" s="3" t="s">
        <v>225</v>
      </c>
      <c r="F2592" s="1">
        <v>46042</v>
      </c>
      <c r="G2592" t="str">
        <f t="shared" si="92"/>
        <v>Jan -2026</v>
      </c>
    </row>
    <row r="2593" spans="1:7" x14ac:dyDescent="0.3">
      <c r="A2593" s="4">
        <v>2174873</v>
      </c>
      <c r="B2593" t="s">
        <v>1976</v>
      </c>
      <c r="C2593" s="3" t="s">
        <v>1010</v>
      </c>
      <c r="D2593" s="3" t="s">
        <v>209</v>
      </c>
      <c r="E2593" s="3" t="s">
        <v>196</v>
      </c>
      <c r="F2593" s="1">
        <v>46042</v>
      </c>
      <c r="G2593" t="str">
        <f t="shared" si="92"/>
        <v>Jan -2026</v>
      </c>
    </row>
    <row r="2594" spans="1:7" x14ac:dyDescent="0.3">
      <c r="A2594" s="4">
        <v>2174876</v>
      </c>
      <c r="B2594" t="s">
        <v>1976</v>
      </c>
      <c r="C2594" s="3" t="s">
        <v>1010</v>
      </c>
      <c r="D2594" s="3" t="s">
        <v>209</v>
      </c>
      <c r="E2594" s="3" t="s">
        <v>196</v>
      </c>
      <c r="F2594" s="1">
        <v>46042</v>
      </c>
      <c r="G2594" t="str">
        <f t="shared" si="92"/>
        <v>Jan -2026</v>
      </c>
    </row>
    <row r="2595" spans="1:7" x14ac:dyDescent="0.3">
      <c r="A2595" s="4">
        <v>2174877</v>
      </c>
      <c r="B2595" t="s">
        <v>1976</v>
      </c>
      <c r="C2595" s="3" t="s">
        <v>1010</v>
      </c>
      <c r="D2595" s="3" t="s">
        <v>209</v>
      </c>
      <c r="E2595" s="3" t="s">
        <v>196</v>
      </c>
      <c r="F2595" s="1">
        <v>46042</v>
      </c>
      <c r="G2595" t="str">
        <f t="shared" si="92"/>
        <v>Jan -2026</v>
      </c>
    </row>
    <row r="2596" spans="1:7" x14ac:dyDescent="0.3">
      <c r="A2596" s="4">
        <v>2174878</v>
      </c>
      <c r="B2596" t="s">
        <v>1976</v>
      </c>
      <c r="C2596" s="3" t="s">
        <v>1010</v>
      </c>
      <c r="D2596" s="3" t="s">
        <v>209</v>
      </c>
      <c r="E2596" s="3" t="s">
        <v>196</v>
      </c>
      <c r="F2596" s="1">
        <v>46042</v>
      </c>
      <c r="G2596" t="str">
        <f t="shared" si="92"/>
        <v>Jan -2026</v>
      </c>
    </row>
    <row r="2597" spans="1:7" x14ac:dyDescent="0.3">
      <c r="A2597" s="4">
        <v>2169932</v>
      </c>
      <c r="B2597" t="s">
        <v>337</v>
      </c>
      <c r="C2597" s="3" t="s">
        <v>1010</v>
      </c>
      <c r="D2597" s="3" t="s">
        <v>1020</v>
      </c>
      <c r="E2597" s="3" t="s">
        <v>338</v>
      </c>
      <c r="F2597" s="1">
        <v>46042</v>
      </c>
      <c r="G2597" t="str">
        <f t="shared" si="92"/>
        <v>Jan -2026</v>
      </c>
    </row>
    <row r="2598" spans="1:7" x14ac:dyDescent="0.3">
      <c r="A2598" s="4">
        <v>2175158</v>
      </c>
      <c r="B2598" t="s">
        <v>1916</v>
      </c>
      <c r="C2598" s="3" t="s">
        <v>1010</v>
      </c>
      <c r="D2598" s="3" t="s">
        <v>1020</v>
      </c>
      <c r="E2598" s="3" t="s">
        <v>338</v>
      </c>
      <c r="F2598" s="1">
        <v>46042</v>
      </c>
      <c r="G2598" t="str">
        <f t="shared" si="92"/>
        <v>Jan -2026</v>
      </c>
    </row>
    <row r="2599" spans="1:7" x14ac:dyDescent="0.3">
      <c r="A2599" s="4">
        <v>2175159</v>
      </c>
      <c r="B2599" t="s">
        <v>1916</v>
      </c>
      <c r="C2599" s="3" t="s">
        <v>1010</v>
      </c>
      <c r="D2599" s="3" t="s">
        <v>1020</v>
      </c>
      <c r="E2599" s="3" t="s">
        <v>338</v>
      </c>
      <c r="F2599" s="1">
        <v>46042</v>
      </c>
      <c r="G2599" t="str">
        <f t="shared" si="92"/>
        <v>Jan -2026</v>
      </c>
    </row>
    <row r="2600" spans="1:7" x14ac:dyDescent="0.3">
      <c r="A2600" s="4">
        <v>2172977</v>
      </c>
      <c r="B2600" t="s">
        <v>1532</v>
      </c>
      <c r="C2600" s="3" t="s">
        <v>1010</v>
      </c>
      <c r="D2600" s="3" t="s">
        <v>209</v>
      </c>
      <c r="E2600" s="3" t="s">
        <v>225</v>
      </c>
      <c r="F2600" s="1">
        <v>46042</v>
      </c>
      <c r="G2600" t="str">
        <f t="shared" si="92"/>
        <v>Jan -2026</v>
      </c>
    </row>
    <row r="2601" spans="1:7" x14ac:dyDescent="0.3">
      <c r="A2601" s="4">
        <v>2172978</v>
      </c>
      <c r="B2601" t="s">
        <v>1532</v>
      </c>
      <c r="C2601" s="3" t="s">
        <v>1010</v>
      </c>
      <c r="D2601" s="3" t="s">
        <v>209</v>
      </c>
      <c r="E2601" s="3" t="s">
        <v>225</v>
      </c>
      <c r="F2601" s="1">
        <v>46042</v>
      </c>
      <c r="G2601" t="str">
        <f t="shared" si="92"/>
        <v>Jan -2026</v>
      </c>
    </row>
    <row r="2602" spans="1:7" x14ac:dyDescent="0.3">
      <c r="A2602" s="4">
        <v>2173099</v>
      </c>
      <c r="B2602" t="s">
        <v>1532</v>
      </c>
      <c r="C2602" s="3" t="s">
        <v>1010</v>
      </c>
      <c r="D2602" s="3" t="s">
        <v>209</v>
      </c>
      <c r="E2602" s="3" t="s">
        <v>225</v>
      </c>
      <c r="F2602" s="1">
        <v>46042</v>
      </c>
      <c r="G2602" t="str">
        <f t="shared" si="92"/>
        <v>Jan -2026</v>
      </c>
    </row>
    <row r="2603" spans="1:7" x14ac:dyDescent="0.3">
      <c r="A2603" s="4">
        <v>2173277</v>
      </c>
      <c r="B2603" t="s">
        <v>1977</v>
      </c>
      <c r="C2603" s="3" t="s">
        <v>1010</v>
      </c>
      <c r="D2603" s="3" t="s">
        <v>209</v>
      </c>
      <c r="E2603" s="3" t="s">
        <v>225</v>
      </c>
      <c r="F2603" s="1">
        <v>46042</v>
      </c>
      <c r="G2603" t="str">
        <f t="shared" si="92"/>
        <v>Jan -2026</v>
      </c>
    </row>
    <row r="2604" spans="1:7" x14ac:dyDescent="0.3">
      <c r="A2604" s="4">
        <v>2173098</v>
      </c>
      <c r="B2604" t="s">
        <v>1532</v>
      </c>
      <c r="C2604" s="3" t="s">
        <v>1010</v>
      </c>
      <c r="D2604" s="3" t="s">
        <v>209</v>
      </c>
      <c r="E2604" s="3" t="s">
        <v>225</v>
      </c>
      <c r="F2604" s="1">
        <v>46042</v>
      </c>
      <c r="G2604" t="str">
        <f t="shared" si="92"/>
        <v>Jan -2026</v>
      </c>
    </row>
    <row r="2605" spans="1:7" x14ac:dyDescent="0.3">
      <c r="A2605" s="4">
        <v>2172782</v>
      </c>
      <c r="B2605" t="s">
        <v>750</v>
      </c>
      <c r="C2605" s="3" t="s">
        <v>1010</v>
      </c>
      <c r="D2605" s="3" t="s">
        <v>1020</v>
      </c>
      <c r="E2605" s="3" t="s">
        <v>338</v>
      </c>
      <c r="F2605" s="1">
        <v>46042</v>
      </c>
      <c r="G2605" t="str">
        <f t="shared" si="92"/>
        <v>Jan -2026</v>
      </c>
    </row>
    <row r="2606" spans="1:7" x14ac:dyDescent="0.3">
      <c r="A2606" s="4">
        <v>100004936</v>
      </c>
      <c r="B2606" t="s">
        <v>1889</v>
      </c>
      <c r="C2606" s="3" t="s">
        <v>1011</v>
      </c>
      <c r="D2606" s="3" t="s">
        <v>972</v>
      </c>
      <c r="E2606" s="3" t="s">
        <v>1569</v>
      </c>
      <c r="F2606" s="1">
        <v>46042</v>
      </c>
      <c r="G2606" t="str">
        <f t="shared" ref="G2606:G2617" si="93">TEXT(F2606,"mmm -YYYY")</f>
        <v>Jan -2026</v>
      </c>
    </row>
    <row r="2607" spans="1:7" x14ac:dyDescent="0.3">
      <c r="A2607" s="4">
        <v>2173152</v>
      </c>
      <c r="B2607" t="s">
        <v>1532</v>
      </c>
      <c r="C2607" s="3" t="s">
        <v>1010</v>
      </c>
      <c r="D2607" s="3" t="s">
        <v>209</v>
      </c>
      <c r="E2607" s="3" t="s">
        <v>225</v>
      </c>
      <c r="F2607" s="1">
        <v>46043</v>
      </c>
      <c r="G2607" t="str">
        <f t="shared" si="93"/>
        <v>Jan -2026</v>
      </c>
    </row>
    <row r="2608" spans="1:7" x14ac:dyDescent="0.3">
      <c r="A2608" s="4">
        <v>2173086</v>
      </c>
      <c r="B2608" t="s">
        <v>1532</v>
      </c>
      <c r="C2608" s="3" t="s">
        <v>1010</v>
      </c>
      <c r="D2608" s="3" t="s">
        <v>209</v>
      </c>
      <c r="E2608" s="3" t="s">
        <v>225</v>
      </c>
      <c r="F2608" s="1">
        <v>46043</v>
      </c>
      <c r="G2608" t="str">
        <f t="shared" si="93"/>
        <v>Jan -2026</v>
      </c>
    </row>
    <row r="2609" spans="1:7" x14ac:dyDescent="0.3">
      <c r="A2609" s="4">
        <v>2147493</v>
      </c>
      <c r="B2609" t="s">
        <v>1978</v>
      </c>
      <c r="C2609" s="3" t="s">
        <v>1010</v>
      </c>
      <c r="D2609" s="3" t="s">
        <v>1020</v>
      </c>
      <c r="E2609" s="3" t="s">
        <v>435</v>
      </c>
      <c r="F2609" s="1">
        <v>46043</v>
      </c>
      <c r="G2609" t="str">
        <f t="shared" si="93"/>
        <v>Jan -2026</v>
      </c>
    </row>
    <row r="2610" spans="1:7" x14ac:dyDescent="0.3">
      <c r="A2610" s="4">
        <v>2152560</v>
      </c>
      <c r="B2610" t="s">
        <v>1979</v>
      </c>
      <c r="C2610" s="3" t="s">
        <v>1010</v>
      </c>
      <c r="D2610" s="3" t="s">
        <v>1020</v>
      </c>
      <c r="E2610" s="3" t="s">
        <v>435</v>
      </c>
      <c r="F2610" s="1">
        <v>46043</v>
      </c>
      <c r="G2610" t="str">
        <f t="shared" si="93"/>
        <v>Jan -2026</v>
      </c>
    </row>
    <row r="2611" spans="1:7" x14ac:dyDescent="0.3">
      <c r="A2611" s="4">
        <v>2152591</v>
      </c>
      <c r="B2611" t="s">
        <v>1980</v>
      </c>
      <c r="C2611" s="3" t="s">
        <v>1010</v>
      </c>
      <c r="D2611" s="3" t="s">
        <v>1020</v>
      </c>
      <c r="E2611" s="3" t="s">
        <v>435</v>
      </c>
      <c r="F2611" s="1">
        <v>46043</v>
      </c>
      <c r="G2611" t="str">
        <f t="shared" si="93"/>
        <v>Jan -2026</v>
      </c>
    </row>
    <row r="2612" spans="1:7" x14ac:dyDescent="0.3">
      <c r="A2612" s="4">
        <v>2175978</v>
      </c>
      <c r="B2612" t="s">
        <v>1981</v>
      </c>
      <c r="C2612" s="3" t="s">
        <v>1010</v>
      </c>
      <c r="D2612" s="3" t="s">
        <v>1020</v>
      </c>
      <c r="E2612" s="3" t="s">
        <v>435</v>
      </c>
      <c r="F2612" s="1">
        <v>46043</v>
      </c>
      <c r="G2612" t="str">
        <f t="shared" si="93"/>
        <v>Jan -2026</v>
      </c>
    </row>
    <row r="2613" spans="1:7" x14ac:dyDescent="0.3">
      <c r="A2613" s="4">
        <v>2175158</v>
      </c>
      <c r="B2613" t="s">
        <v>1916</v>
      </c>
      <c r="C2613" s="3" t="s">
        <v>1010</v>
      </c>
      <c r="D2613" s="3" t="s">
        <v>1020</v>
      </c>
      <c r="E2613" s="3" t="s">
        <v>338</v>
      </c>
      <c r="F2613" s="1">
        <v>46043</v>
      </c>
      <c r="G2613" t="str">
        <f t="shared" si="93"/>
        <v>Jan -2026</v>
      </c>
    </row>
    <row r="2614" spans="1:7" x14ac:dyDescent="0.3">
      <c r="A2614" s="4">
        <v>2175159</v>
      </c>
      <c r="B2614" t="s">
        <v>1916</v>
      </c>
      <c r="C2614" s="3" t="s">
        <v>1010</v>
      </c>
      <c r="D2614" s="3" t="s">
        <v>1020</v>
      </c>
      <c r="E2614" s="3" t="s">
        <v>338</v>
      </c>
      <c r="F2614" s="1">
        <v>46043</v>
      </c>
      <c r="G2614" t="str">
        <f t="shared" si="93"/>
        <v>Jan -2026</v>
      </c>
    </row>
    <row r="2615" spans="1:7" x14ac:dyDescent="0.3">
      <c r="A2615" s="4">
        <v>2178018</v>
      </c>
      <c r="B2615" t="s">
        <v>1982</v>
      </c>
      <c r="C2615" s="3" t="s">
        <v>1010</v>
      </c>
      <c r="D2615" s="3" t="s">
        <v>209</v>
      </c>
      <c r="E2615" s="3" t="s">
        <v>225</v>
      </c>
      <c r="F2615" s="1">
        <v>46043</v>
      </c>
      <c r="G2615" t="str">
        <f t="shared" si="93"/>
        <v>Jan -2026</v>
      </c>
    </row>
    <row r="2616" spans="1:7" x14ac:dyDescent="0.3">
      <c r="A2616" s="4">
        <v>2178127</v>
      </c>
      <c r="B2616" t="s">
        <v>1982</v>
      </c>
      <c r="C2616" s="3" t="s">
        <v>1010</v>
      </c>
      <c r="D2616" s="3" t="s">
        <v>209</v>
      </c>
      <c r="E2616" s="3" t="s">
        <v>225</v>
      </c>
      <c r="F2616" s="1">
        <v>46043</v>
      </c>
      <c r="G2616" t="str">
        <f t="shared" si="93"/>
        <v>Jan -2026</v>
      </c>
    </row>
    <row r="2617" spans="1:7" x14ac:dyDescent="0.3">
      <c r="A2617" s="4">
        <v>2178337</v>
      </c>
      <c r="B2617" t="s">
        <v>1983</v>
      </c>
      <c r="C2617" s="3" t="s">
        <v>1010</v>
      </c>
      <c r="D2617" s="3" t="s">
        <v>209</v>
      </c>
      <c r="E2617" s="3" t="s">
        <v>225</v>
      </c>
      <c r="F2617" s="1">
        <v>46043</v>
      </c>
      <c r="G2617" t="str">
        <f t="shared" si="93"/>
        <v>Jan -2026</v>
      </c>
    </row>
    <row r="2618" spans="1:7" x14ac:dyDescent="0.3">
      <c r="A2618" s="4">
        <v>100005214</v>
      </c>
      <c r="B2618" t="s">
        <v>1984</v>
      </c>
      <c r="C2618" s="3" t="s">
        <v>1011</v>
      </c>
      <c r="D2618" s="3" t="s">
        <v>972</v>
      </c>
      <c r="E2618" s="3" t="s">
        <v>982</v>
      </c>
      <c r="F2618" s="1">
        <v>46043</v>
      </c>
      <c r="G2618" t="str">
        <f t="shared" ref="G2618:G2630" si="94">TEXT(F2618,"mmm -YYYY")</f>
        <v>Jan -2026</v>
      </c>
    </row>
    <row r="2619" spans="1:7" x14ac:dyDescent="0.3">
      <c r="A2619" s="4">
        <v>100005232</v>
      </c>
      <c r="B2619" t="s">
        <v>1478</v>
      </c>
      <c r="C2619" s="3" t="s">
        <v>1011</v>
      </c>
      <c r="D2619" s="3" t="s">
        <v>972</v>
      </c>
      <c r="E2619" s="3" t="s">
        <v>1103</v>
      </c>
      <c r="F2619" s="1">
        <v>46043</v>
      </c>
      <c r="G2619" t="str">
        <f t="shared" si="94"/>
        <v>Jan -2026</v>
      </c>
    </row>
    <row r="2620" spans="1:7" x14ac:dyDescent="0.3">
      <c r="A2620" s="4">
        <v>100005206</v>
      </c>
      <c r="B2620" t="s">
        <v>1985</v>
      </c>
      <c r="C2620" s="3" t="s">
        <v>1011</v>
      </c>
      <c r="D2620" s="3" t="s">
        <v>972</v>
      </c>
      <c r="E2620" s="3" t="s">
        <v>976</v>
      </c>
      <c r="F2620" s="1">
        <v>46043</v>
      </c>
      <c r="G2620" t="str">
        <f t="shared" si="94"/>
        <v>Jan -2026</v>
      </c>
    </row>
    <row r="2621" spans="1:7" x14ac:dyDescent="0.3">
      <c r="A2621" s="4">
        <v>100005207</v>
      </c>
      <c r="B2621" t="s">
        <v>1986</v>
      </c>
      <c r="C2621" s="3" t="s">
        <v>1011</v>
      </c>
      <c r="D2621" s="3" t="s">
        <v>972</v>
      </c>
      <c r="E2621" s="3" t="s">
        <v>970</v>
      </c>
      <c r="F2621" s="1">
        <v>46043</v>
      </c>
      <c r="G2621" t="str">
        <f t="shared" si="94"/>
        <v>Jan -2026</v>
      </c>
    </row>
    <row r="2622" spans="1:7" x14ac:dyDescent="0.3">
      <c r="A2622" s="4">
        <v>100005223</v>
      </c>
      <c r="B2622" t="s">
        <v>1987</v>
      </c>
      <c r="C2622" s="3" t="s">
        <v>1011</v>
      </c>
      <c r="D2622" s="3" t="s">
        <v>972</v>
      </c>
      <c r="E2622" s="3" t="s">
        <v>1569</v>
      </c>
      <c r="F2622" s="1">
        <v>46043</v>
      </c>
      <c r="G2622" t="str">
        <f t="shared" si="94"/>
        <v>Jan -2026</v>
      </c>
    </row>
    <row r="2623" spans="1:7" x14ac:dyDescent="0.3">
      <c r="A2623" s="4">
        <v>100005234</v>
      </c>
      <c r="B2623" t="s">
        <v>1988</v>
      </c>
      <c r="C2623" s="3" t="s">
        <v>1604</v>
      </c>
      <c r="D2623" s="3" t="s">
        <v>1993</v>
      </c>
      <c r="E2623" s="3" t="s">
        <v>967</v>
      </c>
      <c r="F2623" s="1">
        <v>46043</v>
      </c>
      <c r="G2623" t="str">
        <f t="shared" si="94"/>
        <v>Jan -2026</v>
      </c>
    </row>
    <row r="2624" spans="1:7" x14ac:dyDescent="0.3">
      <c r="A2624" s="4">
        <v>100005079</v>
      </c>
      <c r="B2624" t="s">
        <v>1903</v>
      </c>
      <c r="C2624" s="3" t="s">
        <v>1011</v>
      </c>
      <c r="D2624" s="3" t="s">
        <v>975</v>
      </c>
      <c r="E2624" s="3" t="s">
        <v>1569</v>
      </c>
      <c r="F2624" s="1">
        <v>46043</v>
      </c>
      <c r="G2624" t="str">
        <f t="shared" si="94"/>
        <v>Jan -2026</v>
      </c>
    </row>
    <row r="2625" spans="1:7" x14ac:dyDescent="0.3">
      <c r="A2625" s="4">
        <v>900006040</v>
      </c>
      <c r="B2625" t="s">
        <v>1970</v>
      </c>
      <c r="C2625" s="3" t="s">
        <v>1604</v>
      </c>
      <c r="D2625" s="3" t="s">
        <v>1993</v>
      </c>
      <c r="E2625" s="3" t="s">
        <v>1877</v>
      </c>
      <c r="F2625" s="1">
        <v>46043</v>
      </c>
      <c r="G2625" t="str">
        <f t="shared" si="94"/>
        <v>Jan -2026</v>
      </c>
    </row>
    <row r="2626" spans="1:7" x14ac:dyDescent="0.3">
      <c r="A2626" s="4">
        <v>900006052</v>
      </c>
      <c r="B2626" t="s">
        <v>1989</v>
      </c>
      <c r="C2626" s="3" t="s">
        <v>1604</v>
      </c>
      <c r="D2626" s="3" t="s">
        <v>1993</v>
      </c>
      <c r="E2626" s="3" t="s">
        <v>1877</v>
      </c>
      <c r="F2626" s="1">
        <v>46043</v>
      </c>
      <c r="G2626" t="str">
        <f t="shared" si="94"/>
        <v>Jan -2026</v>
      </c>
    </row>
    <row r="2627" spans="1:7" x14ac:dyDescent="0.3">
      <c r="A2627" s="4">
        <v>100005221</v>
      </c>
      <c r="B2627" t="s">
        <v>1990</v>
      </c>
      <c r="C2627" s="3" t="s">
        <v>1604</v>
      </c>
      <c r="D2627" s="3" t="s">
        <v>1994</v>
      </c>
      <c r="E2627" s="3" t="s">
        <v>967</v>
      </c>
      <c r="F2627" s="1">
        <v>46043</v>
      </c>
      <c r="G2627" t="str">
        <f t="shared" si="94"/>
        <v>Jan -2026</v>
      </c>
    </row>
    <row r="2628" spans="1:7" x14ac:dyDescent="0.3">
      <c r="A2628" s="4">
        <v>100005216</v>
      </c>
      <c r="B2628" t="s">
        <v>1991</v>
      </c>
      <c r="C2628" s="3" t="s">
        <v>1011</v>
      </c>
      <c r="D2628" s="3" t="s">
        <v>972</v>
      </c>
      <c r="E2628" s="3" t="s">
        <v>968</v>
      </c>
      <c r="F2628" s="1">
        <v>46043</v>
      </c>
      <c r="G2628" t="str">
        <f t="shared" si="94"/>
        <v>Jan -2026</v>
      </c>
    </row>
    <row r="2629" spans="1:7" x14ac:dyDescent="0.3">
      <c r="A2629" s="4">
        <v>900006066</v>
      </c>
      <c r="B2629" t="s">
        <v>1992</v>
      </c>
      <c r="C2629" s="3" t="s">
        <v>1604</v>
      </c>
      <c r="D2629" s="3" t="s">
        <v>1993</v>
      </c>
      <c r="E2629" s="3" t="s">
        <v>1877</v>
      </c>
      <c r="F2629" s="1">
        <v>46043</v>
      </c>
      <c r="G2629" t="str">
        <f t="shared" si="94"/>
        <v>Jan -2026</v>
      </c>
    </row>
    <row r="2630" spans="1:7" x14ac:dyDescent="0.3">
      <c r="A2630" s="4">
        <v>100005217</v>
      </c>
      <c r="B2630" t="s">
        <v>1995</v>
      </c>
      <c r="C2630" s="3" t="s">
        <v>1011</v>
      </c>
      <c r="D2630" s="3" t="s">
        <v>1011</v>
      </c>
      <c r="E2630" s="3" t="s">
        <v>968</v>
      </c>
      <c r="F2630" s="1">
        <v>46044</v>
      </c>
      <c r="G2630" t="str">
        <f t="shared" si="94"/>
        <v>Jan -2026</v>
      </c>
    </row>
    <row r="2631" spans="1:7" x14ac:dyDescent="0.3">
      <c r="A2631" s="4">
        <v>100005242</v>
      </c>
      <c r="B2631" t="s">
        <v>1996</v>
      </c>
      <c r="C2631" s="3" t="s">
        <v>1011</v>
      </c>
      <c r="D2631" s="3" t="s">
        <v>1011</v>
      </c>
      <c r="E2631" s="3" t="s">
        <v>1569</v>
      </c>
      <c r="F2631" s="1">
        <v>46044</v>
      </c>
      <c r="G2631" t="str">
        <f t="shared" ref="G2631:G2694" si="95">TEXT(F2631,"mmm -YYYY")</f>
        <v>Jan -2026</v>
      </c>
    </row>
    <row r="2632" spans="1:7" x14ac:dyDescent="0.3">
      <c r="A2632" s="4">
        <v>100005221</v>
      </c>
      <c r="B2632" t="s">
        <v>1990</v>
      </c>
      <c r="C2632" s="3" t="s">
        <v>1604</v>
      </c>
      <c r="D2632" s="3" t="s">
        <v>1998</v>
      </c>
      <c r="E2632" s="3" t="s">
        <v>967</v>
      </c>
      <c r="F2632" s="1">
        <v>46044</v>
      </c>
      <c r="G2632" t="str">
        <f t="shared" si="95"/>
        <v>Jan -2026</v>
      </c>
    </row>
    <row r="2633" spans="1:7" x14ac:dyDescent="0.3">
      <c r="A2633" s="4">
        <v>100005252</v>
      </c>
      <c r="B2633" t="s">
        <v>1997</v>
      </c>
      <c r="C2633" s="3" t="s">
        <v>1011</v>
      </c>
      <c r="D2633" s="3" t="s">
        <v>1011</v>
      </c>
      <c r="E2633" s="3" t="s">
        <v>976</v>
      </c>
      <c r="F2633" s="1">
        <v>46044</v>
      </c>
      <c r="G2633" t="str">
        <f t="shared" si="95"/>
        <v>Jan -2026</v>
      </c>
    </row>
    <row r="2634" spans="1:7" x14ac:dyDescent="0.3">
      <c r="A2634" s="4">
        <v>900006040</v>
      </c>
      <c r="B2634" t="s">
        <v>1970</v>
      </c>
      <c r="C2634" s="3" t="s">
        <v>1010</v>
      </c>
      <c r="D2634" s="3" t="s">
        <v>1971</v>
      </c>
      <c r="E2634" s="3" t="s">
        <v>1877</v>
      </c>
      <c r="F2634" s="1">
        <v>46044</v>
      </c>
      <c r="G2634" t="str">
        <f t="shared" si="95"/>
        <v>Jan -2026</v>
      </c>
    </row>
    <row r="2635" spans="1:7" x14ac:dyDescent="0.3">
      <c r="A2635" s="4">
        <v>900006055</v>
      </c>
      <c r="B2635" t="s">
        <v>1999</v>
      </c>
      <c r="C2635" s="3" t="s">
        <v>1010</v>
      </c>
      <c r="D2635" s="3" t="s">
        <v>1900</v>
      </c>
      <c r="E2635" s="3" t="s">
        <v>1877</v>
      </c>
      <c r="F2635" s="1">
        <v>46044</v>
      </c>
      <c r="G2635" t="str">
        <f t="shared" si="95"/>
        <v>Jan -2026</v>
      </c>
    </row>
    <row r="2636" spans="1:7" x14ac:dyDescent="0.3">
      <c r="A2636" s="4">
        <v>900006069</v>
      </c>
      <c r="B2636" t="s">
        <v>2000</v>
      </c>
      <c r="C2636" s="3" t="s">
        <v>1010</v>
      </c>
      <c r="D2636" s="3" t="s">
        <v>1900</v>
      </c>
      <c r="E2636" s="3" t="s">
        <v>1877</v>
      </c>
      <c r="F2636" s="1">
        <v>46044</v>
      </c>
      <c r="G2636" t="str">
        <f t="shared" si="95"/>
        <v>Jan -2026</v>
      </c>
    </row>
    <row r="2637" spans="1:7" x14ac:dyDescent="0.3">
      <c r="A2637" s="4">
        <v>900005064</v>
      </c>
      <c r="B2637" t="s">
        <v>2001</v>
      </c>
      <c r="C2637" s="3" t="s">
        <v>1010</v>
      </c>
      <c r="D2637" s="3" t="s">
        <v>1900</v>
      </c>
      <c r="E2637" s="3" t="s">
        <v>1877</v>
      </c>
      <c r="F2637" s="1">
        <v>46044</v>
      </c>
      <c r="G2637" t="str">
        <f t="shared" si="95"/>
        <v>Jan -2026</v>
      </c>
    </row>
    <row r="2638" spans="1:7" x14ac:dyDescent="0.3">
      <c r="A2638" s="4">
        <v>900006086</v>
      </c>
      <c r="B2638" t="s">
        <v>2002</v>
      </c>
      <c r="C2638" s="3" t="s">
        <v>1010</v>
      </c>
      <c r="D2638" s="3" t="s">
        <v>1900</v>
      </c>
      <c r="E2638" s="3" t="s">
        <v>1877</v>
      </c>
      <c r="F2638" s="1">
        <v>46044</v>
      </c>
      <c r="G2638" t="str">
        <f t="shared" si="95"/>
        <v>Jan -2026</v>
      </c>
    </row>
    <row r="2639" spans="1:7" x14ac:dyDescent="0.3">
      <c r="A2639" s="4">
        <v>900006037</v>
      </c>
      <c r="B2639" t="s">
        <v>2003</v>
      </c>
      <c r="C2639" s="3" t="s">
        <v>1010</v>
      </c>
      <c r="D2639" s="3" t="s">
        <v>1551</v>
      </c>
      <c r="E2639" s="3" t="s">
        <v>1877</v>
      </c>
      <c r="F2639" s="1">
        <v>46044</v>
      </c>
      <c r="G2639" t="str">
        <f t="shared" si="95"/>
        <v>Jan -2026</v>
      </c>
    </row>
    <row r="2640" spans="1:7" x14ac:dyDescent="0.3">
      <c r="A2640" s="4">
        <v>900006035</v>
      </c>
      <c r="B2640" t="s">
        <v>2004</v>
      </c>
      <c r="C2640" s="3" t="s">
        <v>1010</v>
      </c>
      <c r="D2640" s="3" t="s">
        <v>1551</v>
      </c>
      <c r="E2640" s="3" t="s">
        <v>1877</v>
      </c>
      <c r="F2640" s="1">
        <v>46044</v>
      </c>
      <c r="G2640" t="str">
        <f t="shared" si="95"/>
        <v>Jan -2026</v>
      </c>
    </row>
    <row r="2641" spans="1:7" x14ac:dyDescent="0.3">
      <c r="A2641" s="4">
        <v>900006060</v>
      </c>
      <c r="B2641" t="s">
        <v>2005</v>
      </c>
      <c r="C2641" s="3" t="s">
        <v>1010</v>
      </c>
      <c r="D2641" s="3" t="s">
        <v>209</v>
      </c>
      <c r="E2641" s="3" t="s">
        <v>1877</v>
      </c>
      <c r="F2641" s="1">
        <v>46044</v>
      </c>
      <c r="G2641" t="str">
        <f t="shared" si="95"/>
        <v>Jan -2026</v>
      </c>
    </row>
    <row r="2642" spans="1:7" x14ac:dyDescent="0.3">
      <c r="A2642" s="4">
        <v>2180488</v>
      </c>
      <c r="B2642" t="s">
        <v>582</v>
      </c>
      <c r="C2642" s="3" t="s">
        <v>1010</v>
      </c>
      <c r="D2642" s="3" t="s">
        <v>1020</v>
      </c>
      <c r="E2642" s="3" t="s">
        <v>338</v>
      </c>
      <c r="F2642" s="1">
        <v>46044</v>
      </c>
      <c r="G2642" t="str">
        <f t="shared" si="95"/>
        <v>Jan -2026</v>
      </c>
    </row>
    <row r="2643" spans="1:7" x14ac:dyDescent="0.3">
      <c r="A2643" s="4">
        <v>2180530</v>
      </c>
      <c r="B2643" t="s">
        <v>2006</v>
      </c>
      <c r="C2643" s="3" t="s">
        <v>1010</v>
      </c>
      <c r="D2643" s="3" t="s">
        <v>1020</v>
      </c>
      <c r="E2643" s="3" t="s">
        <v>228</v>
      </c>
      <c r="F2643" s="1">
        <v>46044</v>
      </c>
      <c r="G2643" t="str">
        <f t="shared" si="95"/>
        <v>Jan -2026</v>
      </c>
    </row>
    <row r="2644" spans="1:7" x14ac:dyDescent="0.3">
      <c r="A2644" s="4">
        <v>2180548</v>
      </c>
      <c r="B2644" t="s">
        <v>2007</v>
      </c>
      <c r="C2644" s="3" t="s">
        <v>1010</v>
      </c>
      <c r="D2644" s="3" t="s">
        <v>1020</v>
      </c>
      <c r="E2644" s="3" t="s">
        <v>228</v>
      </c>
      <c r="F2644" s="1">
        <v>46044</v>
      </c>
      <c r="G2644" t="str">
        <f t="shared" si="95"/>
        <v>Jan -2026</v>
      </c>
    </row>
    <row r="2645" spans="1:7" x14ac:dyDescent="0.3">
      <c r="A2645" s="4">
        <v>2180550</v>
      </c>
      <c r="B2645" t="s">
        <v>2008</v>
      </c>
      <c r="C2645" s="3" t="s">
        <v>1010</v>
      </c>
      <c r="D2645" s="3" t="s">
        <v>1020</v>
      </c>
      <c r="E2645" s="3" t="s">
        <v>228</v>
      </c>
      <c r="F2645" s="1">
        <v>46044</v>
      </c>
      <c r="G2645" t="str">
        <f t="shared" si="95"/>
        <v>Jan -2026</v>
      </c>
    </row>
    <row r="2646" spans="1:7" x14ac:dyDescent="0.3">
      <c r="A2646" s="4">
        <v>2180554</v>
      </c>
      <c r="B2646" t="s">
        <v>2008</v>
      </c>
      <c r="C2646" s="3" t="s">
        <v>1010</v>
      </c>
      <c r="D2646" s="3" t="s">
        <v>1020</v>
      </c>
      <c r="E2646" s="3" t="s">
        <v>228</v>
      </c>
      <c r="F2646" s="1">
        <v>46044</v>
      </c>
      <c r="G2646" t="str">
        <f t="shared" si="95"/>
        <v>Jan -2026</v>
      </c>
    </row>
    <row r="2647" spans="1:7" x14ac:dyDescent="0.3">
      <c r="A2647" s="4">
        <v>2180555</v>
      </c>
      <c r="B2647" t="s">
        <v>2008</v>
      </c>
      <c r="C2647" s="3" t="s">
        <v>1010</v>
      </c>
      <c r="D2647" s="3" t="s">
        <v>1020</v>
      </c>
      <c r="E2647" s="3" t="s">
        <v>228</v>
      </c>
      <c r="F2647" s="1">
        <v>46044</v>
      </c>
      <c r="G2647" t="str">
        <f t="shared" si="95"/>
        <v>Jan -2026</v>
      </c>
    </row>
    <row r="2648" spans="1:7" x14ac:dyDescent="0.3">
      <c r="A2648" s="4">
        <v>2180574</v>
      </c>
      <c r="B2648" t="s">
        <v>2008</v>
      </c>
      <c r="C2648" s="3" t="s">
        <v>1010</v>
      </c>
      <c r="D2648" s="3" t="s">
        <v>1020</v>
      </c>
      <c r="E2648" s="3" t="s">
        <v>228</v>
      </c>
      <c r="F2648" s="1">
        <v>46044</v>
      </c>
      <c r="G2648" t="str">
        <f t="shared" si="95"/>
        <v>Jan -2026</v>
      </c>
    </row>
    <row r="2649" spans="1:7" x14ac:dyDescent="0.3">
      <c r="A2649" s="4">
        <v>2180575</v>
      </c>
      <c r="B2649" t="s">
        <v>2008</v>
      </c>
      <c r="C2649" s="3" t="s">
        <v>1010</v>
      </c>
      <c r="D2649" s="3" t="s">
        <v>1020</v>
      </c>
      <c r="E2649" s="3" t="s">
        <v>228</v>
      </c>
      <c r="F2649" s="1">
        <v>46044</v>
      </c>
      <c r="G2649" t="str">
        <f t="shared" si="95"/>
        <v>Jan -2026</v>
      </c>
    </row>
    <row r="2650" spans="1:7" x14ac:dyDescent="0.3">
      <c r="A2650" s="4">
        <v>2180572</v>
      </c>
      <c r="B2650" t="s">
        <v>1982</v>
      </c>
      <c r="C2650" s="3" t="s">
        <v>1010</v>
      </c>
      <c r="D2650" s="3" t="s">
        <v>209</v>
      </c>
      <c r="E2650" s="3" t="s">
        <v>225</v>
      </c>
      <c r="F2650" s="1">
        <v>46044</v>
      </c>
      <c r="G2650" t="str">
        <f t="shared" si="95"/>
        <v>Jan -2026</v>
      </c>
    </row>
    <row r="2651" spans="1:7" x14ac:dyDescent="0.3">
      <c r="A2651" s="4">
        <v>2166285</v>
      </c>
      <c r="B2651" t="s">
        <v>41</v>
      </c>
      <c r="C2651" s="3" t="s">
        <v>1010</v>
      </c>
      <c r="D2651" s="3" t="s">
        <v>1020</v>
      </c>
      <c r="E2651" s="3" t="s">
        <v>211</v>
      </c>
      <c r="F2651" s="1">
        <v>46044</v>
      </c>
      <c r="G2651" t="str">
        <f t="shared" si="95"/>
        <v>Jan -2026</v>
      </c>
    </row>
    <row r="2652" spans="1:7" x14ac:dyDescent="0.3">
      <c r="A2652" s="4">
        <v>2181208</v>
      </c>
      <c r="B2652" t="s">
        <v>1977</v>
      </c>
      <c r="C2652" s="3" t="s">
        <v>1010</v>
      </c>
      <c r="D2652" s="3" t="s">
        <v>209</v>
      </c>
      <c r="E2652" s="3" t="s">
        <v>225</v>
      </c>
      <c r="F2652" s="1">
        <v>46045</v>
      </c>
      <c r="G2652" t="str">
        <f t="shared" si="95"/>
        <v>Jan -2026</v>
      </c>
    </row>
    <row r="2653" spans="1:7" x14ac:dyDescent="0.3">
      <c r="A2653" s="4">
        <v>2181381</v>
      </c>
      <c r="B2653" t="s">
        <v>1977</v>
      </c>
      <c r="C2653" s="3" t="s">
        <v>1010</v>
      </c>
      <c r="D2653" s="3" t="s">
        <v>209</v>
      </c>
      <c r="E2653" s="3" t="s">
        <v>225</v>
      </c>
      <c r="F2653" s="1">
        <v>46045</v>
      </c>
      <c r="G2653" t="str">
        <f t="shared" si="95"/>
        <v>Jan -2026</v>
      </c>
    </row>
    <row r="2654" spans="1:7" x14ac:dyDescent="0.3">
      <c r="A2654" s="4">
        <v>2181382</v>
      </c>
      <c r="B2654" t="s">
        <v>1975</v>
      </c>
      <c r="C2654" s="3" t="s">
        <v>1010</v>
      </c>
      <c r="D2654" s="3" t="s">
        <v>209</v>
      </c>
      <c r="E2654" s="3" t="s">
        <v>225</v>
      </c>
      <c r="F2654" s="1">
        <v>46045</v>
      </c>
      <c r="G2654" t="str">
        <f t="shared" si="95"/>
        <v>Jan -2026</v>
      </c>
    </row>
    <row r="2655" spans="1:7" x14ac:dyDescent="0.3">
      <c r="A2655" s="4">
        <v>2181383</v>
      </c>
      <c r="B2655" t="s">
        <v>1975</v>
      </c>
      <c r="C2655" s="3" t="s">
        <v>1010</v>
      </c>
      <c r="D2655" s="3" t="s">
        <v>209</v>
      </c>
      <c r="E2655" s="3" t="s">
        <v>225</v>
      </c>
      <c r="F2655" s="1">
        <v>46045</v>
      </c>
      <c r="G2655" t="str">
        <f t="shared" si="95"/>
        <v>Jan -2026</v>
      </c>
    </row>
    <row r="2656" spans="1:7" x14ac:dyDescent="0.3">
      <c r="A2656" s="4">
        <v>2181411</v>
      </c>
      <c r="B2656" t="s">
        <v>1975</v>
      </c>
      <c r="C2656" s="3" t="s">
        <v>1010</v>
      </c>
      <c r="D2656" s="3" t="s">
        <v>209</v>
      </c>
      <c r="E2656" s="3" t="s">
        <v>225</v>
      </c>
      <c r="F2656" s="1">
        <v>46045</v>
      </c>
      <c r="G2656" t="str">
        <f t="shared" si="95"/>
        <v>Jan -2026</v>
      </c>
    </row>
    <row r="2657" spans="1:7" x14ac:dyDescent="0.3">
      <c r="A2657" s="4">
        <v>2182933</v>
      </c>
      <c r="B2657" t="s">
        <v>1452</v>
      </c>
      <c r="C2657" s="3" t="s">
        <v>1010</v>
      </c>
      <c r="D2657" s="3" t="s">
        <v>209</v>
      </c>
      <c r="E2657" s="3" t="s">
        <v>225</v>
      </c>
      <c r="F2657" s="1">
        <v>46045</v>
      </c>
      <c r="G2657" t="str">
        <f t="shared" si="95"/>
        <v>Jan -2026</v>
      </c>
    </row>
    <row r="2658" spans="1:7" x14ac:dyDescent="0.3">
      <c r="A2658" s="4">
        <v>2180673</v>
      </c>
      <c r="B2658" t="s">
        <v>2009</v>
      </c>
      <c r="C2658" s="3" t="s">
        <v>1010</v>
      </c>
      <c r="D2658" s="3" t="s">
        <v>1020</v>
      </c>
      <c r="E2658" s="3" t="s">
        <v>435</v>
      </c>
      <c r="F2658" s="1">
        <v>46045</v>
      </c>
      <c r="G2658" t="str">
        <f t="shared" si="95"/>
        <v>Jan -2026</v>
      </c>
    </row>
    <row r="2659" spans="1:7" x14ac:dyDescent="0.3">
      <c r="A2659" s="4">
        <v>2182827</v>
      </c>
      <c r="B2659" t="s">
        <v>407</v>
      </c>
      <c r="C2659" s="3" t="s">
        <v>1010</v>
      </c>
      <c r="D2659" s="3" t="s">
        <v>1020</v>
      </c>
      <c r="E2659" s="3" t="s">
        <v>338</v>
      </c>
      <c r="F2659" s="1">
        <v>46045</v>
      </c>
      <c r="G2659" t="str">
        <f t="shared" si="95"/>
        <v>Jan -2026</v>
      </c>
    </row>
    <row r="2660" spans="1:7" x14ac:dyDescent="0.3">
      <c r="A2660" s="4">
        <v>2181210</v>
      </c>
      <c r="B2660" t="s">
        <v>2010</v>
      </c>
      <c r="C2660" s="3" t="s">
        <v>1010</v>
      </c>
      <c r="D2660" s="3" t="s">
        <v>1259</v>
      </c>
      <c r="E2660" s="3" t="s">
        <v>228</v>
      </c>
      <c r="F2660" s="1">
        <v>46045</v>
      </c>
      <c r="G2660" t="str">
        <f t="shared" si="95"/>
        <v>Jan -2026</v>
      </c>
    </row>
    <row r="2661" spans="1:7" x14ac:dyDescent="0.3">
      <c r="A2661" s="4">
        <v>2180572</v>
      </c>
      <c r="B2661" t="s">
        <v>1982</v>
      </c>
      <c r="C2661" s="3" t="s">
        <v>1010</v>
      </c>
      <c r="D2661" s="3" t="s">
        <v>1551</v>
      </c>
      <c r="E2661" s="3" t="s">
        <v>225</v>
      </c>
      <c r="F2661" s="1">
        <v>46045</v>
      </c>
      <c r="G2661" t="str">
        <f t="shared" si="95"/>
        <v>Jan -2026</v>
      </c>
    </row>
    <row r="2662" spans="1:7" x14ac:dyDescent="0.3">
      <c r="A2662" s="4">
        <v>2183070</v>
      </c>
      <c r="B2662" t="s">
        <v>2011</v>
      </c>
      <c r="C2662" s="3" t="s">
        <v>1010</v>
      </c>
      <c r="D2662" s="3" t="s">
        <v>209</v>
      </c>
      <c r="E2662" s="3" t="s">
        <v>196</v>
      </c>
      <c r="F2662" s="1">
        <v>46045</v>
      </c>
      <c r="G2662" t="str">
        <f t="shared" si="95"/>
        <v>Jan -2026</v>
      </c>
    </row>
    <row r="2663" spans="1:7" x14ac:dyDescent="0.3">
      <c r="A2663" s="4">
        <v>2182961</v>
      </c>
      <c r="B2663" t="s">
        <v>2012</v>
      </c>
      <c r="C2663" s="3" t="s">
        <v>1010</v>
      </c>
      <c r="D2663" s="3" t="s">
        <v>209</v>
      </c>
      <c r="E2663" s="3" t="s">
        <v>225</v>
      </c>
      <c r="F2663" s="1">
        <v>46045</v>
      </c>
      <c r="G2663" t="str">
        <f t="shared" si="95"/>
        <v>Jan -2026</v>
      </c>
    </row>
    <row r="2664" spans="1:7" x14ac:dyDescent="0.3">
      <c r="A2664" s="4">
        <v>2182827</v>
      </c>
      <c r="B2664" t="s">
        <v>407</v>
      </c>
      <c r="C2664" s="3" t="s">
        <v>1010</v>
      </c>
      <c r="D2664" s="3" t="s">
        <v>1020</v>
      </c>
      <c r="E2664" s="3" t="s">
        <v>338</v>
      </c>
      <c r="F2664" s="1">
        <v>46045</v>
      </c>
      <c r="G2664" t="str">
        <f t="shared" si="95"/>
        <v>Jan -2026</v>
      </c>
    </row>
    <row r="2665" spans="1:7" x14ac:dyDescent="0.3">
      <c r="A2665" s="4">
        <v>2178203</v>
      </c>
      <c r="B2665" t="s">
        <v>53</v>
      </c>
      <c r="C2665" s="3" t="s">
        <v>1010</v>
      </c>
      <c r="D2665" s="3" t="s">
        <v>1020</v>
      </c>
      <c r="E2665" s="3" t="s">
        <v>268</v>
      </c>
      <c r="F2665" s="1">
        <v>46045</v>
      </c>
      <c r="G2665" t="str">
        <f t="shared" si="95"/>
        <v>Jan -2026</v>
      </c>
    </row>
    <row r="2666" spans="1:7" x14ac:dyDescent="0.3">
      <c r="A2666" s="4">
        <v>2177561</v>
      </c>
      <c r="B2666" t="s">
        <v>53</v>
      </c>
      <c r="C2666" s="3" t="s">
        <v>1010</v>
      </c>
      <c r="D2666" s="3" t="s">
        <v>1020</v>
      </c>
      <c r="E2666" s="3" t="s">
        <v>268</v>
      </c>
      <c r="F2666" s="1">
        <v>46045</v>
      </c>
      <c r="G2666" t="str">
        <f t="shared" si="95"/>
        <v>Jan -2026</v>
      </c>
    </row>
    <row r="2667" spans="1:7" x14ac:dyDescent="0.3">
      <c r="A2667" s="4">
        <v>2180488</v>
      </c>
      <c r="B2667" t="s">
        <v>582</v>
      </c>
      <c r="C2667" s="3" t="s">
        <v>1010</v>
      </c>
      <c r="D2667" s="3" t="s">
        <v>1020</v>
      </c>
      <c r="E2667" s="3" t="s">
        <v>338</v>
      </c>
      <c r="F2667" s="1">
        <v>46045</v>
      </c>
      <c r="G2667" t="str">
        <f t="shared" si="95"/>
        <v>Jan -2026</v>
      </c>
    </row>
    <row r="2668" spans="1:7" x14ac:dyDescent="0.3">
      <c r="A2668" s="4">
        <v>900006124</v>
      </c>
      <c r="B2668" t="s">
        <v>2013</v>
      </c>
      <c r="C2668" s="3" t="s">
        <v>1010</v>
      </c>
      <c r="D2668" s="3" t="s">
        <v>1551</v>
      </c>
      <c r="E2668" s="3" t="s">
        <v>1877</v>
      </c>
      <c r="F2668" s="1">
        <v>46045</v>
      </c>
      <c r="G2668" t="str">
        <f t="shared" si="95"/>
        <v>Jan -2026</v>
      </c>
    </row>
    <row r="2669" spans="1:7" x14ac:dyDescent="0.3">
      <c r="A2669" s="4">
        <v>2172301</v>
      </c>
      <c r="B2669" t="s">
        <v>41</v>
      </c>
      <c r="C2669" s="3" t="s">
        <v>1010</v>
      </c>
      <c r="D2669" s="3" t="s">
        <v>1020</v>
      </c>
      <c r="E2669" s="3" t="s">
        <v>211</v>
      </c>
      <c r="F2669" s="1">
        <v>46045</v>
      </c>
      <c r="G2669" t="str">
        <f t="shared" si="95"/>
        <v>Jan -2026</v>
      </c>
    </row>
    <row r="2670" spans="1:7" x14ac:dyDescent="0.3">
      <c r="A2670" s="4">
        <v>100005254</v>
      </c>
      <c r="B2670" t="s">
        <v>2014</v>
      </c>
      <c r="C2670" s="3" t="s">
        <v>1011</v>
      </c>
      <c r="D2670" s="3" t="s">
        <v>2015</v>
      </c>
      <c r="E2670" t="s">
        <v>1569</v>
      </c>
      <c r="F2670" s="1">
        <v>46045</v>
      </c>
      <c r="G2670" t="str">
        <f t="shared" si="95"/>
        <v>Jan -2026</v>
      </c>
    </row>
    <row r="2671" spans="1:7" x14ac:dyDescent="0.3">
      <c r="A2671" s="4">
        <v>100005257</v>
      </c>
      <c r="B2671" t="s">
        <v>1986</v>
      </c>
      <c r="C2671" s="3" t="s">
        <v>1011</v>
      </c>
      <c r="D2671" s="3" t="s">
        <v>2015</v>
      </c>
      <c r="E2671" t="s">
        <v>970</v>
      </c>
      <c r="F2671" s="1">
        <v>46045</v>
      </c>
      <c r="G2671" t="str">
        <f t="shared" si="95"/>
        <v>Jan -2026</v>
      </c>
    </row>
    <row r="2672" spans="1:7" x14ac:dyDescent="0.3">
      <c r="A2672" s="4">
        <v>100005197</v>
      </c>
      <c r="B2672" t="s">
        <v>2016</v>
      </c>
      <c r="C2672" s="3" t="s">
        <v>1011</v>
      </c>
      <c r="D2672" s="3" t="s">
        <v>2015</v>
      </c>
      <c r="E2672" t="s">
        <v>967</v>
      </c>
      <c r="F2672" s="1">
        <v>46045</v>
      </c>
      <c r="G2672" t="str">
        <f t="shared" si="95"/>
        <v>Jan -2026</v>
      </c>
    </row>
    <row r="2673" spans="1:7" x14ac:dyDescent="0.3">
      <c r="A2673" s="4">
        <v>900006112</v>
      </c>
      <c r="B2673" t="s">
        <v>2017</v>
      </c>
      <c r="C2673" s="3" t="s">
        <v>1604</v>
      </c>
      <c r="D2673" s="3" t="s">
        <v>2018</v>
      </c>
      <c r="E2673" t="s">
        <v>1877</v>
      </c>
      <c r="F2673" s="1">
        <v>46045</v>
      </c>
      <c r="G2673" t="str">
        <f t="shared" si="95"/>
        <v>Jan -2026</v>
      </c>
    </row>
    <row r="2674" spans="1:7" x14ac:dyDescent="0.3">
      <c r="A2674" s="4">
        <v>100005263</v>
      </c>
      <c r="B2674" t="s">
        <v>2019</v>
      </c>
      <c r="C2674" s="3" t="s">
        <v>1011</v>
      </c>
      <c r="D2674" s="3" t="s">
        <v>2015</v>
      </c>
      <c r="E2674" t="s">
        <v>1569</v>
      </c>
      <c r="F2674" s="1">
        <v>46045</v>
      </c>
      <c r="G2674" t="str">
        <f t="shared" si="95"/>
        <v>Jan -2026</v>
      </c>
    </row>
    <row r="2675" spans="1:7" x14ac:dyDescent="0.3">
      <c r="A2675" s="4">
        <v>100005264</v>
      </c>
      <c r="B2675" t="s">
        <v>2020</v>
      </c>
      <c r="C2675" s="3" t="s">
        <v>1011</v>
      </c>
      <c r="D2675" s="3" t="s">
        <v>2015</v>
      </c>
      <c r="E2675" t="s">
        <v>1569</v>
      </c>
      <c r="F2675" s="1">
        <v>46045</v>
      </c>
      <c r="G2675" t="str">
        <f t="shared" si="95"/>
        <v>Jan -2026</v>
      </c>
    </row>
    <row r="2676" spans="1:7" x14ac:dyDescent="0.3">
      <c r="A2676" s="4">
        <v>2188560</v>
      </c>
      <c r="B2676" t="s">
        <v>1976</v>
      </c>
      <c r="C2676" s="3" t="s">
        <v>1010</v>
      </c>
      <c r="D2676" s="3" t="s">
        <v>209</v>
      </c>
      <c r="E2676" t="s">
        <v>196</v>
      </c>
      <c r="F2676" s="1">
        <v>46048</v>
      </c>
      <c r="G2676" t="str">
        <f t="shared" si="95"/>
        <v>Jan -2026</v>
      </c>
    </row>
    <row r="2677" spans="1:7" x14ac:dyDescent="0.3">
      <c r="A2677" s="4">
        <v>2188711</v>
      </c>
      <c r="B2677" t="s">
        <v>1976</v>
      </c>
      <c r="C2677" s="3" t="s">
        <v>1010</v>
      </c>
      <c r="D2677" s="3" t="s">
        <v>209</v>
      </c>
      <c r="E2677" t="s">
        <v>196</v>
      </c>
      <c r="F2677" s="1">
        <v>46048</v>
      </c>
      <c r="G2677" t="str">
        <f t="shared" si="95"/>
        <v>Jan -2026</v>
      </c>
    </row>
    <row r="2678" spans="1:7" x14ac:dyDescent="0.3">
      <c r="A2678" s="4">
        <v>2188712</v>
      </c>
      <c r="B2678" t="s">
        <v>1976</v>
      </c>
      <c r="C2678" s="3" t="s">
        <v>1010</v>
      </c>
      <c r="D2678" s="3" t="s">
        <v>209</v>
      </c>
      <c r="E2678" t="s">
        <v>196</v>
      </c>
      <c r="F2678" s="1">
        <v>46048</v>
      </c>
      <c r="G2678" t="str">
        <f t="shared" si="95"/>
        <v>Jan -2026</v>
      </c>
    </row>
    <row r="2679" spans="1:7" x14ac:dyDescent="0.3">
      <c r="A2679" s="4">
        <v>2188713</v>
      </c>
      <c r="B2679" t="s">
        <v>1976</v>
      </c>
      <c r="C2679" s="3" t="s">
        <v>1010</v>
      </c>
      <c r="D2679" s="3" t="s">
        <v>209</v>
      </c>
      <c r="E2679" t="s">
        <v>196</v>
      </c>
      <c r="F2679" s="1">
        <v>46048</v>
      </c>
      <c r="G2679" t="str">
        <f t="shared" si="95"/>
        <v>Jan -2026</v>
      </c>
    </row>
    <row r="2680" spans="1:7" x14ac:dyDescent="0.3">
      <c r="A2680" s="4">
        <v>2183503</v>
      </c>
      <c r="B2680" t="s">
        <v>2021</v>
      </c>
      <c r="C2680" s="3" t="s">
        <v>1010</v>
      </c>
      <c r="D2680" s="3" t="s">
        <v>209</v>
      </c>
      <c r="E2680" t="s">
        <v>225</v>
      </c>
      <c r="F2680" s="1">
        <v>46048</v>
      </c>
      <c r="G2680" t="str">
        <f t="shared" si="95"/>
        <v>Jan -2026</v>
      </c>
    </row>
    <row r="2681" spans="1:7" x14ac:dyDescent="0.3">
      <c r="A2681" s="4">
        <v>2183572</v>
      </c>
      <c r="B2681" t="s">
        <v>2022</v>
      </c>
      <c r="C2681" s="3" t="s">
        <v>1010</v>
      </c>
      <c r="D2681" s="3" t="s">
        <v>1020</v>
      </c>
      <c r="E2681" t="s">
        <v>435</v>
      </c>
      <c r="F2681" s="1">
        <v>46048</v>
      </c>
      <c r="G2681" t="str">
        <f t="shared" si="95"/>
        <v>Jan -2026</v>
      </c>
    </row>
    <row r="2682" spans="1:7" x14ac:dyDescent="0.3">
      <c r="A2682" s="4">
        <v>2180820</v>
      </c>
      <c r="B2682" t="s">
        <v>2023</v>
      </c>
      <c r="C2682" s="3" t="s">
        <v>1010</v>
      </c>
      <c r="D2682" s="3" t="s">
        <v>1020</v>
      </c>
      <c r="E2682" t="s">
        <v>435</v>
      </c>
      <c r="F2682" s="1">
        <v>46048</v>
      </c>
      <c r="G2682" t="str">
        <f t="shared" si="95"/>
        <v>Jan -2026</v>
      </c>
    </row>
    <row r="2683" spans="1:7" x14ac:dyDescent="0.3">
      <c r="A2683" s="4">
        <v>2188965</v>
      </c>
      <c r="B2683" t="s">
        <v>2024</v>
      </c>
      <c r="C2683" s="3" t="s">
        <v>1010</v>
      </c>
      <c r="D2683" s="3" t="s">
        <v>209</v>
      </c>
      <c r="E2683" t="s">
        <v>228</v>
      </c>
      <c r="F2683" s="1">
        <v>46048</v>
      </c>
      <c r="G2683" t="str">
        <f t="shared" si="95"/>
        <v>Jan -2026</v>
      </c>
    </row>
    <row r="2684" spans="1:7" x14ac:dyDescent="0.3">
      <c r="A2684" s="4">
        <v>2188989</v>
      </c>
      <c r="B2684" t="s">
        <v>1452</v>
      </c>
      <c r="C2684" s="3" t="s">
        <v>1010</v>
      </c>
      <c r="D2684" s="3" t="s">
        <v>209</v>
      </c>
      <c r="E2684" t="s">
        <v>225</v>
      </c>
      <c r="F2684" s="1">
        <v>46048</v>
      </c>
      <c r="G2684" t="str">
        <f t="shared" si="95"/>
        <v>Jan -2026</v>
      </c>
    </row>
    <row r="2685" spans="1:7" x14ac:dyDescent="0.3">
      <c r="A2685" s="4">
        <v>2189048</v>
      </c>
      <c r="B2685" t="s">
        <v>1452</v>
      </c>
      <c r="C2685" s="3" t="s">
        <v>1010</v>
      </c>
      <c r="D2685" s="3" t="s">
        <v>209</v>
      </c>
      <c r="E2685" t="s">
        <v>225</v>
      </c>
      <c r="F2685" s="1">
        <v>46048</v>
      </c>
      <c r="G2685" t="str">
        <f t="shared" si="95"/>
        <v>Jan -2026</v>
      </c>
    </row>
    <row r="2686" spans="1:7" x14ac:dyDescent="0.3">
      <c r="A2686" s="4">
        <v>2189079</v>
      </c>
      <c r="B2686" t="s">
        <v>2025</v>
      </c>
      <c r="C2686" s="3" t="s">
        <v>1010</v>
      </c>
      <c r="D2686" s="3" t="s">
        <v>209</v>
      </c>
      <c r="E2686" t="s">
        <v>225</v>
      </c>
      <c r="F2686" s="1">
        <v>46048</v>
      </c>
      <c r="G2686" t="str">
        <f t="shared" si="95"/>
        <v>Jan -2026</v>
      </c>
    </row>
    <row r="2687" spans="1:7" x14ac:dyDescent="0.3">
      <c r="A2687" s="4">
        <v>900006103</v>
      </c>
      <c r="B2687" t="s">
        <v>2026</v>
      </c>
      <c r="C2687" s="3" t="s">
        <v>1010</v>
      </c>
      <c r="D2687" s="3" t="s">
        <v>1551</v>
      </c>
      <c r="E2687" t="s">
        <v>1877</v>
      </c>
      <c r="F2687" s="1">
        <v>46048</v>
      </c>
      <c r="G2687" t="str">
        <f t="shared" si="95"/>
        <v>Jan -2026</v>
      </c>
    </row>
    <row r="2688" spans="1:7" x14ac:dyDescent="0.3">
      <c r="A2688" s="4">
        <v>2178634</v>
      </c>
      <c r="B2688" t="s">
        <v>2027</v>
      </c>
      <c r="C2688" s="3" t="s">
        <v>1010</v>
      </c>
      <c r="D2688" s="3" t="s">
        <v>1020</v>
      </c>
      <c r="E2688" t="s">
        <v>2028</v>
      </c>
      <c r="F2688" s="1">
        <v>46048</v>
      </c>
      <c r="G2688" t="str">
        <f t="shared" si="95"/>
        <v>Jan -2026</v>
      </c>
    </row>
    <row r="2689" spans="1:7" x14ac:dyDescent="0.3">
      <c r="A2689" s="4">
        <v>2178635</v>
      </c>
      <c r="B2689" t="s">
        <v>2027</v>
      </c>
      <c r="C2689" s="3" t="s">
        <v>1010</v>
      </c>
      <c r="D2689" s="3" t="s">
        <v>1020</v>
      </c>
      <c r="E2689" t="s">
        <v>2028</v>
      </c>
      <c r="F2689" s="1">
        <v>46048</v>
      </c>
      <c r="G2689" t="str">
        <f t="shared" si="95"/>
        <v>Jan -2026</v>
      </c>
    </row>
    <row r="2690" spans="1:7" x14ac:dyDescent="0.3">
      <c r="A2690" s="4">
        <v>200003208</v>
      </c>
      <c r="B2690" t="s">
        <v>2029</v>
      </c>
      <c r="C2690" s="3" t="s">
        <v>1010</v>
      </c>
      <c r="D2690" s="3" t="s">
        <v>192</v>
      </c>
      <c r="E2690" t="s">
        <v>287</v>
      </c>
      <c r="F2690" s="1">
        <v>46048</v>
      </c>
      <c r="G2690" t="str">
        <f t="shared" si="95"/>
        <v>Jan -2026</v>
      </c>
    </row>
    <row r="2691" spans="1:7" x14ac:dyDescent="0.3">
      <c r="A2691" s="4">
        <v>2189148</v>
      </c>
      <c r="B2691" t="s">
        <v>47</v>
      </c>
      <c r="C2691" s="3" t="s">
        <v>1010</v>
      </c>
      <c r="D2691" s="3" t="s">
        <v>1020</v>
      </c>
      <c r="E2691" t="s">
        <v>211</v>
      </c>
      <c r="F2691" s="1">
        <v>46048</v>
      </c>
      <c r="G2691" t="str">
        <f t="shared" si="95"/>
        <v>Jan -2026</v>
      </c>
    </row>
    <row r="2692" spans="1:7" x14ac:dyDescent="0.3">
      <c r="A2692" s="4">
        <v>2189257</v>
      </c>
      <c r="B2692" t="s">
        <v>47</v>
      </c>
      <c r="C2692" s="3" t="s">
        <v>1010</v>
      </c>
      <c r="D2692" s="3" t="s">
        <v>1020</v>
      </c>
      <c r="E2692" t="s">
        <v>211</v>
      </c>
      <c r="F2692" s="1">
        <v>46048</v>
      </c>
      <c r="G2692" t="str">
        <f t="shared" si="95"/>
        <v>Jan -2026</v>
      </c>
    </row>
    <row r="2693" spans="1:7" x14ac:dyDescent="0.3">
      <c r="A2693" s="4">
        <v>2189288</v>
      </c>
      <c r="B2693" t="s">
        <v>410</v>
      </c>
      <c r="C2693" s="3" t="s">
        <v>1010</v>
      </c>
      <c r="D2693" s="3" t="s">
        <v>1020</v>
      </c>
      <c r="E2693" t="s">
        <v>338</v>
      </c>
      <c r="F2693" s="1">
        <v>46048</v>
      </c>
      <c r="G2693" t="str">
        <f t="shared" si="95"/>
        <v>Jan -2026</v>
      </c>
    </row>
    <row r="2694" spans="1:7" x14ac:dyDescent="0.3">
      <c r="A2694" s="4">
        <v>100005263</v>
      </c>
      <c r="B2694" t="s">
        <v>2019</v>
      </c>
      <c r="C2694" s="3" t="s">
        <v>1011</v>
      </c>
      <c r="D2694" s="3" t="s">
        <v>2015</v>
      </c>
      <c r="E2694" t="s">
        <v>1569</v>
      </c>
      <c r="F2694" s="1">
        <v>46048</v>
      </c>
      <c r="G2694" t="str">
        <f t="shared" si="95"/>
        <v>Jan -2026</v>
      </c>
    </row>
    <row r="2695" spans="1:7" x14ac:dyDescent="0.3">
      <c r="A2695" s="4">
        <v>100005264</v>
      </c>
      <c r="B2695" t="s">
        <v>2020</v>
      </c>
      <c r="C2695" s="3" t="s">
        <v>1011</v>
      </c>
      <c r="D2695" s="3" t="s">
        <v>2015</v>
      </c>
      <c r="E2695" t="s">
        <v>1569</v>
      </c>
      <c r="F2695" s="1">
        <v>46048</v>
      </c>
      <c r="G2695" t="str">
        <f t="shared" ref="G2695:G2739" si="96">TEXT(F2695,"mmm -YYYY")</f>
        <v>Jan -2026</v>
      </c>
    </row>
    <row r="2696" spans="1:7" x14ac:dyDescent="0.3">
      <c r="A2696" s="4">
        <v>900006115</v>
      </c>
      <c r="B2696" t="s">
        <v>2030</v>
      </c>
      <c r="C2696" s="3" t="s">
        <v>1604</v>
      </c>
      <c r="D2696" s="3" t="s">
        <v>2031</v>
      </c>
      <c r="E2696" t="s">
        <v>1877</v>
      </c>
      <c r="F2696" s="1">
        <v>46048</v>
      </c>
      <c r="G2696" t="str">
        <f t="shared" si="96"/>
        <v>Jan -2026</v>
      </c>
    </row>
    <row r="2697" spans="1:7" x14ac:dyDescent="0.3">
      <c r="A2697" s="4">
        <v>900006131</v>
      </c>
      <c r="B2697" t="s">
        <v>2032</v>
      </c>
      <c r="C2697" s="3" t="s">
        <v>1604</v>
      </c>
      <c r="D2697" s="3" t="s">
        <v>2031</v>
      </c>
      <c r="E2697" t="s">
        <v>1877</v>
      </c>
      <c r="F2697" s="1">
        <v>46048</v>
      </c>
      <c r="G2697" t="str">
        <f t="shared" si="96"/>
        <v>Jan -2026</v>
      </c>
    </row>
    <row r="2698" spans="1:7" x14ac:dyDescent="0.3">
      <c r="A2698" s="4">
        <v>100005266</v>
      </c>
      <c r="B2698" t="s">
        <v>2033</v>
      </c>
      <c r="C2698" s="3" t="s">
        <v>1011</v>
      </c>
      <c r="D2698" s="3" t="s">
        <v>2015</v>
      </c>
      <c r="E2698" t="s">
        <v>967</v>
      </c>
      <c r="F2698" s="1">
        <v>46048</v>
      </c>
      <c r="G2698" t="str">
        <f t="shared" si="96"/>
        <v>Jan -2026</v>
      </c>
    </row>
    <row r="2699" spans="1:7" x14ac:dyDescent="0.3">
      <c r="A2699" s="4">
        <v>100005270</v>
      </c>
      <c r="B2699" t="s">
        <v>2034</v>
      </c>
      <c r="C2699" s="3" t="s">
        <v>1011</v>
      </c>
      <c r="D2699" s="3" t="s">
        <v>2015</v>
      </c>
      <c r="E2699" t="s">
        <v>1526</v>
      </c>
      <c r="F2699" s="1">
        <v>46048</v>
      </c>
      <c r="G2699" t="str">
        <f t="shared" si="96"/>
        <v>Jan -2026</v>
      </c>
    </row>
    <row r="2700" spans="1:7" x14ac:dyDescent="0.3">
      <c r="A2700" s="4">
        <v>900006093</v>
      </c>
      <c r="B2700" t="s">
        <v>2035</v>
      </c>
      <c r="C2700" s="3" t="s">
        <v>1604</v>
      </c>
      <c r="D2700" s="3" t="s">
        <v>2018</v>
      </c>
      <c r="E2700" t="s">
        <v>1877</v>
      </c>
      <c r="F2700" s="1">
        <v>46048</v>
      </c>
      <c r="G2700" t="str">
        <f t="shared" si="96"/>
        <v>Jan -2026</v>
      </c>
    </row>
    <row r="2701" spans="1:7" x14ac:dyDescent="0.3">
      <c r="A2701" s="4">
        <v>900006104</v>
      </c>
      <c r="B2701" t="s">
        <v>2036</v>
      </c>
      <c r="C2701" s="3" t="s">
        <v>1604</v>
      </c>
      <c r="D2701" s="3" t="s">
        <v>2018</v>
      </c>
      <c r="E2701" t="s">
        <v>1877</v>
      </c>
      <c r="F2701" s="1">
        <v>46048</v>
      </c>
      <c r="G2701" t="str">
        <f t="shared" si="96"/>
        <v>Jan -2026</v>
      </c>
    </row>
    <row r="2702" spans="1:7" x14ac:dyDescent="0.3">
      <c r="A2702" s="4">
        <v>900006104</v>
      </c>
      <c r="B2702" s="4" t="s">
        <v>2036</v>
      </c>
      <c r="C2702" s="3" t="s">
        <v>1604</v>
      </c>
      <c r="D2702" s="4" t="s">
        <v>2018</v>
      </c>
      <c r="E2702" s="4" t="s">
        <v>1877</v>
      </c>
      <c r="F2702" s="1">
        <v>46049</v>
      </c>
      <c r="G2702" t="str">
        <f t="shared" si="96"/>
        <v>Jan -2026</v>
      </c>
    </row>
    <row r="2703" spans="1:7" x14ac:dyDescent="0.3">
      <c r="A2703" s="4">
        <v>900006131</v>
      </c>
      <c r="B2703" t="s">
        <v>2032</v>
      </c>
      <c r="C2703" s="3" t="s">
        <v>1604</v>
      </c>
      <c r="D2703" s="4" t="s">
        <v>2031</v>
      </c>
      <c r="E2703" s="4" t="s">
        <v>1877</v>
      </c>
      <c r="F2703" s="1">
        <v>46049</v>
      </c>
      <c r="G2703" t="str">
        <f t="shared" si="96"/>
        <v>Jan -2026</v>
      </c>
    </row>
    <row r="2704" spans="1:7" x14ac:dyDescent="0.3">
      <c r="A2704" s="4">
        <v>900006144</v>
      </c>
      <c r="B2704" s="4" t="s">
        <v>2038</v>
      </c>
      <c r="C2704" s="3" t="s">
        <v>1604</v>
      </c>
      <c r="D2704" s="4" t="s">
        <v>2018</v>
      </c>
      <c r="E2704" s="4" t="s">
        <v>1877</v>
      </c>
      <c r="F2704" s="1">
        <v>46049</v>
      </c>
      <c r="G2704" t="str">
        <f t="shared" si="96"/>
        <v>Jan -2026</v>
      </c>
    </row>
    <row r="2705" spans="1:7" x14ac:dyDescent="0.3">
      <c r="A2705" s="4">
        <v>900006108</v>
      </c>
      <c r="B2705" s="4" t="s">
        <v>2039</v>
      </c>
      <c r="C2705" s="3" t="s">
        <v>1604</v>
      </c>
      <c r="D2705" s="4" t="s">
        <v>2031</v>
      </c>
      <c r="E2705" s="4" t="s">
        <v>1877</v>
      </c>
      <c r="F2705" s="1">
        <v>46049</v>
      </c>
      <c r="G2705" t="str">
        <f t="shared" si="96"/>
        <v>Jan -2026</v>
      </c>
    </row>
    <row r="2706" spans="1:7" x14ac:dyDescent="0.3">
      <c r="A2706" s="4">
        <v>900006116</v>
      </c>
      <c r="B2706" s="4" t="s">
        <v>2040</v>
      </c>
      <c r="C2706" s="3" t="s">
        <v>1604</v>
      </c>
      <c r="D2706" s="4" t="s">
        <v>2031</v>
      </c>
      <c r="E2706" s="4" t="s">
        <v>1877</v>
      </c>
      <c r="F2706" s="1">
        <v>46049</v>
      </c>
      <c r="G2706" t="str">
        <f t="shared" si="96"/>
        <v>Jan -2026</v>
      </c>
    </row>
    <row r="2707" spans="1:7" x14ac:dyDescent="0.3">
      <c r="A2707" s="4">
        <v>100005248</v>
      </c>
      <c r="B2707" s="4" t="s">
        <v>2041</v>
      </c>
      <c r="C2707" s="3" t="s">
        <v>1011</v>
      </c>
      <c r="D2707" s="4" t="s">
        <v>2015</v>
      </c>
      <c r="E2707" s="4" t="s">
        <v>1526</v>
      </c>
      <c r="F2707" s="1">
        <v>46049</v>
      </c>
      <c r="G2707" t="str">
        <f t="shared" si="96"/>
        <v>Jan -2026</v>
      </c>
    </row>
    <row r="2708" spans="1:7" x14ac:dyDescent="0.3">
      <c r="A2708" s="4">
        <v>900006079</v>
      </c>
      <c r="B2708" s="4" t="s">
        <v>2042</v>
      </c>
      <c r="C2708" s="3" t="s">
        <v>1604</v>
      </c>
      <c r="D2708" s="4" t="s">
        <v>2018</v>
      </c>
      <c r="E2708" s="4" t="s">
        <v>1877</v>
      </c>
      <c r="F2708" s="1">
        <v>46049</v>
      </c>
      <c r="G2708" t="str">
        <f t="shared" si="96"/>
        <v>Jan -2026</v>
      </c>
    </row>
    <row r="2709" spans="1:7" x14ac:dyDescent="0.3">
      <c r="A2709" s="4">
        <v>900005715</v>
      </c>
      <c r="B2709" s="4" t="s">
        <v>2043</v>
      </c>
      <c r="C2709" s="3" t="s">
        <v>1604</v>
      </c>
      <c r="D2709" s="4" t="s">
        <v>2031</v>
      </c>
      <c r="E2709" s="4" t="s">
        <v>1877</v>
      </c>
      <c r="F2709" s="1">
        <v>46049</v>
      </c>
      <c r="G2709" t="str">
        <f t="shared" si="96"/>
        <v>Jan -2026</v>
      </c>
    </row>
    <row r="2710" spans="1:7" x14ac:dyDescent="0.3">
      <c r="A2710" s="4">
        <v>2189621</v>
      </c>
      <c r="B2710" s="4" t="s">
        <v>2044</v>
      </c>
      <c r="C2710" t="s">
        <v>1010</v>
      </c>
      <c r="D2710" s="3" t="s">
        <v>1021</v>
      </c>
      <c r="E2710" s="3" t="s">
        <v>225</v>
      </c>
      <c r="F2710" s="1">
        <v>46049</v>
      </c>
      <c r="G2710" t="str">
        <f t="shared" si="96"/>
        <v>Jan -2026</v>
      </c>
    </row>
    <row r="2711" spans="1:7" x14ac:dyDescent="0.3">
      <c r="A2711" s="4">
        <v>2189346</v>
      </c>
      <c r="B2711" s="4" t="s">
        <v>2045</v>
      </c>
      <c r="C2711" t="s">
        <v>1010</v>
      </c>
      <c r="D2711" s="3" t="s">
        <v>1021</v>
      </c>
      <c r="E2711" s="3" t="s">
        <v>225</v>
      </c>
      <c r="F2711" s="1">
        <v>46049</v>
      </c>
      <c r="G2711" t="str">
        <f t="shared" si="96"/>
        <v>Jan -2026</v>
      </c>
    </row>
    <row r="2712" spans="1:7" x14ac:dyDescent="0.3">
      <c r="A2712" s="4">
        <v>2189623</v>
      </c>
      <c r="B2712" s="4" t="s">
        <v>2044</v>
      </c>
      <c r="C2712" t="s">
        <v>1010</v>
      </c>
      <c r="D2712" s="3" t="s">
        <v>1021</v>
      </c>
      <c r="E2712" s="3" t="s">
        <v>225</v>
      </c>
      <c r="F2712" s="1">
        <v>46049</v>
      </c>
      <c r="G2712" t="str">
        <f t="shared" si="96"/>
        <v>Jan -2026</v>
      </c>
    </row>
    <row r="2713" spans="1:7" x14ac:dyDescent="0.3">
      <c r="A2713" s="4">
        <v>2192482</v>
      </c>
      <c r="B2713" s="4" t="s">
        <v>2046</v>
      </c>
      <c r="C2713" t="s">
        <v>1010</v>
      </c>
      <c r="D2713" s="3" t="s">
        <v>1021</v>
      </c>
      <c r="E2713" t="s">
        <v>210</v>
      </c>
      <c r="F2713" s="1">
        <v>46049</v>
      </c>
      <c r="G2713" t="str">
        <f t="shared" si="96"/>
        <v>Jan -2026</v>
      </c>
    </row>
    <row r="2714" spans="1:7" x14ac:dyDescent="0.3">
      <c r="A2714" s="4">
        <v>2188748</v>
      </c>
      <c r="B2714" t="s">
        <v>1911</v>
      </c>
      <c r="C2714" t="s">
        <v>1010</v>
      </c>
      <c r="D2714" s="3" t="s">
        <v>1020</v>
      </c>
      <c r="E2714" t="s">
        <v>338</v>
      </c>
      <c r="F2714" s="1">
        <v>46049</v>
      </c>
      <c r="G2714" t="str">
        <f t="shared" si="96"/>
        <v>Jan -2026</v>
      </c>
    </row>
    <row r="2715" spans="1:7" x14ac:dyDescent="0.3">
      <c r="A2715" s="4">
        <v>2188884</v>
      </c>
      <c r="B2715" t="s">
        <v>1911</v>
      </c>
      <c r="C2715" t="s">
        <v>1010</v>
      </c>
      <c r="D2715" s="3" t="s">
        <v>1020</v>
      </c>
      <c r="E2715" s="3" t="s">
        <v>338</v>
      </c>
      <c r="F2715" s="1">
        <v>46049</v>
      </c>
      <c r="G2715" t="str">
        <f t="shared" si="96"/>
        <v>Jan -2026</v>
      </c>
    </row>
    <row r="2716" spans="1:7" x14ac:dyDescent="0.3">
      <c r="A2716" s="4">
        <v>2189267</v>
      </c>
      <c r="B2716" s="4" t="s">
        <v>750</v>
      </c>
      <c r="C2716" s="4" t="s">
        <v>1010</v>
      </c>
      <c r="D2716" s="4" t="s">
        <v>1020</v>
      </c>
      <c r="E2716" s="4" t="s">
        <v>338</v>
      </c>
      <c r="F2716" s="1">
        <v>46050</v>
      </c>
      <c r="G2716" t="str">
        <f t="shared" si="96"/>
        <v>Jan -2026</v>
      </c>
    </row>
    <row r="2717" spans="1:7" x14ac:dyDescent="0.3">
      <c r="A2717" s="4">
        <v>900006109</v>
      </c>
      <c r="B2717" s="4" t="s">
        <v>2047</v>
      </c>
      <c r="C2717" s="4" t="s">
        <v>1010</v>
      </c>
      <c r="D2717" s="4" t="s">
        <v>143</v>
      </c>
      <c r="E2717" s="4" t="s">
        <v>1877</v>
      </c>
      <c r="F2717" s="1">
        <v>46050</v>
      </c>
      <c r="G2717" t="str">
        <f t="shared" si="96"/>
        <v>Jan -2026</v>
      </c>
    </row>
    <row r="2718" spans="1:7" x14ac:dyDescent="0.3">
      <c r="A2718" s="4">
        <v>900006145</v>
      </c>
      <c r="B2718" s="4" t="s">
        <v>2048</v>
      </c>
      <c r="C2718" s="4" t="s">
        <v>1010</v>
      </c>
      <c r="D2718" s="4" t="s">
        <v>1551</v>
      </c>
      <c r="E2718" s="4" t="s">
        <v>1877</v>
      </c>
      <c r="F2718" s="1">
        <v>46050</v>
      </c>
      <c r="G2718" t="str">
        <f t="shared" si="96"/>
        <v>Jan -2026</v>
      </c>
    </row>
    <row r="2719" spans="1:7" x14ac:dyDescent="0.3">
      <c r="A2719" s="4">
        <v>200003201</v>
      </c>
      <c r="B2719" s="4" t="s">
        <v>2049</v>
      </c>
      <c r="C2719" s="4" t="s">
        <v>1010</v>
      </c>
      <c r="D2719" s="4" t="s">
        <v>192</v>
      </c>
      <c r="E2719" s="4" t="s">
        <v>287</v>
      </c>
      <c r="F2719" s="1">
        <v>46050</v>
      </c>
      <c r="G2719" t="str">
        <f t="shared" si="96"/>
        <v>Jan -2026</v>
      </c>
    </row>
    <row r="2720" spans="1:7" x14ac:dyDescent="0.3">
      <c r="A2720" s="4">
        <v>200003187</v>
      </c>
      <c r="B2720" s="4" t="s">
        <v>2050</v>
      </c>
      <c r="C2720" s="4" t="s">
        <v>1010</v>
      </c>
      <c r="D2720" s="4" t="s">
        <v>192</v>
      </c>
      <c r="E2720" s="4" t="s">
        <v>287</v>
      </c>
      <c r="F2720" s="1">
        <v>46050</v>
      </c>
      <c r="G2720" t="str">
        <f t="shared" si="96"/>
        <v>Jan -2026</v>
      </c>
    </row>
    <row r="2721" spans="1:7" x14ac:dyDescent="0.3">
      <c r="A2721" s="4">
        <v>2194374</v>
      </c>
      <c r="B2721" s="4" t="s">
        <v>2051</v>
      </c>
      <c r="C2721" s="4" t="s">
        <v>1010</v>
      </c>
      <c r="D2721" s="4" t="s">
        <v>209</v>
      </c>
      <c r="E2721" s="4" t="s">
        <v>225</v>
      </c>
      <c r="F2721" s="1">
        <v>46050</v>
      </c>
      <c r="G2721" t="str">
        <f t="shared" si="96"/>
        <v>Jan -2026</v>
      </c>
    </row>
    <row r="2722" spans="1:7" x14ac:dyDescent="0.3">
      <c r="A2722" s="4">
        <v>2190658</v>
      </c>
      <c r="B2722" s="4" t="s">
        <v>2052</v>
      </c>
      <c r="C2722" s="4" t="s">
        <v>1010</v>
      </c>
      <c r="D2722" s="4" t="s">
        <v>1259</v>
      </c>
      <c r="E2722" s="4" t="s">
        <v>228</v>
      </c>
      <c r="F2722" s="1">
        <v>46050</v>
      </c>
      <c r="G2722" t="str">
        <f t="shared" si="96"/>
        <v>Jan -2026</v>
      </c>
    </row>
    <row r="2723" spans="1:7" x14ac:dyDescent="0.3">
      <c r="A2723" s="4">
        <v>2190836</v>
      </c>
      <c r="B2723" s="4" t="s">
        <v>2053</v>
      </c>
      <c r="C2723" s="4" t="s">
        <v>1010</v>
      </c>
      <c r="D2723" s="4" t="s">
        <v>1259</v>
      </c>
      <c r="E2723" s="4" t="s">
        <v>228</v>
      </c>
      <c r="F2723" s="1">
        <v>46050</v>
      </c>
      <c r="G2723" t="str">
        <f t="shared" si="96"/>
        <v>Jan -2026</v>
      </c>
    </row>
    <row r="2724" spans="1:7" x14ac:dyDescent="0.3">
      <c r="A2724" s="4">
        <v>900006152</v>
      </c>
      <c r="B2724" s="4" t="s">
        <v>2054</v>
      </c>
      <c r="C2724" s="4" t="s">
        <v>1010</v>
      </c>
      <c r="D2724" s="4" t="s">
        <v>209</v>
      </c>
      <c r="E2724" s="4" t="s">
        <v>1877</v>
      </c>
      <c r="F2724" s="1">
        <v>46050</v>
      </c>
      <c r="G2724" t="str">
        <f t="shared" si="96"/>
        <v>Jan -2026</v>
      </c>
    </row>
    <row r="2725" spans="1:7" x14ac:dyDescent="0.3">
      <c r="A2725" s="4">
        <v>2194572</v>
      </c>
      <c r="B2725" s="4" t="s">
        <v>2055</v>
      </c>
      <c r="C2725" s="4" t="s">
        <v>1010</v>
      </c>
      <c r="D2725" s="4" t="s">
        <v>209</v>
      </c>
      <c r="E2725" s="4" t="s">
        <v>196</v>
      </c>
      <c r="F2725" s="1">
        <v>46050</v>
      </c>
      <c r="G2725" t="str">
        <f t="shared" si="96"/>
        <v>Jan -2026</v>
      </c>
    </row>
    <row r="2726" spans="1:7" x14ac:dyDescent="0.3">
      <c r="A2726" s="4">
        <v>2194460</v>
      </c>
      <c r="B2726" s="4" t="s">
        <v>2056</v>
      </c>
      <c r="C2726" s="4" t="s">
        <v>1010</v>
      </c>
      <c r="D2726" s="4" t="s">
        <v>209</v>
      </c>
      <c r="E2726" s="4" t="s">
        <v>210</v>
      </c>
      <c r="F2726" s="1">
        <v>46050</v>
      </c>
      <c r="G2726" t="str">
        <f t="shared" si="96"/>
        <v>Jan -2026</v>
      </c>
    </row>
    <row r="2727" spans="1:7" x14ac:dyDescent="0.3">
      <c r="A2727" s="4">
        <v>2194578</v>
      </c>
      <c r="B2727" s="4" t="s">
        <v>2055</v>
      </c>
      <c r="C2727" s="4" t="s">
        <v>1010</v>
      </c>
      <c r="D2727" s="4" t="s">
        <v>209</v>
      </c>
      <c r="E2727" s="4" t="s">
        <v>196</v>
      </c>
      <c r="F2727" s="1">
        <v>46050</v>
      </c>
      <c r="G2727" t="str">
        <f t="shared" si="96"/>
        <v>Jan -2026</v>
      </c>
    </row>
    <row r="2728" spans="1:7" x14ac:dyDescent="0.3">
      <c r="A2728" s="4">
        <v>2194579</v>
      </c>
      <c r="B2728" s="4" t="s">
        <v>2055</v>
      </c>
      <c r="C2728" s="4" t="s">
        <v>1010</v>
      </c>
      <c r="D2728" s="4" t="s">
        <v>209</v>
      </c>
      <c r="E2728" s="4" t="s">
        <v>196</v>
      </c>
      <c r="F2728" s="1">
        <v>46050</v>
      </c>
      <c r="G2728" t="str">
        <f t="shared" si="96"/>
        <v>Jan -2026</v>
      </c>
    </row>
    <row r="2729" spans="1:7" x14ac:dyDescent="0.3">
      <c r="A2729" s="4">
        <v>2194852</v>
      </c>
      <c r="B2729" s="4" t="s">
        <v>2057</v>
      </c>
      <c r="C2729" s="4" t="s">
        <v>1010</v>
      </c>
      <c r="D2729" s="4" t="s">
        <v>209</v>
      </c>
      <c r="E2729" s="4" t="s">
        <v>196</v>
      </c>
      <c r="F2729" s="1">
        <v>46050</v>
      </c>
      <c r="G2729" t="str">
        <f t="shared" si="96"/>
        <v>Jan -2026</v>
      </c>
    </row>
    <row r="2730" spans="1:7" x14ac:dyDescent="0.3">
      <c r="A2730" s="4">
        <v>2194932</v>
      </c>
      <c r="B2730" s="4" t="s">
        <v>2058</v>
      </c>
      <c r="C2730" s="4" t="s">
        <v>1010</v>
      </c>
      <c r="D2730" s="4" t="s">
        <v>209</v>
      </c>
      <c r="E2730" s="4" t="s">
        <v>210</v>
      </c>
      <c r="F2730" s="1">
        <v>46050</v>
      </c>
      <c r="G2730" t="str">
        <f t="shared" si="96"/>
        <v>Jan -2026</v>
      </c>
    </row>
    <row r="2731" spans="1:7" x14ac:dyDescent="0.3">
      <c r="A2731" s="4">
        <v>2194966</v>
      </c>
      <c r="B2731" s="4" t="s">
        <v>2059</v>
      </c>
      <c r="C2731" s="4" t="s">
        <v>1010</v>
      </c>
      <c r="D2731" s="4" t="s">
        <v>209</v>
      </c>
      <c r="E2731" s="4" t="s">
        <v>210</v>
      </c>
      <c r="F2731" s="1">
        <v>46050</v>
      </c>
      <c r="G2731" t="str">
        <f t="shared" si="96"/>
        <v>Jan -2026</v>
      </c>
    </row>
    <row r="2732" spans="1:7" x14ac:dyDescent="0.3">
      <c r="A2732" s="4">
        <v>2194967</v>
      </c>
      <c r="B2732" s="4" t="s">
        <v>2059</v>
      </c>
      <c r="C2732" s="4" t="s">
        <v>1010</v>
      </c>
      <c r="D2732" s="4" t="s">
        <v>209</v>
      </c>
      <c r="E2732" s="4" t="s">
        <v>210</v>
      </c>
      <c r="F2732" s="1">
        <v>46050</v>
      </c>
      <c r="G2732" t="str">
        <f t="shared" si="96"/>
        <v>Jan -2026</v>
      </c>
    </row>
    <row r="2733" spans="1:7" x14ac:dyDescent="0.3">
      <c r="A2733" s="4">
        <v>900006043</v>
      </c>
      <c r="B2733" s="4" t="s">
        <v>2060</v>
      </c>
      <c r="C2733" s="4" t="s">
        <v>1010</v>
      </c>
      <c r="D2733" s="4" t="s">
        <v>209</v>
      </c>
      <c r="E2733" s="4" t="s">
        <v>1877</v>
      </c>
      <c r="F2733" s="1">
        <v>46050</v>
      </c>
      <c r="G2733" t="str">
        <f t="shared" si="96"/>
        <v>Jan -2026</v>
      </c>
    </row>
    <row r="2734" spans="1:7" x14ac:dyDescent="0.3">
      <c r="A2734" s="4">
        <v>2195129</v>
      </c>
      <c r="B2734" s="4" t="s">
        <v>2061</v>
      </c>
      <c r="C2734" s="4" t="s">
        <v>1010</v>
      </c>
      <c r="D2734" s="4" t="s">
        <v>209</v>
      </c>
      <c r="E2734" s="4" t="s">
        <v>210</v>
      </c>
      <c r="F2734" s="1">
        <v>46050</v>
      </c>
      <c r="G2734" t="str">
        <f t="shared" si="96"/>
        <v>Jan -2026</v>
      </c>
    </row>
    <row r="2735" spans="1:7" x14ac:dyDescent="0.3">
      <c r="A2735" s="4">
        <v>100005295</v>
      </c>
      <c r="B2735" s="4" t="s">
        <v>2062</v>
      </c>
      <c r="C2735" s="3" t="s">
        <v>1011</v>
      </c>
      <c r="D2735" s="4" t="s">
        <v>2015</v>
      </c>
      <c r="E2735" s="4" t="s">
        <v>967</v>
      </c>
      <c r="F2735" s="1">
        <v>46050</v>
      </c>
      <c r="G2735" t="str">
        <f t="shared" si="96"/>
        <v>Jan -2026</v>
      </c>
    </row>
    <row r="2736" spans="1:7" x14ac:dyDescent="0.3">
      <c r="A2736" s="4">
        <v>900006041</v>
      </c>
      <c r="B2736" s="4" t="s">
        <v>2063</v>
      </c>
      <c r="C2736" s="3" t="s">
        <v>1604</v>
      </c>
      <c r="D2736" s="4" t="s">
        <v>1993</v>
      </c>
      <c r="E2736" s="4" t="s">
        <v>1877</v>
      </c>
      <c r="F2736" s="1">
        <v>46050</v>
      </c>
      <c r="G2736" t="str">
        <f t="shared" si="96"/>
        <v>Jan -2026</v>
      </c>
    </row>
    <row r="2737" spans="1:7" x14ac:dyDescent="0.3">
      <c r="A2737" s="4">
        <v>900006042</v>
      </c>
      <c r="B2737" s="4" t="s">
        <v>2064</v>
      </c>
      <c r="C2737" s="3" t="s">
        <v>1604</v>
      </c>
      <c r="D2737" s="4" t="s">
        <v>1993</v>
      </c>
      <c r="E2737" s="4" t="s">
        <v>1877</v>
      </c>
      <c r="F2737" s="1">
        <v>46050</v>
      </c>
      <c r="G2737" t="str">
        <f t="shared" si="96"/>
        <v>Jan -2026</v>
      </c>
    </row>
    <row r="2738" spans="1:7" x14ac:dyDescent="0.3">
      <c r="A2738" s="4">
        <v>900006163</v>
      </c>
      <c r="B2738" s="4" t="s">
        <v>2065</v>
      </c>
      <c r="C2738" s="3" t="s">
        <v>1604</v>
      </c>
      <c r="D2738" s="4" t="s">
        <v>2031</v>
      </c>
      <c r="E2738" s="4" t="s">
        <v>1877</v>
      </c>
      <c r="F2738" s="1">
        <v>46050</v>
      </c>
      <c r="G2738" t="str">
        <f t="shared" si="96"/>
        <v>Jan -2026</v>
      </c>
    </row>
    <row r="2739" spans="1:7" x14ac:dyDescent="0.3">
      <c r="A2739" s="4">
        <v>2194457</v>
      </c>
      <c r="B2739" s="4" t="s">
        <v>2056</v>
      </c>
      <c r="C2739" t="s">
        <v>1010</v>
      </c>
      <c r="D2739" s="3" t="s">
        <v>209</v>
      </c>
      <c r="E2739" s="3" t="s">
        <v>210</v>
      </c>
      <c r="F2739" s="1">
        <v>46051</v>
      </c>
      <c r="G2739" t="str">
        <f t="shared" si="96"/>
        <v>Jan -2026</v>
      </c>
    </row>
    <row r="2740" spans="1:7" x14ac:dyDescent="0.3">
      <c r="A2740" s="4">
        <v>2189148</v>
      </c>
      <c r="B2740" s="4" t="s">
        <v>47</v>
      </c>
      <c r="C2740" t="s">
        <v>1010</v>
      </c>
      <c r="D2740" s="3" t="s">
        <v>1020</v>
      </c>
      <c r="E2740" s="3" t="s">
        <v>211</v>
      </c>
      <c r="F2740" s="1">
        <v>46051</v>
      </c>
      <c r="G2740" t="str">
        <f t="shared" ref="G2740:G2777" si="97">TEXT(F2740,"mmm -YYYY")</f>
        <v>Jan -2026</v>
      </c>
    </row>
    <row r="2741" spans="1:7" x14ac:dyDescent="0.3">
      <c r="A2741" s="4">
        <v>2189257</v>
      </c>
      <c r="B2741" s="4" t="s">
        <v>47</v>
      </c>
      <c r="C2741" t="s">
        <v>1010</v>
      </c>
      <c r="D2741" s="3" t="s">
        <v>1020</v>
      </c>
      <c r="E2741" s="3" t="s">
        <v>211</v>
      </c>
      <c r="F2741" s="1">
        <v>46051</v>
      </c>
      <c r="G2741" t="str">
        <f t="shared" si="97"/>
        <v>Jan -2026</v>
      </c>
    </row>
    <row r="2742" spans="1:7" x14ac:dyDescent="0.3">
      <c r="A2742" s="4">
        <v>2194186</v>
      </c>
      <c r="B2742" s="4" t="s">
        <v>2066</v>
      </c>
      <c r="C2742" t="s">
        <v>1010</v>
      </c>
      <c r="D2742" s="3" t="s">
        <v>1020</v>
      </c>
      <c r="E2742" t="s">
        <v>435</v>
      </c>
      <c r="F2742" s="1">
        <v>46051</v>
      </c>
      <c r="G2742" t="str">
        <f t="shared" si="97"/>
        <v>Jan -2026</v>
      </c>
    </row>
    <row r="2743" spans="1:7" x14ac:dyDescent="0.3">
      <c r="A2743" s="4">
        <v>2194238</v>
      </c>
      <c r="B2743" t="s">
        <v>1417</v>
      </c>
      <c r="C2743" t="s">
        <v>1010</v>
      </c>
      <c r="D2743" s="3" t="s">
        <v>1020</v>
      </c>
      <c r="E2743" t="s">
        <v>435</v>
      </c>
      <c r="F2743" s="1">
        <v>46051</v>
      </c>
      <c r="G2743" t="str">
        <f t="shared" si="97"/>
        <v>Jan -2026</v>
      </c>
    </row>
    <row r="2744" spans="1:7" x14ac:dyDescent="0.3">
      <c r="A2744" s="4">
        <v>900006161</v>
      </c>
      <c r="B2744" t="s">
        <v>2067</v>
      </c>
      <c r="C2744" t="s">
        <v>1010</v>
      </c>
      <c r="D2744" s="3" t="s">
        <v>209</v>
      </c>
      <c r="E2744" s="3" t="s">
        <v>1877</v>
      </c>
      <c r="F2744" s="1">
        <v>46051</v>
      </c>
      <c r="G2744" t="str">
        <f t="shared" si="97"/>
        <v>Jan -2026</v>
      </c>
    </row>
    <row r="2745" spans="1:7" x14ac:dyDescent="0.3">
      <c r="A2745" s="4">
        <v>900006134</v>
      </c>
      <c r="B2745" t="s">
        <v>2068</v>
      </c>
      <c r="C2745" t="s">
        <v>1010</v>
      </c>
      <c r="D2745" s="3" t="s">
        <v>209</v>
      </c>
      <c r="E2745" s="3" t="s">
        <v>1877</v>
      </c>
      <c r="F2745" s="1">
        <v>46051</v>
      </c>
      <c r="G2745" t="str">
        <f t="shared" si="97"/>
        <v>Jan -2026</v>
      </c>
    </row>
    <row r="2746" spans="1:7" x14ac:dyDescent="0.3">
      <c r="A2746" s="4">
        <v>2197455</v>
      </c>
      <c r="B2746" t="s">
        <v>2069</v>
      </c>
      <c r="C2746" t="s">
        <v>1010</v>
      </c>
      <c r="D2746" s="3" t="s">
        <v>209</v>
      </c>
      <c r="E2746" t="s">
        <v>225</v>
      </c>
      <c r="F2746" s="1">
        <v>46051</v>
      </c>
      <c r="G2746" t="str">
        <f t="shared" si="97"/>
        <v>Jan -2026</v>
      </c>
    </row>
    <row r="2747" spans="1:7" x14ac:dyDescent="0.3">
      <c r="A2747" s="4">
        <v>2197409</v>
      </c>
      <c r="B2747" t="s">
        <v>1974</v>
      </c>
      <c r="C2747" t="s">
        <v>1010</v>
      </c>
      <c r="D2747" s="3" t="s">
        <v>209</v>
      </c>
      <c r="E2747" s="3" t="s">
        <v>225</v>
      </c>
      <c r="F2747" s="1">
        <v>46051</v>
      </c>
      <c r="G2747" t="str">
        <f t="shared" si="97"/>
        <v>Jan -2026</v>
      </c>
    </row>
    <row r="2748" spans="1:7" x14ac:dyDescent="0.3">
      <c r="A2748" s="4">
        <v>2197517</v>
      </c>
      <c r="B2748" s="3" t="s">
        <v>1974</v>
      </c>
      <c r="C2748" t="s">
        <v>1010</v>
      </c>
      <c r="D2748" s="3" t="s">
        <v>209</v>
      </c>
      <c r="E2748" s="3" t="s">
        <v>225</v>
      </c>
      <c r="F2748" s="1">
        <v>46051</v>
      </c>
      <c r="G2748" t="str">
        <f t="shared" si="97"/>
        <v>Jan -2026</v>
      </c>
    </row>
    <row r="2749" spans="1:7" x14ac:dyDescent="0.3">
      <c r="A2749" s="4">
        <v>2197450</v>
      </c>
      <c r="B2749" s="3" t="s">
        <v>1974</v>
      </c>
      <c r="C2749" t="s">
        <v>1010</v>
      </c>
      <c r="D2749" s="3" t="s">
        <v>209</v>
      </c>
      <c r="E2749" s="3" t="s">
        <v>225</v>
      </c>
      <c r="F2749" s="1">
        <v>46051</v>
      </c>
      <c r="G2749" t="str">
        <f t="shared" si="97"/>
        <v>Jan -2026</v>
      </c>
    </row>
    <row r="2750" spans="1:7" x14ac:dyDescent="0.3">
      <c r="A2750" s="4">
        <v>2197410</v>
      </c>
      <c r="B2750" s="3" t="s">
        <v>1974</v>
      </c>
      <c r="C2750" t="s">
        <v>1010</v>
      </c>
      <c r="D2750" s="3" t="s">
        <v>209</v>
      </c>
      <c r="E2750" s="3" t="s">
        <v>225</v>
      </c>
      <c r="F2750" s="1">
        <v>46051</v>
      </c>
      <c r="G2750" t="str">
        <f t="shared" si="97"/>
        <v>Jan -2026</v>
      </c>
    </row>
    <row r="2751" spans="1:7" x14ac:dyDescent="0.3">
      <c r="A2751" s="4">
        <v>2197477</v>
      </c>
      <c r="B2751" s="3" t="s">
        <v>2070</v>
      </c>
      <c r="C2751" t="s">
        <v>1010</v>
      </c>
      <c r="D2751" s="3" t="s">
        <v>209</v>
      </c>
      <c r="E2751" s="3" t="s">
        <v>225</v>
      </c>
      <c r="F2751" s="1">
        <v>46051</v>
      </c>
      <c r="G2751" t="str">
        <f t="shared" si="97"/>
        <v>Jan -2026</v>
      </c>
    </row>
    <row r="2752" spans="1:7" x14ac:dyDescent="0.3">
      <c r="A2752" s="4">
        <v>2192608</v>
      </c>
      <c r="B2752" s="3" t="s">
        <v>2071</v>
      </c>
      <c r="C2752" t="s">
        <v>1010</v>
      </c>
      <c r="D2752" s="3" t="s">
        <v>1020</v>
      </c>
      <c r="E2752" s="3" t="s">
        <v>338</v>
      </c>
      <c r="F2752" s="1">
        <v>46051</v>
      </c>
      <c r="G2752" t="str">
        <f t="shared" si="97"/>
        <v>Jan -2026</v>
      </c>
    </row>
    <row r="2753" spans="1:7" x14ac:dyDescent="0.3">
      <c r="A2753" s="4">
        <v>2192526</v>
      </c>
      <c r="B2753" s="3" t="s">
        <v>2071</v>
      </c>
      <c r="C2753" t="s">
        <v>1010</v>
      </c>
      <c r="D2753" s="3" t="s">
        <v>1020</v>
      </c>
      <c r="E2753" s="3" t="s">
        <v>338</v>
      </c>
      <c r="F2753" s="1">
        <v>46051</v>
      </c>
      <c r="G2753" t="str">
        <f t="shared" si="97"/>
        <v>Jan -2026</v>
      </c>
    </row>
    <row r="2754" spans="1:7" x14ac:dyDescent="0.3">
      <c r="A2754" s="4">
        <v>2197644</v>
      </c>
      <c r="B2754" s="3" t="s">
        <v>2012</v>
      </c>
      <c r="C2754" t="s">
        <v>1010</v>
      </c>
      <c r="D2754" s="3" t="s">
        <v>209</v>
      </c>
      <c r="E2754" s="3" t="s">
        <v>225</v>
      </c>
      <c r="F2754" s="1">
        <v>46051</v>
      </c>
      <c r="G2754" t="str">
        <f t="shared" si="97"/>
        <v>Jan -2026</v>
      </c>
    </row>
    <row r="2755" spans="1:7" x14ac:dyDescent="0.3">
      <c r="A2755" s="4">
        <v>2197668</v>
      </c>
      <c r="B2755" s="3" t="s">
        <v>2024</v>
      </c>
      <c r="C2755" t="s">
        <v>1010</v>
      </c>
      <c r="D2755" s="3" t="s">
        <v>209</v>
      </c>
      <c r="E2755" s="3" t="s">
        <v>228</v>
      </c>
      <c r="F2755" s="1">
        <v>46051</v>
      </c>
      <c r="G2755" t="str">
        <f t="shared" si="97"/>
        <v>Jan -2026</v>
      </c>
    </row>
    <row r="2756" spans="1:7" x14ac:dyDescent="0.3">
      <c r="A2756" s="4">
        <v>2197643</v>
      </c>
      <c r="B2756" s="3" t="s">
        <v>2024</v>
      </c>
      <c r="C2756" t="s">
        <v>1010</v>
      </c>
      <c r="D2756" s="3" t="s">
        <v>209</v>
      </c>
      <c r="E2756" s="3" t="s">
        <v>228</v>
      </c>
      <c r="F2756" s="1">
        <v>46051</v>
      </c>
      <c r="G2756" t="str">
        <f t="shared" si="97"/>
        <v>Jan -2026</v>
      </c>
    </row>
    <row r="2757" spans="1:7" x14ac:dyDescent="0.3">
      <c r="A2757" s="4">
        <v>100005310</v>
      </c>
      <c r="B2757" s="3" t="s">
        <v>2072</v>
      </c>
      <c r="C2757" s="3" t="s">
        <v>1011</v>
      </c>
      <c r="D2757" s="3" t="s">
        <v>2015</v>
      </c>
      <c r="E2757" s="3" t="s">
        <v>967</v>
      </c>
      <c r="F2757" s="1">
        <v>46051</v>
      </c>
      <c r="G2757" t="str">
        <f t="shared" si="97"/>
        <v>Jan -2026</v>
      </c>
    </row>
    <row r="2758" spans="1:7" x14ac:dyDescent="0.3">
      <c r="A2758" s="4">
        <v>100005306</v>
      </c>
      <c r="B2758" s="3" t="s">
        <v>2072</v>
      </c>
      <c r="C2758" s="3" t="s">
        <v>1011</v>
      </c>
      <c r="D2758" s="3" t="s">
        <v>2015</v>
      </c>
      <c r="E2758" s="3" t="s">
        <v>967</v>
      </c>
      <c r="F2758" s="1">
        <v>46051</v>
      </c>
      <c r="G2758" t="str">
        <f t="shared" si="97"/>
        <v>Jan -2026</v>
      </c>
    </row>
    <row r="2759" spans="1:7" x14ac:dyDescent="0.3">
      <c r="A2759" s="4">
        <v>900006043</v>
      </c>
      <c r="B2759" s="3" t="s">
        <v>2060</v>
      </c>
      <c r="C2759" s="3" t="s">
        <v>1604</v>
      </c>
      <c r="D2759" s="3" t="s">
        <v>2018</v>
      </c>
      <c r="E2759" s="3" t="s">
        <v>1877</v>
      </c>
      <c r="F2759" s="1">
        <v>46051</v>
      </c>
      <c r="G2759" t="str">
        <f t="shared" si="97"/>
        <v>Jan -2026</v>
      </c>
    </row>
    <row r="2760" spans="1:7" x14ac:dyDescent="0.3">
      <c r="A2760" s="4">
        <v>900006041</v>
      </c>
      <c r="B2760" s="3" t="s">
        <v>2063</v>
      </c>
      <c r="C2760" s="3" t="s">
        <v>1604</v>
      </c>
      <c r="D2760" s="3" t="s">
        <v>2018</v>
      </c>
      <c r="E2760" s="3" t="s">
        <v>1877</v>
      </c>
      <c r="F2760" s="1">
        <v>46051</v>
      </c>
      <c r="G2760" t="str">
        <f t="shared" si="97"/>
        <v>Jan -2026</v>
      </c>
    </row>
    <row r="2761" spans="1:7" x14ac:dyDescent="0.3">
      <c r="A2761" s="4">
        <v>900006042</v>
      </c>
      <c r="B2761" s="3" t="s">
        <v>2064</v>
      </c>
      <c r="C2761" s="3" t="s">
        <v>1604</v>
      </c>
      <c r="D2761" s="3" t="s">
        <v>2018</v>
      </c>
      <c r="E2761" s="3" t="s">
        <v>1877</v>
      </c>
      <c r="F2761" s="1">
        <v>46051</v>
      </c>
      <c r="G2761" t="str">
        <f t="shared" si="97"/>
        <v>Jan -2026</v>
      </c>
    </row>
    <row r="2762" spans="1:7" x14ac:dyDescent="0.3">
      <c r="A2762" s="4">
        <v>900006131</v>
      </c>
      <c r="B2762" s="3" t="s">
        <v>2032</v>
      </c>
      <c r="C2762" s="3" t="s">
        <v>1604</v>
      </c>
      <c r="D2762" s="3" t="s">
        <v>2031</v>
      </c>
      <c r="E2762" s="3" t="s">
        <v>1877</v>
      </c>
      <c r="F2762" s="1">
        <v>46051</v>
      </c>
      <c r="G2762" t="str">
        <f t="shared" si="97"/>
        <v>Jan -2026</v>
      </c>
    </row>
    <row r="2763" spans="1:7" x14ac:dyDescent="0.3">
      <c r="A2763" s="4">
        <v>100005285</v>
      </c>
      <c r="B2763" s="3" t="s">
        <v>2073</v>
      </c>
      <c r="C2763" s="3" t="s">
        <v>1604</v>
      </c>
      <c r="D2763" s="3" t="s">
        <v>2031</v>
      </c>
      <c r="E2763" s="3" t="s">
        <v>1877</v>
      </c>
      <c r="F2763" s="1">
        <v>46051</v>
      </c>
      <c r="G2763" t="str">
        <f t="shared" si="97"/>
        <v>Jan -2026</v>
      </c>
    </row>
    <row r="2764" spans="1:7" x14ac:dyDescent="0.3">
      <c r="A2764" s="4">
        <v>100005298</v>
      </c>
      <c r="B2764" s="3" t="s">
        <v>2074</v>
      </c>
      <c r="C2764" s="3" t="s">
        <v>1011</v>
      </c>
      <c r="D2764" s="3" t="s">
        <v>2015</v>
      </c>
      <c r="E2764" s="3" t="s">
        <v>967</v>
      </c>
      <c r="F2764" s="1">
        <v>46051</v>
      </c>
      <c r="G2764" t="str">
        <f t="shared" si="97"/>
        <v>Jan -2026</v>
      </c>
    </row>
    <row r="2765" spans="1:7" x14ac:dyDescent="0.3">
      <c r="A2765" s="4">
        <v>100005297</v>
      </c>
      <c r="B2765" s="3" t="s">
        <v>2075</v>
      </c>
      <c r="C2765" s="3" t="s">
        <v>1011</v>
      </c>
      <c r="D2765" s="3" t="s">
        <v>2015</v>
      </c>
      <c r="E2765" s="3" t="s">
        <v>1569</v>
      </c>
      <c r="F2765" s="1">
        <v>46052</v>
      </c>
      <c r="G2765" t="str">
        <f t="shared" si="97"/>
        <v>Jan -2026</v>
      </c>
    </row>
    <row r="2766" spans="1:7" x14ac:dyDescent="0.3">
      <c r="A2766" s="4">
        <v>100005308</v>
      </c>
      <c r="B2766" s="3" t="s">
        <v>2076</v>
      </c>
      <c r="C2766" s="3" t="s">
        <v>1604</v>
      </c>
      <c r="D2766" s="3" t="s">
        <v>2031</v>
      </c>
      <c r="E2766" s="3" t="s">
        <v>968</v>
      </c>
      <c r="F2766" s="1">
        <v>46052</v>
      </c>
      <c r="G2766" t="str">
        <f t="shared" si="97"/>
        <v>Jan -2026</v>
      </c>
    </row>
    <row r="2767" spans="1:7" x14ac:dyDescent="0.3">
      <c r="A2767" s="4">
        <v>900006177</v>
      </c>
      <c r="B2767" s="3" t="s">
        <v>2077</v>
      </c>
      <c r="C2767" s="3" t="s">
        <v>1604</v>
      </c>
      <c r="D2767" s="3" t="s">
        <v>2018</v>
      </c>
      <c r="E2767" s="3" t="s">
        <v>1877</v>
      </c>
      <c r="F2767" s="1">
        <v>46052</v>
      </c>
      <c r="G2767" t="str">
        <f t="shared" si="97"/>
        <v>Jan -2026</v>
      </c>
    </row>
    <row r="2768" spans="1:7" x14ac:dyDescent="0.3">
      <c r="A2768" s="4">
        <v>900006186</v>
      </c>
      <c r="B2768" s="3" t="s">
        <v>2078</v>
      </c>
      <c r="C2768" s="3" t="s">
        <v>1604</v>
      </c>
      <c r="D2768" s="3" t="s">
        <v>2018</v>
      </c>
      <c r="E2768" s="3" t="s">
        <v>1877</v>
      </c>
      <c r="F2768" s="1">
        <v>46052</v>
      </c>
      <c r="G2768" t="str">
        <f t="shared" si="97"/>
        <v>Jan -2026</v>
      </c>
    </row>
    <row r="2769" spans="1:7" x14ac:dyDescent="0.3">
      <c r="A2769" s="4">
        <v>900006196</v>
      </c>
      <c r="B2769" s="3" t="s">
        <v>2079</v>
      </c>
      <c r="C2769" s="3" t="s">
        <v>1604</v>
      </c>
      <c r="D2769" s="3" t="s">
        <v>2018</v>
      </c>
      <c r="E2769" s="3" t="s">
        <v>1877</v>
      </c>
      <c r="F2769" s="1">
        <v>46052</v>
      </c>
      <c r="G2769" t="str">
        <f t="shared" si="97"/>
        <v>Jan -2026</v>
      </c>
    </row>
    <row r="2770" spans="1:7" x14ac:dyDescent="0.3">
      <c r="A2770" s="4">
        <v>100005331</v>
      </c>
      <c r="B2770" s="3" t="s">
        <v>2080</v>
      </c>
      <c r="C2770" s="3" t="s">
        <v>1011</v>
      </c>
      <c r="D2770" s="3" t="s">
        <v>2015</v>
      </c>
      <c r="E2770" s="3" t="s">
        <v>1103</v>
      </c>
      <c r="F2770" s="1">
        <v>46052</v>
      </c>
      <c r="G2770" t="str">
        <f t="shared" si="97"/>
        <v>Jan -2026</v>
      </c>
    </row>
    <row r="2771" spans="1:7" x14ac:dyDescent="0.3">
      <c r="A2771" s="4">
        <v>100005327</v>
      </c>
      <c r="B2771" s="3" t="s">
        <v>2080</v>
      </c>
      <c r="C2771" s="3" t="s">
        <v>1011</v>
      </c>
      <c r="D2771" s="3" t="s">
        <v>2015</v>
      </c>
      <c r="E2771" s="3" t="s">
        <v>967</v>
      </c>
      <c r="F2771" s="1">
        <v>46052</v>
      </c>
      <c r="G2771" t="str">
        <f t="shared" si="97"/>
        <v>Jan -2026</v>
      </c>
    </row>
    <row r="2772" spans="1:7" x14ac:dyDescent="0.3">
      <c r="A2772" s="4">
        <v>900006232</v>
      </c>
      <c r="B2772" s="3" t="s">
        <v>2081</v>
      </c>
      <c r="C2772" s="3" t="s">
        <v>1604</v>
      </c>
      <c r="D2772" s="3" t="s">
        <v>2031</v>
      </c>
      <c r="E2772" s="3" t="s">
        <v>1877</v>
      </c>
      <c r="F2772" s="1">
        <v>46052</v>
      </c>
      <c r="G2772" t="str">
        <f t="shared" si="97"/>
        <v>Jan -2026</v>
      </c>
    </row>
    <row r="2773" spans="1:7" x14ac:dyDescent="0.3">
      <c r="A2773" s="4">
        <v>2195241</v>
      </c>
      <c r="B2773" s="3" t="s">
        <v>2082</v>
      </c>
      <c r="C2773" t="s">
        <v>1010</v>
      </c>
      <c r="D2773" s="3" t="s">
        <v>1020</v>
      </c>
      <c r="E2773" s="3" t="s">
        <v>435</v>
      </c>
      <c r="F2773" s="1">
        <v>46052</v>
      </c>
      <c r="G2773" t="str">
        <f t="shared" si="97"/>
        <v>Jan -2026</v>
      </c>
    </row>
    <row r="2774" spans="1:7" x14ac:dyDescent="0.3">
      <c r="A2774" s="4">
        <v>2192070</v>
      </c>
      <c r="B2774" s="3" t="s">
        <v>2083</v>
      </c>
      <c r="C2774" t="s">
        <v>1010</v>
      </c>
      <c r="D2774" s="3" t="s">
        <v>1020</v>
      </c>
      <c r="E2774" s="3" t="s">
        <v>435</v>
      </c>
      <c r="F2774" s="1">
        <v>46052</v>
      </c>
      <c r="G2774" t="str">
        <f t="shared" si="97"/>
        <v>Jan -2026</v>
      </c>
    </row>
    <row r="2775" spans="1:7" x14ac:dyDescent="0.3">
      <c r="A2775" s="4">
        <v>2199849</v>
      </c>
      <c r="B2775" s="3" t="s">
        <v>2084</v>
      </c>
      <c r="C2775" t="s">
        <v>1010</v>
      </c>
      <c r="D2775" s="3" t="s">
        <v>1020</v>
      </c>
      <c r="E2775" s="3" t="s">
        <v>228</v>
      </c>
      <c r="F2775" s="1">
        <v>46052</v>
      </c>
      <c r="G2775" t="str">
        <f t="shared" si="97"/>
        <v>Jan -2026</v>
      </c>
    </row>
    <row r="2776" spans="1:7" x14ac:dyDescent="0.3">
      <c r="A2776" s="4">
        <v>2200381</v>
      </c>
      <c r="B2776" s="3" t="s">
        <v>2085</v>
      </c>
      <c r="C2776" t="s">
        <v>1010</v>
      </c>
      <c r="D2776" s="3" t="s">
        <v>209</v>
      </c>
      <c r="E2776" s="3" t="s">
        <v>196</v>
      </c>
      <c r="F2776" s="1">
        <v>46052</v>
      </c>
      <c r="G2776" t="str">
        <f t="shared" si="97"/>
        <v>Jan -2026</v>
      </c>
    </row>
    <row r="2777" spans="1:7" x14ac:dyDescent="0.3">
      <c r="A2777" s="4">
        <v>1248608</v>
      </c>
      <c r="B2777" s="3" t="s">
        <v>2086</v>
      </c>
      <c r="C2777" t="s">
        <v>1010</v>
      </c>
      <c r="D2777" s="3" t="s">
        <v>1020</v>
      </c>
      <c r="E2777" s="3" t="s">
        <v>435</v>
      </c>
      <c r="F2777" s="1">
        <v>46055</v>
      </c>
      <c r="G2777" t="str">
        <f t="shared" si="97"/>
        <v>Feb -2026</v>
      </c>
    </row>
    <row r="2778" spans="1:7" x14ac:dyDescent="0.3">
      <c r="A2778" s="4">
        <v>2199986</v>
      </c>
      <c r="B2778" s="3" t="s">
        <v>1911</v>
      </c>
      <c r="C2778" t="s">
        <v>1010</v>
      </c>
      <c r="D2778" s="3" t="s">
        <v>1020</v>
      </c>
      <c r="E2778" s="3" t="s">
        <v>338</v>
      </c>
      <c r="F2778" s="1">
        <v>46055</v>
      </c>
      <c r="G2778" t="str">
        <f t="shared" ref="G2778:G2783" si="98">TEXT(F2778,"mmm -YYYY")</f>
        <v>Feb -2026</v>
      </c>
    </row>
    <row r="2779" spans="1:7" x14ac:dyDescent="0.3">
      <c r="A2779" s="4">
        <v>2205707</v>
      </c>
      <c r="B2779" s="3" t="s">
        <v>2087</v>
      </c>
      <c r="C2779" t="s">
        <v>1010</v>
      </c>
      <c r="D2779" s="3" t="s">
        <v>364</v>
      </c>
      <c r="E2779" s="3" t="s">
        <v>308</v>
      </c>
      <c r="F2779" s="1">
        <v>46055</v>
      </c>
      <c r="G2779" t="str">
        <f t="shared" si="98"/>
        <v>Feb -2026</v>
      </c>
    </row>
    <row r="2780" spans="1:7" x14ac:dyDescent="0.3">
      <c r="A2780" s="4">
        <v>2205740</v>
      </c>
      <c r="B2780" s="3" t="s">
        <v>2088</v>
      </c>
      <c r="C2780" t="s">
        <v>1010</v>
      </c>
      <c r="D2780" s="3" t="s">
        <v>364</v>
      </c>
      <c r="E2780" s="3" t="s">
        <v>308</v>
      </c>
      <c r="F2780" s="1">
        <v>46055</v>
      </c>
      <c r="G2780" t="str">
        <f t="shared" si="98"/>
        <v>Feb -2026</v>
      </c>
    </row>
    <row r="2781" spans="1:7" x14ac:dyDescent="0.3">
      <c r="A2781" s="4">
        <v>2205934</v>
      </c>
      <c r="B2781" s="3" t="s">
        <v>2089</v>
      </c>
      <c r="C2781" t="s">
        <v>1010</v>
      </c>
      <c r="D2781" s="3" t="s">
        <v>209</v>
      </c>
      <c r="E2781" s="3" t="s">
        <v>225</v>
      </c>
      <c r="F2781" s="1">
        <v>46055</v>
      </c>
      <c r="G2781" t="str">
        <f t="shared" si="98"/>
        <v>Feb -2026</v>
      </c>
    </row>
    <row r="2782" spans="1:7" x14ac:dyDescent="0.3">
      <c r="A2782" s="4">
        <v>2206226</v>
      </c>
      <c r="B2782" s="3" t="s">
        <v>2057</v>
      </c>
      <c r="C2782" t="s">
        <v>1010</v>
      </c>
      <c r="D2782" s="3" t="s">
        <v>209</v>
      </c>
      <c r="E2782" s="3" t="s">
        <v>196</v>
      </c>
      <c r="F2782" s="1">
        <v>46055</v>
      </c>
      <c r="G2782" t="str">
        <f t="shared" si="98"/>
        <v>Feb -2026</v>
      </c>
    </row>
    <row r="2783" spans="1:7" x14ac:dyDescent="0.3">
      <c r="A2783" s="4">
        <v>2206382</v>
      </c>
      <c r="B2783" s="3" t="s">
        <v>1452</v>
      </c>
      <c r="C2783" t="s">
        <v>1010</v>
      </c>
      <c r="D2783" s="3" t="s">
        <v>209</v>
      </c>
      <c r="E2783" s="3" t="s">
        <v>225</v>
      </c>
      <c r="F2783" s="1">
        <v>46055</v>
      </c>
      <c r="G2783" t="str">
        <f t="shared" si="98"/>
        <v>Feb -2026</v>
      </c>
    </row>
    <row r="2784" spans="1:7" x14ac:dyDescent="0.3">
      <c r="A2784" s="4">
        <v>900006198</v>
      </c>
      <c r="B2784" s="3" t="s">
        <v>2090</v>
      </c>
      <c r="C2784" s="3" t="s">
        <v>1604</v>
      </c>
      <c r="D2784" s="3" t="s">
        <v>2018</v>
      </c>
      <c r="E2784" s="3" t="s">
        <v>1877</v>
      </c>
      <c r="F2784" s="1">
        <v>46055</v>
      </c>
      <c r="G2784" t="str">
        <f t="shared" ref="G2784:G2789" si="99">TEXT(F2784,"mmm -YYYY")</f>
        <v>Feb -2026</v>
      </c>
    </row>
    <row r="2785" spans="1:7" x14ac:dyDescent="0.3">
      <c r="A2785" s="4">
        <v>900006239</v>
      </c>
      <c r="B2785" s="3" t="s">
        <v>2091</v>
      </c>
      <c r="C2785" s="3" t="s">
        <v>1011</v>
      </c>
      <c r="D2785" s="3" t="s">
        <v>2015</v>
      </c>
      <c r="E2785" s="3" t="s">
        <v>1877</v>
      </c>
      <c r="F2785" s="1">
        <v>46055</v>
      </c>
      <c r="G2785" t="str">
        <f t="shared" si="99"/>
        <v>Feb -2026</v>
      </c>
    </row>
    <row r="2786" spans="1:7" x14ac:dyDescent="0.3">
      <c r="A2786" s="4">
        <v>900006251</v>
      </c>
      <c r="B2786" s="3" t="s">
        <v>2092</v>
      </c>
      <c r="C2786" s="3" t="s">
        <v>1011</v>
      </c>
      <c r="D2786" s="3" t="s">
        <v>2015</v>
      </c>
      <c r="E2786" s="3" t="s">
        <v>1877</v>
      </c>
      <c r="F2786" s="1">
        <v>46055</v>
      </c>
      <c r="G2786" t="str">
        <f t="shared" si="99"/>
        <v>Feb -2026</v>
      </c>
    </row>
    <row r="2787" spans="1:7" x14ac:dyDescent="0.3">
      <c r="A2787" s="4">
        <v>900006217</v>
      </c>
      <c r="B2787" s="3" t="s">
        <v>2093</v>
      </c>
      <c r="C2787" s="3" t="s">
        <v>1011</v>
      </c>
      <c r="D2787" s="3" t="s">
        <v>2015</v>
      </c>
      <c r="E2787" s="3" t="s">
        <v>1877</v>
      </c>
      <c r="F2787" s="1">
        <v>46055</v>
      </c>
      <c r="G2787" t="str">
        <f t="shared" si="99"/>
        <v>Feb -2026</v>
      </c>
    </row>
    <row r="2788" spans="1:7" x14ac:dyDescent="0.3">
      <c r="A2788" s="4">
        <v>900006216</v>
      </c>
      <c r="B2788" s="3" t="s">
        <v>2094</v>
      </c>
      <c r="C2788" s="3" t="s">
        <v>1011</v>
      </c>
      <c r="D2788" s="3" t="s">
        <v>2015</v>
      </c>
      <c r="E2788" s="3" t="s">
        <v>1877</v>
      </c>
      <c r="F2788" s="1">
        <v>46055</v>
      </c>
      <c r="G2788" t="str">
        <f t="shared" si="99"/>
        <v>Feb -2026</v>
      </c>
    </row>
    <row r="2789" spans="1:7" x14ac:dyDescent="0.3">
      <c r="A2789" s="4">
        <v>900006207</v>
      </c>
      <c r="B2789" s="3" t="s">
        <v>2095</v>
      </c>
      <c r="C2789" s="3" t="s">
        <v>1011</v>
      </c>
      <c r="D2789" s="3" t="s">
        <v>2015</v>
      </c>
      <c r="E2789" s="3" t="s">
        <v>1877</v>
      </c>
      <c r="F2789" s="1">
        <v>46055</v>
      </c>
      <c r="G2789" t="str">
        <f t="shared" si="99"/>
        <v>Feb -2026</v>
      </c>
    </row>
    <row r="2790" spans="1:7" x14ac:dyDescent="0.3">
      <c r="A2790" s="4">
        <v>900006233</v>
      </c>
      <c r="B2790" s="3" t="s">
        <v>2096</v>
      </c>
      <c r="C2790" t="s">
        <v>1010</v>
      </c>
      <c r="D2790" s="3" t="s">
        <v>1551</v>
      </c>
      <c r="E2790" s="3" t="s">
        <v>1877</v>
      </c>
      <c r="F2790" s="1">
        <v>46056</v>
      </c>
      <c r="G2790" t="str">
        <f t="shared" ref="G2790:G2851" si="100">TEXT(F2790,"mmm -YYYY")</f>
        <v>Feb -2026</v>
      </c>
    </row>
    <row r="2791" spans="1:7" x14ac:dyDescent="0.3">
      <c r="A2791" s="4">
        <v>2207754</v>
      </c>
      <c r="B2791" s="3" t="s">
        <v>2097</v>
      </c>
      <c r="C2791" t="s">
        <v>1010</v>
      </c>
      <c r="D2791" s="3" t="s">
        <v>209</v>
      </c>
      <c r="E2791" s="3" t="s">
        <v>210</v>
      </c>
      <c r="F2791" s="1">
        <v>46056</v>
      </c>
      <c r="G2791" t="str">
        <f t="shared" si="100"/>
        <v>Feb -2026</v>
      </c>
    </row>
    <row r="2792" spans="1:7" x14ac:dyDescent="0.3">
      <c r="A2792" s="4">
        <v>2207680</v>
      </c>
      <c r="B2792" s="3" t="s">
        <v>2098</v>
      </c>
      <c r="C2792" t="s">
        <v>1010</v>
      </c>
      <c r="D2792" s="3" t="s">
        <v>209</v>
      </c>
      <c r="E2792" s="3" t="s">
        <v>210</v>
      </c>
      <c r="F2792" s="1">
        <v>46056</v>
      </c>
      <c r="G2792" t="str">
        <f t="shared" si="100"/>
        <v>Feb -2026</v>
      </c>
    </row>
    <row r="2793" spans="1:7" x14ac:dyDescent="0.3">
      <c r="A2793" s="4">
        <v>2207789</v>
      </c>
      <c r="B2793" s="3" t="s">
        <v>2097</v>
      </c>
      <c r="C2793" t="s">
        <v>1010</v>
      </c>
      <c r="D2793" s="3" t="s">
        <v>209</v>
      </c>
      <c r="E2793" s="3" t="s">
        <v>210</v>
      </c>
      <c r="F2793" s="1">
        <v>46056</v>
      </c>
      <c r="G2793" t="str">
        <f t="shared" si="100"/>
        <v>Feb -2026</v>
      </c>
    </row>
    <row r="2794" spans="1:7" x14ac:dyDescent="0.3">
      <c r="A2794" s="4">
        <v>2209350</v>
      </c>
      <c r="B2794" s="3" t="s">
        <v>2099</v>
      </c>
      <c r="C2794" t="s">
        <v>1010</v>
      </c>
      <c r="D2794" s="3" t="s">
        <v>209</v>
      </c>
      <c r="E2794" s="3" t="s">
        <v>210</v>
      </c>
      <c r="F2794" s="1">
        <v>46056</v>
      </c>
      <c r="G2794" t="str">
        <f t="shared" si="100"/>
        <v>Feb -2026</v>
      </c>
    </row>
    <row r="2795" spans="1:7" x14ac:dyDescent="0.3">
      <c r="A2795" s="4">
        <v>1410029</v>
      </c>
      <c r="B2795" s="3" t="s">
        <v>2100</v>
      </c>
      <c r="C2795" t="s">
        <v>1010</v>
      </c>
      <c r="D2795" s="3" t="s">
        <v>1020</v>
      </c>
      <c r="E2795" s="3" t="s">
        <v>435</v>
      </c>
      <c r="F2795" s="1">
        <v>46056</v>
      </c>
      <c r="G2795" t="str">
        <f t="shared" si="100"/>
        <v>Feb -2026</v>
      </c>
    </row>
    <row r="2796" spans="1:7" x14ac:dyDescent="0.3">
      <c r="A2796" s="4">
        <v>200003217</v>
      </c>
      <c r="B2796" s="3" t="s">
        <v>2101</v>
      </c>
      <c r="C2796" t="s">
        <v>1010</v>
      </c>
      <c r="D2796" s="3" t="s">
        <v>192</v>
      </c>
      <c r="E2796" s="3" t="s">
        <v>342</v>
      </c>
      <c r="F2796" s="1">
        <v>46056</v>
      </c>
      <c r="G2796" t="str">
        <f t="shared" si="100"/>
        <v>Feb -2026</v>
      </c>
    </row>
    <row r="2797" spans="1:7" x14ac:dyDescent="0.3">
      <c r="A2797" s="4">
        <v>200003258</v>
      </c>
      <c r="B2797" s="3" t="s">
        <v>2102</v>
      </c>
      <c r="C2797" t="s">
        <v>1010</v>
      </c>
      <c r="D2797" s="3" t="s">
        <v>192</v>
      </c>
      <c r="E2797" s="3" t="s">
        <v>287</v>
      </c>
      <c r="F2797" s="1">
        <v>46056</v>
      </c>
      <c r="G2797" t="str">
        <f t="shared" si="100"/>
        <v>Feb -2026</v>
      </c>
    </row>
    <row r="2798" spans="1:7" x14ac:dyDescent="0.3">
      <c r="A2798" s="4">
        <v>200003261</v>
      </c>
      <c r="B2798" s="3" t="s">
        <v>2103</v>
      </c>
      <c r="C2798" t="s">
        <v>1010</v>
      </c>
      <c r="D2798" s="3" t="s">
        <v>192</v>
      </c>
      <c r="E2798" s="3" t="s">
        <v>287</v>
      </c>
      <c r="F2798" s="1">
        <v>46056</v>
      </c>
      <c r="G2798" t="str">
        <f t="shared" si="100"/>
        <v>Feb -2026</v>
      </c>
    </row>
    <row r="2799" spans="1:7" x14ac:dyDescent="0.3">
      <c r="A2799" s="4">
        <v>2209693</v>
      </c>
      <c r="B2799" s="3" t="s">
        <v>2044</v>
      </c>
      <c r="C2799" t="s">
        <v>1010</v>
      </c>
      <c r="D2799" s="3" t="s">
        <v>209</v>
      </c>
      <c r="E2799" s="3" t="s">
        <v>225</v>
      </c>
      <c r="F2799" s="1">
        <v>46056</v>
      </c>
      <c r="G2799" t="str">
        <f t="shared" si="100"/>
        <v>Feb -2026</v>
      </c>
    </row>
    <row r="2800" spans="1:7" x14ac:dyDescent="0.3">
      <c r="A2800" s="4">
        <v>2209754</v>
      </c>
      <c r="B2800" s="3" t="s">
        <v>2044</v>
      </c>
      <c r="C2800" t="s">
        <v>1010</v>
      </c>
      <c r="D2800" s="3" t="s">
        <v>209</v>
      </c>
      <c r="E2800" s="3" t="s">
        <v>225</v>
      </c>
      <c r="F2800" s="1">
        <v>46056</v>
      </c>
      <c r="G2800" t="str">
        <f t="shared" si="100"/>
        <v>Feb -2026</v>
      </c>
    </row>
    <row r="2801" spans="1:7" x14ac:dyDescent="0.3">
      <c r="A2801" s="4">
        <v>2209694</v>
      </c>
      <c r="B2801" s="3" t="s">
        <v>2044</v>
      </c>
      <c r="C2801" t="s">
        <v>1010</v>
      </c>
      <c r="D2801" s="3" t="s">
        <v>209</v>
      </c>
      <c r="E2801" s="3" t="s">
        <v>225</v>
      </c>
      <c r="F2801" s="1">
        <v>46056</v>
      </c>
      <c r="G2801" t="str">
        <f t="shared" si="100"/>
        <v>Feb -2026</v>
      </c>
    </row>
    <row r="2802" spans="1:7" x14ac:dyDescent="0.3">
      <c r="A2802" s="4">
        <v>2209678</v>
      </c>
      <c r="B2802" s="3" t="s">
        <v>2044</v>
      </c>
      <c r="C2802" t="s">
        <v>1010</v>
      </c>
      <c r="D2802" s="3" t="s">
        <v>209</v>
      </c>
      <c r="E2802" s="3" t="s">
        <v>225</v>
      </c>
      <c r="F2802" s="1">
        <v>46056</v>
      </c>
      <c r="G2802" t="str">
        <f t="shared" si="100"/>
        <v>Feb -2026</v>
      </c>
    </row>
    <row r="2803" spans="1:7" x14ac:dyDescent="0.3">
      <c r="A2803" s="4">
        <v>2209697</v>
      </c>
      <c r="B2803" s="3" t="s">
        <v>2044</v>
      </c>
      <c r="C2803" t="s">
        <v>1010</v>
      </c>
      <c r="D2803" s="3" t="s">
        <v>209</v>
      </c>
      <c r="E2803" s="3" t="s">
        <v>225</v>
      </c>
      <c r="F2803" s="1">
        <v>46056</v>
      </c>
      <c r="G2803" t="str">
        <f t="shared" si="100"/>
        <v>Feb -2026</v>
      </c>
    </row>
    <row r="2804" spans="1:7" x14ac:dyDescent="0.3">
      <c r="A2804" s="4">
        <v>2209809</v>
      </c>
      <c r="B2804" s="3" t="s">
        <v>2044</v>
      </c>
      <c r="C2804" t="s">
        <v>1010</v>
      </c>
      <c r="D2804" s="3" t="s">
        <v>209</v>
      </c>
      <c r="E2804" s="3" t="s">
        <v>225</v>
      </c>
      <c r="F2804" s="1">
        <v>46056</v>
      </c>
      <c r="G2804" t="str">
        <f t="shared" si="100"/>
        <v>Feb -2026</v>
      </c>
    </row>
    <row r="2805" spans="1:7" x14ac:dyDescent="0.3">
      <c r="A2805" s="4">
        <v>900006217</v>
      </c>
      <c r="B2805" s="3" t="s">
        <v>2104</v>
      </c>
      <c r="C2805" s="3" t="s">
        <v>1011</v>
      </c>
      <c r="D2805" s="3" t="s">
        <v>2015</v>
      </c>
      <c r="E2805" s="3" t="s">
        <v>1877</v>
      </c>
      <c r="F2805" s="1">
        <v>46056</v>
      </c>
      <c r="G2805" t="str">
        <f t="shared" si="100"/>
        <v>Feb -2026</v>
      </c>
    </row>
    <row r="2806" spans="1:7" x14ac:dyDescent="0.3">
      <c r="A2806" s="4">
        <v>100005269</v>
      </c>
      <c r="B2806" s="3" t="s">
        <v>2105</v>
      </c>
      <c r="C2806" s="3" t="s">
        <v>1011</v>
      </c>
      <c r="D2806" s="3" t="s">
        <v>2015</v>
      </c>
      <c r="E2806" s="3" t="s">
        <v>2106</v>
      </c>
      <c r="F2806" s="1">
        <v>46056</v>
      </c>
      <c r="G2806" t="str">
        <f t="shared" si="100"/>
        <v>Feb -2026</v>
      </c>
    </row>
    <row r="2807" spans="1:7" x14ac:dyDescent="0.3">
      <c r="A2807" s="4">
        <v>900006207</v>
      </c>
      <c r="B2807" s="3" t="s">
        <v>2107</v>
      </c>
      <c r="C2807" s="3" t="s">
        <v>1011</v>
      </c>
      <c r="D2807" s="3" t="s">
        <v>2015</v>
      </c>
      <c r="E2807" s="3" t="s">
        <v>1877</v>
      </c>
      <c r="F2807" s="1">
        <v>46056</v>
      </c>
      <c r="G2807" t="str">
        <f t="shared" si="100"/>
        <v>Feb -2026</v>
      </c>
    </row>
    <row r="2808" spans="1:7" x14ac:dyDescent="0.3">
      <c r="A2808" s="4">
        <v>900006218</v>
      </c>
      <c r="B2808" s="3" t="s">
        <v>2108</v>
      </c>
      <c r="C2808" s="3" t="s">
        <v>1604</v>
      </c>
      <c r="D2808" s="3" t="s">
        <v>2031</v>
      </c>
      <c r="E2808" s="3" t="s">
        <v>1877</v>
      </c>
      <c r="F2808" s="1">
        <v>46056</v>
      </c>
      <c r="G2808" t="str">
        <f t="shared" si="100"/>
        <v>Feb -2026</v>
      </c>
    </row>
    <row r="2809" spans="1:7" x14ac:dyDescent="0.3">
      <c r="A2809" s="4">
        <v>900006219</v>
      </c>
      <c r="B2809" s="3" t="s">
        <v>2109</v>
      </c>
      <c r="C2809" s="3" t="s">
        <v>1604</v>
      </c>
      <c r="D2809" s="3" t="s">
        <v>2031</v>
      </c>
      <c r="E2809" s="3" t="s">
        <v>1877</v>
      </c>
      <c r="F2809" s="1">
        <v>46056</v>
      </c>
      <c r="G2809" t="str">
        <f t="shared" si="100"/>
        <v>Feb -2026</v>
      </c>
    </row>
    <row r="2810" spans="1:7" x14ac:dyDescent="0.3">
      <c r="A2810" s="4">
        <v>2209699</v>
      </c>
      <c r="B2810" s="3" t="s">
        <v>2044</v>
      </c>
      <c r="C2810" t="s">
        <v>1010</v>
      </c>
      <c r="D2810" s="3" t="s">
        <v>209</v>
      </c>
      <c r="E2810" s="3" t="s">
        <v>225</v>
      </c>
      <c r="F2810" s="1">
        <v>46057</v>
      </c>
      <c r="G2810" t="str">
        <f t="shared" si="100"/>
        <v>Feb -2026</v>
      </c>
    </row>
    <row r="2811" spans="1:7" x14ac:dyDescent="0.3">
      <c r="A2811" s="4">
        <v>2209810</v>
      </c>
      <c r="B2811" s="3" t="s">
        <v>2044</v>
      </c>
      <c r="C2811" t="s">
        <v>1010</v>
      </c>
      <c r="D2811" s="3" t="s">
        <v>209</v>
      </c>
      <c r="E2811" s="3" t="s">
        <v>225</v>
      </c>
      <c r="F2811" s="1">
        <v>46057</v>
      </c>
      <c r="G2811" t="str">
        <f t="shared" si="100"/>
        <v>Feb -2026</v>
      </c>
    </row>
    <row r="2812" spans="1:7" x14ac:dyDescent="0.3">
      <c r="A2812" s="4">
        <v>2209679</v>
      </c>
      <c r="B2812" s="3" t="s">
        <v>2044</v>
      </c>
      <c r="C2812" t="s">
        <v>1010</v>
      </c>
      <c r="D2812" s="3" t="s">
        <v>209</v>
      </c>
      <c r="E2812" s="3" t="s">
        <v>225</v>
      </c>
      <c r="F2812" s="1">
        <v>46057</v>
      </c>
      <c r="G2812" t="str">
        <f t="shared" si="100"/>
        <v>Feb -2026</v>
      </c>
    </row>
    <row r="2813" spans="1:7" x14ac:dyDescent="0.3">
      <c r="A2813" s="4">
        <v>2209790</v>
      </c>
      <c r="B2813" s="3" t="s">
        <v>2111</v>
      </c>
      <c r="C2813" t="s">
        <v>1010</v>
      </c>
      <c r="D2813" s="3" t="s">
        <v>209</v>
      </c>
      <c r="E2813" s="3" t="s">
        <v>225</v>
      </c>
      <c r="F2813" s="1">
        <v>46057</v>
      </c>
      <c r="G2813" t="str">
        <f t="shared" si="100"/>
        <v>Feb -2026</v>
      </c>
    </row>
    <row r="2814" spans="1:7" x14ac:dyDescent="0.3">
      <c r="A2814" s="4">
        <v>2209846</v>
      </c>
      <c r="B2814" s="3" t="s">
        <v>2111</v>
      </c>
      <c r="C2814" t="s">
        <v>1010</v>
      </c>
      <c r="D2814" s="3" t="s">
        <v>209</v>
      </c>
      <c r="E2814" s="3" t="s">
        <v>225</v>
      </c>
      <c r="F2814" s="1">
        <v>46057</v>
      </c>
      <c r="G2814" t="str">
        <f t="shared" si="100"/>
        <v>Feb -2026</v>
      </c>
    </row>
    <row r="2815" spans="1:7" x14ac:dyDescent="0.3">
      <c r="A2815" s="4">
        <v>2209866</v>
      </c>
      <c r="B2815" s="3" t="s">
        <v>2111</v>
      </c>
      <c r="C2815" t="s">
        <v>1010</v>
      </c>
      <c r="D2815" s="3" t="s">
        <v>209</v>
      </c>
      <c r="E2815" s="3" t="s">
        <v>225</v>
      </c>
      <c r="F2815" s="1">
        <v>46057</v>
      </c>
      <c r="G2815" t="str">
        <f t="shared" si="100"/>
        <v>Feb -2026</v>
      </c>
    </row>
    <row r="2816" spans="1:7" x14ac:dyDescent="0.3">
      <c r="A2816" s="4">
        <v>2209896</v>
      </c>
      <c r="B2816" s="3" t="s">
        <v>2111</v>
      </c>
      <c r="C2816" t="s">
        <v>1010</v>
      </c>
      <c r="D2816" s="3" t="s">
        <v>209</v>
      </c>
      <c r="E2816" s="3" t="s">
        <v>225</v>
      </c>
      <c r="F2816" s="1">
        <v>46057</v>
      </c>
      <c r="G2816" t="str">
        <f t="shared" si="100"/>
        <v>Feb -2026</v>
      </c>
    </row>
    <row r="2817" spans="1:7" x14ac:dyDescent="0.3">
      <c r="A2817" s="4">
        <v>2209888</v>
      </c>
      <c r="B2817" s="3" t="s">
        <v>2111</v>
      </c>
      <c r="C2817" t="s">
        <v>1010</v>
      </c>
      <c r="D2817" s="3" t="s">
        <v>209</v>
      </c>
      <c r="E2817" s="3" t="s">
        <v>225</v>
      </c>
      <c r="F2817" s="1">
        <v>46057</v>
      </c>
      <c r="G2817" t="str">
        <f t="shared" si="100"/>
        <v>Feb -2026</v>
      </c>
    </row>
    <row r="2818" spans="1:7" x14ac:dyDescent="0.3">
      <c r="A2818" s="4">
        <v>2209868</v>
      </c>
      <c r="B2818" s="3" t="s">
        <v>2111</v>
      </c>
      <c r="C2818" t="s">
        <v>1010</v>
      </c>
      <c r="D2818" s="3" t="s">
        <v>209</v>
      </c>
      <c r="E2818" s="3" t="s">
        <v>225</v>
      </c>
      <c r="F2818" s="1">
        <v>46057</v>
      </c>
      <c r="G2818" t="str">
        <f t="shared" si="100"/>
        <v>Feb -2026</v>
      </c>
    </row>
    <row r="2819" spans="1:7" x14ac:dyDescent="0.3">
      <c r="A2819" s="4">
        <v>2209897</v>
      </c>
      <c r="B2819" s="3" t="s">
        <v>2111</v>
      </c>
      <c r="C2819" t="s">
        <v>1010</v>
      </c>
      <c r="D2819" s="3" t="s">
        <v>209</v>
      </c>
      <c r="E2819" s="3" t="s">
        <v>225</v>
      </c>
      <c r="F2819" s="1">
        <v>46057</v>
      </c>
      <c r="G2819" t="str">
        <f t="shared" si="100"/>
        <v>Feb -2026</v>
      </c>
    </row>
    <row r="2820" spans="1:7" x14ac:dyDescent="0.3">
      <c r="A2820" s="4">
        <v>2209864</v>
      </c>
      <c r="B2820" s="3" t="s">
        <v>2111</v>
      </c>
      <c r="C2820" t="s">
        <v>1010</v>
      </c>
      <c r="D2820" s="3" t="s">
        <v>209</v>
      </c>
      <c r="E2820" s="3" t="s">
        <v>225</v>
      </c>
      <c r="F2820" s="1">
        <v>46057</v>
      </c>
      <c r="G2820" t="str">
        <f t="shared" si="100"/>
        <v>Feb -2026</v>
      </c>
    </row>
    <row r="2821" spans="1:7" x14ac:dyDescent="0.3">
      <c r="A2821" s="4">
        <v>2209861</v>
      </c>
      <c r="B2821" s="3" t="s">
        <v>2111</v>
      </c>
      <c r="C2821" t="s">
        <v>1010</v>
      </c>
      <c r="D2821" s="3" t="s">
        <v>209</v>
      </c>
      <c r="E2821" s="3" t="s">
        <v>225</v>
      </c>
      <c r="F2821" s="1">
        <v>46057</v>
      </c>
      <c r="G2821" t="str">
        <f t="shared" si="100"/>
        <v>Feb -2026</v>
      </c>
    </row>
    <row r="2822" spans="1:7" x14ac:dyDescent="0.3">
      <c r="A2822" s="4">
        <v>2209030</v>
      </c>
      <c r="B2822" s="3" t="s">
        <v>2112</v>
      </c>
      <c r="C2822" t="s">
        <v>1010</v>
      </c>
      <c r="D2822" s="3" t="s">
        <v>209</v>
      </c>
      <c r="E2822" s="3" t="s">
        <v>225</v>
      </c>
      <c r="F2822" s="1">
        <v>46057</v>
      </c>
      <c r="G2822" t="str">
        <f t="shared" si="100"/>
        <v>Feb -2026</v>
      </c>
    </row>
    <row r="2823" spans="1:7" x14ac:dyDescent="0.3">
      <c r="A2823" s="4">
        <v>200003281</v>
      </c>
      <c r="B2823" s="3" t="s">
        <v>2113</v>
      </c>
      <c r="C2823" t="s">
        <v>1010</v>
      </c>
      <c r="D2823" s="3" t="s">
        <v>192</v>
      </c>
      <c r="E2823" s="3" t="s">
        <v>216</v>
      </c>
      <c r="F2823" s="1">
        <v>46057</v>
      </c>
      <c r="G2823" t="str">
        <f t="shared" si="100"/>
        <v>Feb -2026</v>
      </c>
    </row>
    <row r="2824" spans="1:7" x14ac:dyDescent="0.3">
      <c r="A2824" s="4">
        <v>200003271</v>
      </c>
      <c r="B2824" s="3" t="s">
        <v>2114</v>
      </c>
      <c r="C2824" t="s">
        <v>1010</v>
      </c>
      <c r="D2824" s="3" t="s">
        <v>192</v>
      </c>
      <c r="E2824" s="3" t="s">
        <v>418</v>
      </c>
      <c r="F2824" s="1">
        <v>46057</v>
      </c>
      <c r="G2824" t="str">
        <f t="shared" si="100"/>
        <v>Feb -2026</v>
      </c>
    </row>
    <row r="2825" spans="1:7" x14ac:dyDescent="0.3">
      <c r="A2825" s="4">
        <v>2212149</v>
      </c>
      <c r="B2825" s="3" t="s">
        <v>1452</v>
      </c>
      <c r="C2825" t="s">
        <v>1010</v>
      </c>
      <c r="D2825" s="3" t="s">
        <v>209</v>
      </c>
      <c r="E2825" s="3" t="s">
        <v>225</v>
      </c>
      <c r="F2825" s="1">
        <v>46057</v>
      </c>
      <c r="G2825" t="str">
        <f t="shared" si="100"/>
        <v>Feb -2026</v>
      </c>
    </row>
    <row r="2826" spans="1:7" x14ac:dyDescent="0.3">
      <c r="A2826" s="4">
        <v>900006046</v>
      </c>
      <c r="B2826" s="3" t="s">
        <v>2115</v>
      </c>
      <c r="C2826" t="s">
        <v>1010</v>
      </c>
      <c r="D2826" s="3" t="s">
        <v>209</v>
      </c>
      <c r="E2826" s="3" t="s">
        <v>1877</v>
      </c>
      <c r="F2826" s="1">
        <v>46057</v>
      </c>
      <c r="G2826" t="str">
        <f t="shared" si="100"/>
        <v>Feb -2026</v>
      </c>
    </row>
    <row r="2827" spans="1:7" x14ac:dyDescent="0.3">
      <c r="A2827" s="4">
        <v>2209810</v>
      </c>
      <c r="B2827" s="3" t="s">
        <v>2044</v>
      </c>
      <c r="C2827" t="s">
        <v>1010</v>
      </c>
      <c r="D2827" s="3" t="s">
        <v>209</v>
      </c>
      <c r="E2827" s="3" t="s">
        <v>225</v>
      </c>
      <c r="F2827" s="1">
        <v>46057</v>
      </c>
      <c r="G2827" t="str">
        <f t="shared" si="100"/>
        <v>Feb -2026</v>
      </c>
    </row>
    <row r="2828" spans="1:7" x14ac:dyDescent="0.3">
      <c r="A2828" s="4">
        <v>2212185</v>
      </c>
      <c r="B2828" s="3" t="s">
        <v>2116</v>
      </c>
      <c r="C2828" t="s">
        <v>1010</v>
      </c>
      <c r="D2828" s="3" t="s">
        <v>209</v>
      </c>
      <c r="E2828" s="3" t="s">
        <v>225</v>
      </c>
      <c r="F2828" s="1">
        <v>46057</v>
      </c>
      <c r="G2828" t="str">
        <f t="shared" si="100"/>
        <v>Feb -2026</v>
      </c>
    </row>
    <row r="2829" spans="1:7" x14ac:dyDescent="0.3">
      <c r="A2829" s="4">
        <v>2212184</v>
      </c>
      <c r="B2829" s="3" t="s">
        <v>2116</v>
      </c>
      <c r="C2829" t="s">
        <v>1010</v>
      </c>
      <c r="D2829" s="3" t="s">
        <v>209</v>
      </c>
      <c r="E2829" s="3" t="s">
        <v>225</v>
      </c>
      <c r="F2829" s="1">
        <v>46057</v>
      </c>
      <c r="G2829" t="str">
        <f t="shared" si="100"/>
        <v>Feb -2026</v>
      </c>
    </row>
    <row r="2830" spans="1:7" x14ac:dyDescent="0.3">
      <c r="A2830" s="4">
        <v>2209777</v>
      </c>
      <c r="B2830" s="3" t="s">
        <v>2117</v>
      </c>
      <c r="C2830" t="s">
        <v>1010</v>
      </c>
      <c r="D2830" s="3" t="s">
        <v>1259</v>
      </c>
      <c r="E2830" s="3" t="s">
        <v>228</v>
      </c>
      <c r="F2830" s="1">
        <v>46057</v>
      </c>
      <c r="G2830" t="str">
        <f t="shared" si="100"/>
        <v>Feb -2026</v>
      </c>
    </row>
    <row r="2831" spans="1:7" x14ac:dyDescent="0.3">
      <c r="A2831" s="4">
        <v>900006209</v>
      </c>
      <c r="B2831" s="3" t="s">
        <v>2118</v>
      </c>
      <c r="C2831" s="3" t="s">
        <v>1604</v>
      </c>
      <c r="D2831" s="3" t="s">
        <v>2031</v>
      </c>
      <c r="E2831" s="3" t="s">
        <v>1877</v>
      </c>
      <c r="F2831" s="1">
        <v>46057</v>
      </c>
      <c r="G2831" t="str">
        <f t="shared" si="100"/>
        <v>Feb -2026</v>
      </c>
    </row>
    <row r="2832" spans="1:7" x14ac:dyDescent="0.3">
      <c r="A2832" s="4">
        <v>100005350</v>
      </c>
      <c r="B2832" s="3" t="s">
        <v>2119</v>
      </c>
      <c r="C2832" s="3" t="s">
        <v>1011</v>
      </c>
      <c r="D2832" s="3" t="s">
        <v>2015</v>
      </c>
      <c r="E2832" s="3" t="s">
        <v>967</v>
      </c>
      <c r="F2832" s="1">
        <v>46057</v>
      </c>
      <c r="G2832" t="str">
        <f t="shared" si="100"/>
        <v>Feb -2026</v>
      </c>
    </row>
    <row r="2833" spans="1:7" x14ac:dyDescent="0.3">
      <c r="A2833" s="4">
        <v>100005317</v>
      </c>
      <c r="B2833" s="3" t="s">
        <v>2120</v>
      </c>
      <c r="C2833" s="3" t="s">
        <v>1011</v>
      </c>
      <c r="D2833" s="3" t="s">
        <v>2015</v>
      </c>
      <c r="E2833" s="3" t="s">
        <v>1609</v>
      </c>
      <c r="F2833" s="1">
        <v>46057</v>
      </c>
      <c r="G2833" t="str">
        <f t="shared" si="100"/>
        <v>Feb -2026</v>
      </c>
    </row>
    <row r="2834" spans="1:7" x14ac:dyDescent="0.3">
      <c r="A2834" s="4">
        <v>100005352</v>
      </c>
      <c r="B2834" s="3" t="s">
        <v>2121</v>
      </c>
      <c r="C2834" s="3" t="s">
        <v>1011</v>
      </c>
      <c r="D2834" s="3" t="s">
        <v>2015</v>
      </c>
      <c r="E2834" s="3" t="s">
        <v>1569</v>
      </c>
      <c r="F2834" s="1">
        <v>46057</v>
      </c>
      <c r="G2834" t="str">
        <f t="shared" si="100"/>
        <v>Feb -2026</v>
      </c>
    </row>
    <row r="2835" spans="1:7" x14ac:dyDescent="0.3">
      <c r="A2835" s="4">
        <v>2212547</v>
      </c>
      <c r="B2835" s="3" t="s">
        <v>2122</v>
      </c>
      <c r="C2835" t="s">
        <v>1010</v>
      </c>
      <c r="D2835" s="3" t="s">
        <v>1259</v>
      </c>
      <c r="E2835" s="3" t="s">
        <v>228</v>
      </c>
      <c r="F2835" s="1">
        <v>46058</v>
      </c>
      <c r="G2835" t="str">
        <f t="shared" si="100"/>
        <v>Feb -2026</v>
      </c>
    </row>
    <row r="2836" spans="1:7" x14ac:dyDescent="0.3">
      <c r="A2836" s="4">
        <v>2212301</v>
      </c>
      <c r="B2836" s="3" t="s">
        <v>47</v>
      </c>
      <c r="C2836" t="s">
        <v>1010</v>
      </c>
      <c r="D2836" s="3" t="s">
        <v>1020</v>
      </c>
      <c r="E2836" s="3" t="s">
        <v>211</v>
      </c>
      <c r="F2836" s="1">
        <v>46058</v>
      </c>
      <c r="G2836" t="str">
        <f t="shared" si="100"/>
        <v>Feb -2026</v>
      </c>
    </row>
    <row r="2837" spans="1:7" x14ac:dyDescent="0.3">
      <c r="A2837" s="4">
        <v>2213193</v>
      </c>
      <c r="B2837" s="3" t="s">
        <v>2123</v>
      </c>
      <c r="C2837" t="s">
        <v>1010</v>
      </c>
      <c r="D2837" s="3" t="s">
        <v>209</v>
      </c>
      <c r="E2837" s="3" t="s">
        <v>211</v>
      </c>
      <c r="F2837" s="1">
        <v>46058</v>
      </c>
      <c r="G2837" t="str">
        <f t="shared" si="100"/>
        <v>Feb -2026</v>
      </c>
    </row>
    <row r="2838" spans="1:7" x14ac:dyDescent="0.3">
      <c r="A2838" s="4">
        <v>2215121</v>
      </c>
      <c r="B2838" s="3" t="s">
        <v>41</v>
      </c>
      <c r="C2838" t="s">
        <v>1010</v>
      </c>
      <c r="D2838" s="3" t="s">
        <v>1020</v>
      </c>
      <c r="E2838" s="3" t="s">
        <v>228</v>
      </c>
      <c r="F2838" s="1">
        <v>46058</v>
      </c>
      <c r="G2838" t="str">
        <f t="shared" si="100"/>
        <v>Feb -2026</v>
      </c>
    </row>
    <row r="2839" spans="1:7" x14ac:dyDescent="0.3">
      <c r="A2839" s="4">
        <v>200001547</v>
      </c>
      <c r="B2839" s="3" t="s">
        <v>1355</v>
      </c>
      <c r="C2839" t="s">
        <v>1010</v>
      </c>
      <c r="D2839" s="3" t="s">
        <v>1229</v>
      </c>
      <c r="E2839" s="3" t="s">
        <v>7</v>
      </c>
      <c r="F2839" s="1">
        <v>46058</v>
      </c>
      <c r="G2839" t="str">
        <f t="shared" si="100"/>
        <v>Feb -2026</v>
      </c>
    </row>
    <row r="2840" spans="1:7" x14ac:dyDescent="0.3">
      <c r="A2840" s="4">
        <v>200001548</v>
      </c>
      <c r="B2840" s="3" t="s">
        <v>1355</v>
      </c>
      <c r="C2840" t="s">
        <v>1010</v>
      </c>
      <c r="D2840" s="3" t="s">
        <v>1229</v>
      </c>
      <c r="E2840" s="3" t="s">
        <v>7</v>
      </c>
      <c r="F2840" s="1">
        <v>46058</v>
      </c>
      <c r="G2840" t="str">
        <f t="shared" si="100"/>
        <v>Feb -2026</v>
      </c>
    </row>
    <row r="2841" spans="1:7" x14ac:dyDescent="0.3">
      <c r="A2841" s="4">
        <v>2214494</v>
      </c>
      <c r="B2841" s="3" t="s">
        <v>2124</v>
      </c>
      <c r="C2841" t="s">
        <v>1010</v>
      </c>
      <c r="D2841" s="3" t="s">
        <v>209</v>
      </c>
      <c r="E2841" s="3" t="s">
        <v>210</v>
      </c>
      <c r="F2841" s="1">
        <v>46058</v>
      </c>
      <c r="G2841" t="str">
        <f t="shared" si="100"/>
        <v>Feb -2026</v>
      </c>
    </row>
    <row r="2842" spans="1:7" x14ac:dyDescent="0.3">
      <c r="A2842" s="4">
        <v>2214522</v>
      </c>
      <c r="B2842" s="3" t="s">
        <v>2124</v>
      </c>
      <c r="C2842" t="s">
        <v>1010</v>
      </c>
      <c r="D2842" s="3" t="s">
        <v>209</v>
      </c>
      <c r="E2842" s="3" t="s">
        <v>210</v>
      </c>
      <c r="F2842" s="1">
        <v>46058</v>
      </c>
      <c r="G2842" t="str">
        <f t="shared" si="100"/>
        <v>Feb -2026</v>
      </c>
    </row>
    <row r="2843" spans="1:7" x14ac:dyDescent="0.3">
      <c r="A2843" s="4">
        <v>2214597</v>
      </c>
      <c r="B2843" s="3" t="s">
        <v>2124</v>
      </c>
      <c r="C2843" t="s">
        <v>1010</v>
      </c>
      <c r="D2843" s="3" t="s">
        <v>209</v>
      </c>
      <c r="E2843" s="3" t="s">
        <v>210</v>
      </c>
      <c r="F2843" s="1">
        <v>46058</v>
      </c>
      <c r="G2843" t="str">
        <f t="shared" si="100"/>
        <v>Feb -2026</v>
      </c>
    </row>
    <row r="2844" spans="1:7" x14ac:dyDescent="0.3">
      <c r="A2844" s="4">
        <v>2214627</v>
      </c>
      <c r="B2844" s="3" t="s">
        <v>2124</v>
      </c>
      <c r="C2844" t="s">
        <v>1010</v>
      </c>
      <c r="D2844" s="3" t="s">
        <v>209</v>
      </c>
      <c r="E2844" s="3" t="s">
        <v>210</v>
      </c>
      <c r="F2844" s="1">
        <v>46058</v>
      </c>
      <c r="G2844" t="str">
        <f t="shared" si="100"/>
        <v>Feb -2026</v>
      </c>
    </row>
    <row r="2845" spans="1:7" x14ac:dyDescent="0.3">
      <c r="A2845" s="4">
        <v>100005318</v>
      </c>
      <c r="B2845" s="3" t="s">
        <v>2125</v>
      </c>
      <c r="C2845" s="3" t="s">
        <v>1011</v>
      </c>
      <c r="D2845" s="3" t="s">
        <v>2015</v>
      </c>
      <c r="E2845" s="3" t="s">
        <v>1103</v>
      </c>
      <c r="F2845" s="1">
        <v>46058</v>
      </c>
      <c r="G2845" t="str">
        <f t="shared" si="100"/>
        <v>Feb -2026</v>
      </c>
    </row>
    <row r="2846" spans="1:7" x14ac:dyDescent="0.3">
      <c r="A2846" s="4">
        <v>100005348</v>
      </c>
      <c r="B2846" s="3" t="s">
        <v>2126</v>
      </c>
      <c r="C2846" s="3" t="s">
        <v>1011</v>
      </c>
      <c r="D2846" s="3" t="s">
        <v>2015</v>
      </c>
      <c r="E2846" s="3" t="s">
        <v>967</v>
      </c>
      <c r="F2846" s="1">
        <v>46058</v>
      </c>
      <c r="G2846" t="str">
        <f t="shared" si="100"/>
        <v>Feb -2026</v>
      </c>
    </row>
    <row r="2847" spans="1:7" x14ac:dyDescent="0.3">
      <c r="A2847" s="4">
        <v>100005370</v>
      </c>
      <c r="B2847" s="3" t="s">
        <v>2127</v>
      </c>
      <c r="C2847" s="3" t="s">
        <v>1011</v>
      </c>
      <c r="D2847" s="3" t="s">
        <v>2015</v>
      </c>
      <c r="E2847" s="3" t="s">
        <v>976</v>
      </c>
      <c r="F2847" s="1">
        <v>46058</v>
      </c>
      <c r="G2847" t="str">
        <f t="shared" si="100"/>
        <v>Feb -2026</v>
      </c>
    </row>
    <row r="2848" spans="1:7" x14ac:dyDescent="0.3">
      <c r="A2848" s="4">
        <v>900006246</v>
      </c>
      <c r="B2848" s="3" t="s">
        <v>2128</v>
      </c>
      <c r="C2848" s="3" t="s">
        <v>1604</v>
      </c>
      <c r="D2848" s="3" t="s">
        <v>2031</v>
      </c>
      <c r="E2848" s="3" t="s">
        <v>1877</v>
      </c>
      <c r="F2848" s="1">
        <v>46058</v>
      </c>
      <c r="G2848" t="str">
        <f t="shared" si="100"/>
        <v>Feb -2026</v>
      </c>
    </row>
    <row r="2849" spans="1:7" x14ac:dyDescent="0.3">
      <c r="A2849" s="4">
        <v>900006273</v>
      </c>
      <c r="B2849" s="3" t="s">
        <v>2129</v>
      </c>
      <c r="C2849" s="3" t="s">
        <v>1604</v>
      </c>
      <c r="D2849" s="3" t="s">
        <v>2031</v>
      </c>
      <c r="E2849" s="3" t="s">
        <v>1877</v>
      </c>
      <c r="F2849" s="1">
        <v>46058</v>
      </c>
      <c r="G2849" t="str">
        <f t="shared" si="100"/>
        <v>Feb -2026</v>
      </c>
    </row>
    <row r="2850" spans="1:7" x14ac:dyDescent="0.3">
      <c r="A2850" s="4">
        <v>100005350</v>
      </c>
      <c r="B2850" s="3" t="s">
        <v>2119</v>
      </c>
      <c r="C2850" s="3" t="s">
        <v>1011</v>
      </c>
      <c r="D2850" s="3" t="s">
        <v>2015</v>
      </c>
      <c r="E2850" s="3" t="s">
        <v>2130</v>
      </c>
      <c r="F2850" s="1">
        <v>46058</v>
      </c>
      <c r="G2850" t="str">
        <f t="shared" si="100"/>
        <v>Feb -2026</v>
      </c>
    </row>
    <row r="2851" spans="1:7" x14ac:dyDescent="0.3">
      <c r="A2851" s="4">
        <v>100005355</v>
      </c>
      <c r="B2851" s="3" t="s">
        <v>2131</v>
      </c>
      <c r="C2851" s="3" t="s">
        <v>1011</v>
      </c>
      <c r="D2851" s="3" t="s">
        <v>2015</v>
      </c>
      <c r="E2851" s="3" t="s">
        <v>968</v>
      </c>
      <c r="F2851" s="1">
        <v>46059</v>
      </c>
      <c r="G2851" t="str">
        <f t="shared" si="100"/>
        <v>Feb -2026</v>
      </c>
    </row>
    <row r="2852" spans="1:7" x14ac:dyDescent="0.3">
      <c r="A2852" s="4">
        <v>100005353</v>
      </c>
      <c r="B2852" s="3" t="s">
        <v>2132</v>
      </c>
      <c r="C2852" s="3" t="s">
        <v>1011</v>
      </c>
      <c r="D2852" s="3" t="s">
        <v>2015</v>
      </c>
      <c r="E2852" s="3" t="s">
        <v>970</v>
      </c>
      <c r="F2852" s="1">
        <v>46059</v>
      </c>
      <c r="G2852" t="str">
        <f t="shared" ref="G2852:G2856" si="101">TEXT(F2852,"mmm -YYYY")</f>
        <v>Feb -2026</v>
      </c>
    </row>
    <row r="2853" spans="1:7" x14ac:dyDescent="0.3">
      <c r="A2853" s="4">
        <v>900006207</v>
      </c>
      <c r="B2853" s="3" t="s">
        <v>2107</v>
      </c>
      <c r="C2853" s="3" t="s">
        <v>1011</v>
      </c>
      <c r="D2853" s="3" t="s">
        <v>2015</v>
      </c>
      <c r="E2853" s="3" t="s">
        <v>1877</v>
      </c>
      <c r="F2853" s="1">
        <v>46059</v>
      </c>
      <c r="G2853" t="str">
        <f t="shared" si="101"/>
        <v>Feb -2026</v>
      </c>
    </row>
    <row r="2854" spans="1:7" x14ac:dyDescent="0.3">
      <c r="A2854" s="4">
        <v>900006303</v>
      </c>
      <c r="B2854" s="3" t="s">
        <v>2133</v>
      </c>
      <c r="C2854" s="3" t="s">
        <v>1604</v>
      </c>
      <c r="D2854" s="3" t="s">
        <v>2018</v>
      </c>
      <c r="E2854" s="3" t="s">
        <v>1877</v>
      </c>
      <c r="F2854" s="1">
        <v>46059</v>
      </c>
      <c r="G2854" t="str">
        <f t="shared" si="101"/>
        <v>Feb -2026</v>
      </c>
    </row>
    <row r="2855" spans="1:7" x14ac:dyDescent="0.3">
      <c r="A2855" s="4">
        <v>900006246</v>
      </c>
      <c r="B2855" s="3" t="s">
        <v>2128</v>
      </c>
      <c r="C2855" s="3" t="s">
        <v>1604</v>
      </c>
      <c r="D2855" s="3" t="s">
        <v>2031</v>
      </c>
      <c r="E2855" s="3" t="s">
        <v>1877</v>
      </c>
      <c r="F2855" s="1">
        <v>46059</v>
      </c>
      <c r="G2855" t="str">
        <f t="shared" si="101"/>
        <v>Feb -2026</v>
      </c>
    </row>
    <row r="2856" spans="1:7" x14ac:dyDescent="0.3">
      <c r="A2856" s="4">
        <v>900006301</v>
      </c>
      <c r="B2856" s="3" t="s">
        <v>2134</v>
      </c>
      <c r="C2856" s="3" t="s">
        <v>1604</v>
      </c>
      <c r="D2856" s="3" t="s">
        <v>2031</v>
      </c>
      <c r="E2856" s="3" t="s">
        <v>1877</v>
      </c>
      <c r="F2856" s="1">
        <v>46059</v>
      </c>
      <c r="G2856" t="str">
        <f t="shared" si="101"/>
        <v>Feb -2026</v>
      </c>
    </row>
    <row r="2857" spans="1:7" x14ac:dyDescent="0.3">
      <c r="A2857" s="4">
        <v>2212301</v>
      </c>
      <c r="B2857" s="3" t="s">
        <v>47</v>
      </c>
      <c r="C2857" t="s">
        <v>1010</v>
      </c>
      <c r="D2857" s="3" t="s">
        <v>1020</v>
      </c>
      <c r="E2857" s="3" t="s">
        <v>211</v>
      </c>
      <c r="F2857" s="1">
        <v>46059</v>
      </c>
      <c r="G2857" t="str">
        <f t="shared" ref="G2857:G2920" si="102">TEXT(F2857,"mmm -YYYY")</f>
        <v>Feb -2026</v>
      </c>
    </row>
    <row r="2858" spans="1:7" x14ac:dyDescent="0.3">
      <c r="A2858" s="4">
        <v>2215681</v>
      </c>
      <c r="B2858" s="3" t="s">
        <v>1911</v>
      </c>
      <c r="C2858" t="s">
        <v>1010</v>
      </c>
      <c r="D2858" s="3" t="s">
        <v>1020</v>
      </c>
      <c r="E2858" s="3" t="s">
        <v>338</v>
      </c>
      <c r="F2858" s="1">
        <v>46059</v>
      </c>
      <c r="G2858" t="str">
        <f t="shared" si="102"/>
        <v>Feb -2026</v>
      </c>
    </row>
    <row r="2859" spans="1:7" x14ac:dyDescent="0.3">
      <c r="A2859" s="4">
        <v>2215712</v>
      </c>
      <c r="B2859" s="3" t="s">
        <v>1911</v>
      </c>
      <c r="C2859" t="s">
        <v>1010</v>
      </c>
      <c r="D2859" s="3" t="s">
        <v>1020</v>
      </c>
      <c r="E2859" s="3" t="s">
        <v>338</v>
      </c>
      <c r="F2859" s="1">
        <v>46059</v>
      </c>
      <c r="G2859" t="str">
        <f t="shared" si="102"/>
        <v>Feb -2026</v>
      </c>
    </row>
    <row r="2860" spans="1:7" x14ac:dyDescent="0.3">
      <c r="A2860" s="4">
        <v>2209853</v>
      </c>
      <c r="B2860" s="3" t="s">
        <v>2135</v>
      </c>
      <c r="C2860" t="s">
        <v>1010</v>
      </c>
      <c r="D2860" s="3" t="s">
        <v>1020</v>
      </c>
      <c r="E2860" s="3" t="s">
        <v>435</v>
      </c>
      <c r="F2860" s="1">
        <v>46059</v>
      </c>
      <c r="G2860" t="str">
        <f t="shared" si="102"/>
        <v>Feb -2026</v>
      </c>
    </row>
    <row r="2861" spans="1:7" x14ac:dyDescent="0.3">
      <c r="A2861" s="4">
        <v>2218393</v>
      </c>
      <c r="B2861" s="3" t="s">
        <v>1452</v>
      </c>
      <c r="C2861" t="s">
        <v>1010</v>
      </c>
      <c r="D2861" s="3" t="s">
        <v>209</v>
      </c>
      <c r="E2861" s="3" t="s">
        <v>225</v>
      </c>
      <c r="F2861" s="1">
        <v>46059</v>
      </c>
      <c r="G2861" t="str">
        <f t="shared" si="102"/>
        <v>Feb -2026</v>
      </c>
    </row>
    <row r="2862" spans="1:7" x14ac:dyDescent="0.3">
      <c r="A2862" s="4">
        <v>2218219</v>
      </c>
      <c r="B2862" s="3" t="s">
        <v>1441</v>
      </c>
      <c r="C2862" t="s">
        <v>1010</v>
      </c>
      <c r="D2862" s="3" t="s">
        <v>209</v>
      </c>
      <c r="E2862" s="3" t="s">
        <v>225</v>
      </c>
      <c r="F2862" s="1">
        <v>46059</v>
      </c>
      <c r="G2862" t="str">
        <f t="shared" si="102"/>
        <v>Feb -2026</v>
      </c>
    </row>
    <row r="2863" spans="1:7" x14ac:dyDescent="0.3">
      <c r="A2863" s="4">
        <v>2218491</v>
      </c>
      <c r="B2863" s="3" t="s">
        <v>2136</v>
      </c>
      <c r="C2863" t="s">
        <v>1010</v>
      </c>
      <c r="D2863" s="3" t="s">
        <v>209</v>
      </c>
      <c r="E2863" s="3" t="s">
        <v>225</v>
      </c>
      <c r="F2863" s="1">
        <v>46059</v>
      </c>
      <c r="G2863" t="str">
        <f t="shared" si="102"/>
        <v>Feb -2026</v>
      </c>
    </row>
    <row r="2864" spans="1:7" x14ac:dyDescent="0.3">
      <c r="A2864" s="4">
        <v>2214522</v>
      </c>
      <c r="B2864" s="3" t="s">
        <v>2137</v>
      </c>
      <c r="C2864" t="s">
        <v>1010</v>
      </c>
      <c r="D2864" s="3" t="s">
        <v>209</v>
      </c>
      <c r="E2864" s="3" t="s">
        <v>210</v>
      </c>
      <c r="F2864" s="1">
        <v>46059</v>
      </c>
      <c r="G2864" t="str">
        <f t="shared" si="102"/>
        <v>Feb -2026</v>
      </c>
    </row>
    <row r="2865" spans="1:7" x14ac:dyDescent="0.3">
      <c r="A2865" s="4">
        <v>2214494</v>
      </c>
      <c r="B2865" s="3" t="s">
        <v>2137</v>
      </c>
      <c r="C2865" t="s">
        <v>1010</v>
      </c>
      <c r="D2865" s="3" t="s">
        <v>209</v>
      </c>
      <c r="E2865" s="3" t="s">
        <v>210</v>
      </c>
      <c r="F2865" s="1">
        <v>46059</v>
      </c>
      <c r="G2865" t="str">
        <f t="shared" si="102"/>
        <v>Feb -2026</v>
      </c>
    </row>
    <row r="2866" spans="1:7" x14ac:dyDescent="0.3">
      <c r="A2866" s="4">
        <v>2214597</v>
      </c>
      <c r="B2866" s="3" t="s">
        <v>2137</v>
      </c>
      <c r="C2866" t="s">
        <v>1010</v>
      </c>
      <c r="D2866" s="3" t="s">
        <v>209</v>
      </c>
      <c r="E2866" s="3" t="s">
        <v>210</v>
      </c>
      <c r="F2866" s="1">
        <v>46059</v>
      </c>
      <c r="G2866" t="str">
        <f t="shared" si="102"/>
        <v>Feb -2026</v>
      </c>
    </row>
    <row r="2867" spans="1:7" x14ac:dyDescent="0.3">
      <c r="A2867" s="4">
        <v>2214627</v>
      </c>
      <c r="B2867" s="3" t="s">
        <v>2137</v>
      </c>
      <c r="C2867" t="s">
        <v>1010</v>
      </c>
      <c r="D2867" s="3" t="s">
        <v>209</v>
      </c>
      <c r="E2867" s="3" t="s">
        <v>210</v>
      </c>
      <c r="F2867" s="1">
        <v>46059</v>
      </c>
      <c r="G2867" t="str">
        <f t="shared" si="102"/>
        <v>Feb -2026</v>
      </c>
    </row>
    <row r="2868" spans="1:7" x14ac:dyDescent="0.3">
      <c r="A2868" s="4">
        <v>2225900</v>
      </c>
      <c r="B2868" s="3" t="s">
        <v>2138</v>
      </c>
      <c r="C2868" t="s">
        <v>1010</v>
      </c>
      <c r="D2868" s="3" t="s">
        <v>209</v>
      </c>
      <c r="E2868" s="3" t="s">
        <v>225</v>
      </c>
      <c r="F2868" s="1">
        <v>46062</v>
      </c>
      <c r="G2868" t="str">
        <f t="shared" si="102"/>
        <v>Feb -2026</v>
      </c>
    </row>
    <row r="2869" spans="1:7" x14ac:dyDescent="0.3">
      <c r="A2869" s="4">
        <v>900006287</v>
      </c>
      <c r="B2869" s="3" t="s">
        <v>2139</v>
      </c>
      <c r="C2869" t="s">
        <v>1010</v>
      </c>
      <c r="D2869" s="3" t="s">
        <v>1551</v>
      </c>
      <c r="E2869" s="3" t="s">
        <v>1877</v>
      </c>
      <c r="F2869" s="1">
        <v>46062</v>
      </c>
      <c r="G2869" t="str">
        <f t="shared" si="102"/>
        <v>Feb -2026</v>
      </c>
    </row>
    <row r="2870" spans="1:7" x14ac:dyDescent="0.3">
      <c r="A2870" s="4">
        <v>2216251</v>
      </c>
      <c r="B2870" s="3" t="s">
        <v>2140</v>
      </c>
      <c r="C2870" t="s">
        <v>1010</v>
      </c>
      <c r="D2870" s="3" t="s">
        <v>1259</v>
      </c>
      <c r="E2870" s="3" t="s">
        <v>228</v>
      </c>
      <c r="F2870" s="1">
        <v>46062</v>
      </c>
      <c r="G2870" t="str">
        <f t="shared" si="102"/>
        <v>Feb -2026</v>
      </c>
    </row>
    <row r="2871" spans="1:7" x14ac:dyDescent="0.3">
      <c r="A2871" s="4">
        <v>2225573</v>
      </c>
      <c r="B2871" s="3" t="s">
        <v>2141</v>
      </c>
      <c r="C2871" t="s">
        <v>1010</v>
      </c>
      <c r="D2871" s="3" t="s">
        <v>1259</v>
      </c>
      <c r="E2871" s="3" t="s">
        <v>228</v>
      </c>
      <c r="F2871" s="1">
        <v>46062</v>
      </c>
      <c r="G2871" t="str">
        <f t="shared" si="102"/>
        <v>Feb -2026</v>
      </c>
    </row>
    <row r="2872" spans="1:7" x14ac:dyDescent="0.3">
      <c r="A2872" s="4">
        <v>2225574</v>
      </c>
      <c r="B2872" s="3" t="s">
        <v>2142</v>
      </c>
      <c r="C2872" t="s">
        <v>1010</v>
      </c>
      <c r="D2872" s="3" t="s">
        <v>1259</v>
      </c>
      <c r="E2872" s="3" t="s">
        <v>228</v>
      </c>
      <c r="F2872" s="1">
        <v>46062</v>
      </c>
      <c r="G2872" t="str">
        <f t="shared" si="102"/>
        <v>Feb -2026</v>
      </c>
    </row>
    <row r="2873" spans="1:7" x14ac:dyDescent="0.3">
      <c r="A2873" s="4">
        <v>2225560</v>
      </c>
      <c r="B2873" s="3" t="s">
        <v>2143</v>
      </c>
      <c r="C2873" t="s">
        <v>1010</v>
      </c>
      <c r="D2873" s="3" t="s">
        <v>1259</v>
      </c>
      <c r="E2873" s="3" t="s">
        <v>228</v>
      </c>
      <c r="F2873" s="1">
        <v>46062</v>
      </c>
      <c r="G2873" t="str">
        <f t="shared" si="102"/>
        <v>Feb -2026</v>
      </c>
    </row>
    <row r="2874" spans="1:7" x14ac:dyDescent="0.3">
      <c r="A2874" s="4">
        <v>2225613</v>
      </c>
      <c r="B2874" s="3" t="s">
        <v>2144</v>
      </c>
      <c r="C2874" t="s">
        <v>1010</v>
      </c>
      <c r="D2874" s="3" t="s">
        <v>1259</v>
      </c>
      <c r="E2874" s="3" t="s">
        <v>228</v>
      </c>
      <c r="F2874" s="1">
        <v>46062</v>
      </c>
      <c r="G2874" t="str">
        <f t="shared" si="102"/>
        <v>Feb -2026</v>
      </c>
    </row>
    <row r="2875" spans="1:7" x14ac:dyDescent="0.3">
      <c r="A2875" s="4">
        <v>2225926</v>
      </c>
      <c r="B2875" s="3" t="s">
        <v>2111</v>
      </c>
      <c r="C2875" t="s">
        <v>1010</v>
      </c>
      <c r="D2875" s="3" t="s">
        <v>209</v>
      </c>
      <c r="E2875" s="3" t="s">
        <v>225</v>
      </c>
      <c r="F2875" s="1">
        <v>46062</v>
      </c>
      <c r="G2875" t="str">
        <f t="shared" si="102"/>
        <v>Feb -2026</v>
      </c>
    </row>
    <row r="2876" spans="1:7" x14ac:dyDescent="0.3">
      <c r="A2876" s="4">
        <v>2225965</v>
      </c>
      <c r="B2876" s="3" t="s">
        <v>2111</v>
      </c>
      <c r="C2876" t="s">
        <v>1010</v>
      </c>
      <c r="D2876" s="3" t="s">
        <v>209</v>
      </c>
      <c r="E2876" s="3" t="s">
        <v>225</v>
      </c>
      <c r="F2876" s="1">
        <v>46062</v>
      </c>
      <c r="G2876" t="str">
        <f t="shared" si="102"/>
        <v>Feb -2026</v>
      </c>
    </row>
    <row r="2877" spans="1:7" x14ac:dyDescent="0.3">
      <c r="A2877" s="4">
        <v>2226022</v>
      </c>
      <c r="B2877" s="3" t="s">
        <v>2111</v>
      </c>
      <c r="C2877" t="s">
        <v>1010</v>
      </c>
      <c r="D2877" s="3" t="s">
        <v>209</v>
      </c>
      <c r="E2877" s="3" t="s">
        <v>225</v>
      </c>
      <c r="F2877" s="1">
        <v>46062</v>
      </c>
      <c r="G2877" t="str">
        <f t="shared" si="102"/>
        <v>Feb -2026</v>
      </c>
    </row>
    <row r="2878" spans="1:7" x14ac:dyDescent="0.3">
      <c r="A2878" s="4">
        <v>2225938</v>
      </c>
      <c r="B2878" s="3" t="s">
        <v>2111</v>
      </c>
      <c r="C2878" t="s">
        <v>1010</v>
      </c>
      <c r="D2878" s="3" t="s">
        <v>209</v>
      </c>
      <c r="E2878" s="3" t="s">
        <v>225</v>
      </c>
      <c r="F2878" s="1">
        <v>46062</v>
      </c>
      <c r="G2878" t="str">
        <f t="shared" si="102"/>
        <v>Feb -2026</v>
      </c>
    </row>
    <row r="2879" spans="1:7" x14ac:dyDescent="0.3">
      <c r="A2879" s="4">
        <v>2225940</v>
      </c>
      <c r="B2879" s="3" t="s">
        <v>2111</v>
      </c>
      <c r="C2879" t="s">
        <v>1010</v>
      </c>
      <c r="D2879" s="3" t="s">
        <v>209</v>
      </c>
      <c r="E2879" s="3" t="s">
        <v>225</v>
      </c>
      <c r="F2879" s="1">
        <v>46062</v>
      </c>
      <c r="G2879" t="str">
        <f t="shared" si="102"/>
        <v>Feb -2026</v>
      </c>
    </row>
    <row r="2880" spans="1:7" x14ac:dyDescent="0.3">
      <c r="A2880" s="4">
        <v>2225928</v>
      </c>
      <c r="B2880" s="3" t="s">
        <v>2111</v>
      </c>
      <c r="C2880" t="s">
        <v>1010</v>
      </c>
      <c r="D2880" s="3" t="s">
        <v>209</v>
      </c>
      <c r="E2880" s="3" t="s">
        <v>225</v>
      </c>
      <c r="F2880" s="1">
        <v>46062</v>
      </c>
      <c r="G2880" t="str">
        <f t="shared" si="102"/>
        <v>Feb -2026</v>
      </c>
    </row>
    <row r="2881" spans="1:7" x14ac:dyDescent="0.3">
      <c r="A2881" s="4">
        <v>2226132</v>
      </c>
      <c r="B2881" s="3" t="s">
        <v>2111</v>
      </c>
      <c r="C2881" t="s">
        <v>1010</v>
      </c>
      <c r="D2881" s="3" t="s">
        <v>209</v>
      </c>
      <c r="E2881" s="3" t="s">
        <v>225</v>
      </c>
      <c r="F2881" s="1">
        <v>46062</v>
      </c>
      <c r="G2881" t="str">
        <f t="shared" si="102"/>
        <v>Feb -2026</v>
      </c>
    </row>
    <row r="2882" spans="1:7" x14ac:dyDescent="0.3">
      <c r="A2882" s="4">
        <v>900006045</v>
      </c>
      <c r="B2882" s="3" t="s">
        <v>2145</v>
      </c>
      <c r="C2882" s="3" t="s">
        <v>1604</v>
      </c>
      <c r="D2882" s="3" t="s">
        <v>2018</v>
      </c>
      <c r="E2882" s="3" t="s">
        <v>1877</v>
      </c>
      <c r="F2882" s="1">
        <v>46062</v>
      </c>
      <c r="G2882" t="str">
        <f t="shared" si="102"/>
        <v>Feb -2026</v>
      </c>
    </row>
    <row r="2883" spans="1:7" x14ac:dyDescent="0.3">
      <c r="A2883" s="4">
        <v>100005359</v>
      </c>
      <c r="B2883" s="3" t="s">
        <v>2146</v>
      </c>
      <c r="C2883" s="3" t="s">
        <v>1011</v>
      </c>
      <c r="D2883" s="3" t="s">
        <v>2015</v>
      </c>
      <c r="E2883" s="3" t="s">
        <v>970</v>
      </c>
      <c r="F2883" s="1">
        <v>46062</v>
      </c>
      <c r="G2883" t="str">
        <f t="shared" si="102"/>
        <v>Feb -2026</v>
      </c>
    </row>
    <row r="2884" spans="1:7" x14ac:dyDescent="0.3">
      <c r="A2884" s="4">
        <v>100005357</v>
      </c>
      <c r="B2884" s="3" t="s">
        <v>2146</v>
      </c>
      <c r="C2884" s="3" t="s">
        <v>1011</v>
      </c>
      <c r="D2884" s="3" t="s">
        <v>2015</v>
      </c>
      <c r="E2884" s="3" t="s">
        <v>970</v>
      </c>
      <c r="F2884" s="1">
        <v>46062</v>
      </c>
      <c r="G2884" t="str">
        <f t="shared" si="102"/>
        <v>Feb -2026</v>
      </c>
    </row>
    <row r="2885" spans="1:7" x14ac:dyDescent="0.3">
      <c r="A2885" s="4">
        <v>900006301</v>
      </c>
      <c r="B2885" s="3" t="s">
        <v>2134</v>
      </c>
      <c r="C2885" s="3" t="s">
        <v>1604</v>
      </c>
      <c r="D2885" s="3" t="s">
        <v>2031</v>
      </c>
      <c r="E2885" s="3" t="s">
        <v>1877</v>
      </c>
      <c r="F2885" s="1">
        <v>46062</v>
      </c>
      <c r="G2885" t="str">
        <f t="shared" si="102"/>
        <v>Feb -2026</v>
      </c>
    </row>
    <row r="2886" spans="1:7" x14ac:dyDescent="0.3">
      <c r="A2886" s="4">
        <v>900006312</v>
      </c>
      <c r="B2886" s="3" t="s">
        <v>2147</v>
      </c>
      <c r="C2886" s="3" t="s">
        <v>1604</v>
      </c>
      <c r="D2886" s="3" t="s">
        <v>2031</v>
      </c>
      <c r="E2886" s="3" t="s">
        <v>1877</v>
      </c>
      <c r="F2886" s="1">
        <v>46062</v>
      </c>
      <c r="G2886" t="str">
        <f t="shared" si="102"/>
        <v>Feb -2026</v>
      </c>
    </row>
    <row r="2887" spans="1:7" x14ac:dyDescent="0.3">
      <c r="A2887" s="4">
        <v>100005400</v>
      </c>
      <c r="B2887" s="3" t="s">
        <v>1856</v>
      </c>
      <c r="C2887" s="3" t="s">
        <v>1011</v>
      </c>
      <c r="D2887" s="3" t="s">
        <v>2015</v>
      </c>
      <c r="E2887" s="3" t="s">
        <v>1103</v>
      </c>
      <c r="F2887" s="1">
        <v>46062</v>
      </c>
      <c r="G2887" t="str">
        <f t="shared" si="102"/>
        <v>Feb -2026</v>
      </c>
    </row>
    <row r="2888" spans="1:7" x14ac:dyDescent="0.3">
      <c r="A2888" s="4">
        <v>100005366</v>
      </c>
      <c r="B2888" s="3" t="s">
        <v>2148</v>
      </c>
      <c r="C2888" s="3" t="s">
        <v>1011</v>
      </c>
      <c r="D2888" s="3" t="s">
        <v>2015</v>
      </c>
      <c r="E2888" s="3" t="s">
        <v>967</v>
      </c>
      <c r="F2888" s="1">
        <v>46062</v>
      </c>
      <c r="G2888" t="str">
        <f t="shared" si="102"/>
        <v>Feb -2026</v>
      </c>
    </row>
    <row r="2889" spans="1:7" x14ac:dyDescent="0.3">
      <c r="A2889" s="4">
        <v>2226228</v>
      </c>
      <c r="B2889" s="3" t="s">
        <v>2111</v>
      </c>
      <c r="C2889" t="s">
        <v>1010</v>
      </c>
      <c r="D2889" s="3" t="s">
        <v>209</v>
      </c>
      <c r="E2889" s="3" t="s">
        <v>225</v>
      </c>
      <c r="F2889" s="1">
        <v>46063</v>
      </c>
      <c r="G2889" t="str">
        <f t="shared" si="102"/>
        <v>Feb -2026</v>
      </c>
    </row>
    <row r="2890" spans="1:7" x14ac:dyDescent="0.3">
      <c r="A2890" s="4">
        <v>2226246</v>
      </c>
      <c r="B2890" s="3" t="s">
        <v>2111</v>
      </c>
      <c r="C2890" t="s">
        <v>1010</v>
      </c>
      <c r="D2890" s="3" t="s">
        <v>209</v>
      </c>
      <c r="E2890" s="3" t="s">
        <v>225</v>
      </c>
      <c r="F2890" s="1">
        <v>46063</v>
      </c>
      <c r="G2890" t="str">
        <f t="shared" si="102"/>
        <v>Feb -2026</v>
      </c>
    </row>
    <row r="2891" spans="1:7" x14ac:dyDescent="0.3">
      <c r="A2891" s="4">
        <v>2226250</v>
      </c>
      <c r="B2891" s="3" t="s">
        <v>2111</v>
      </c>
      <c r="C2891" t="s">
        <v>1010</v>
      </c>
      <c r="D2891" s="3" t="s">
        <v>209</v>
      </c>
      <c r="E2891" s="3" t="s">
        <v>225</v>
      </c>
      <c r="F2891" s="1">
        <v>46063</v>
      </c>
      <c r="G2891" t="str">
        <f t="shared" si="102"/>
        <v>Feb -2026</v>
      </c>
    </row>
    <row r="2892" spans="1:7" x14ac:dyDescent="0.3">
      <c r="A2892" s="4">
        <v>2226271</v>
      </c>
      <c r="B2892" s="3" t="s">
        <v>2111</v>
      </c>
      <c r="C2892" t="s">
        <v>1010</v>
      </c>
      <c r="D2892" s="3" t="s">
        <v>209</v>
      </c>
      <c r="E2892" s="3" t="s">
        <v>225</v>
      </c>
      <c r="F2892" s="1">
        <v>46063</v>
      </c>
      <c r="G2892" t="str">
        <f t="shared" si="102"/>
        <v>Feb -2026</v>
      </c>
    </row>
    <row r="2893" spans="1:7" x14ac:dyDescent="0.3">
      <c r="A2893" s="4">
        <v>2226293</v>
      </c>
      <c r="B2893" s="3" t="s">
        <v>2111</v>
      </c>
      <c r="C2893" t="s">
        <v>1010</v>
      </c>
      <c r="D2893" s="3" t="s">
        <v>209</v>
      </c>
      <c r="E2893" s="3" t="s">
        <v>225</v>
      </c>
      <c r="F2893" s="1">
        <v>46063</v>
      </c>
      <c r="G2893" t="str">
        <f t="shared" si="102"/>
        <v>Feb -2026</v>
      </c>
    </row>
    <row r="2894" spans="1:7" x14ac:dyDescent="0.3">
      <c r="A2894" s="4">
        <v>2226299</v>
      </c>
      <c r="B2894" s="3" t="s">
        <v>2111</v>
      </c>
      <c r="C2894" t="s">
        <v>1010</v>
      </c>
      <c r="D2894" s="3" t="s">
        <v>209</v>
      </c>
      <c r="E2894" s="3" t="s">
        <v>225</v>
      </c>
      <c r="F2894" s="1">
        <v>46063</v>
      </c>
      <c r="G2894" t="str">
        <f t="shared" si="102"/>
        <v>Feb -2026</v>
      </c>
    </row>
    <row r="2895" spans="1:7" x14ac:dyDescent="0.3">
      <c r="A2895" s="4">
        <v>2226245</v>
      </c>
      <c r="B2895" s="3" t="s">
        <v>2111</v>
      </c>
      <c r="C2895" t="s">
        <v>1010</v>
      </c>
      <c r="D2895" s="3" t="s">
        <v>209</v>
      </c>
      <c r="E2895" s="3" t="s">
        <v>225</v>
      </c>
      <c r="F2895" s="1">
        <v>46063</v>
      </c>
      <c r="G2895" t="str">
        <f t="shared" si="102"/>
        <v>Feb -2026</v>
      </c>
    </row>
    <row r="2896" spans="1:7" x14ac:dyDescent="0.3">
      <c r="A2896" s="4">
        <v>2225826</v>
      </c>
      <c r="B2896" s="3" t="s">
        <v>2111</v>
      </c>
      <c r="C2896" t="s">
        <v>1010</v>
      </c>
      <c r="D2896" s="3" t="s">
        <v>209</v>
      </c>
      <c r="E2896" s="3" t="s">
        <v>225</v>
      </c>
      <c r="F2896" s="1">
        <v>46063</v>
      </c>
      <c r="G2896" t="str">
        <f t="shared" si="102"/>
        <v>Feb -2026</v>
      </c>
    </row>
    <row r="2897" spans="1:7" x14ac:dyDescent="0.3">
      <c r="A2897" s="4">
        <v>2225959</v>
      </c>
      <c r="B2897" s="3" t="s">
        <v>2111</v>
      </c>
      <c r="C2897" t="s">
        <v>1010</v>
      </c>
      <c r="D2897" s="3" t="s">
        <v>209</v>
      </c>
      <c r="E2897" s="3" t="s">
        <v>225</v>
      </c>
      <c r="F2897" s="1">
        <v>46063</v>
      </c>
      <c r="G2897" t="str">
        <f t="shared" si="102"/>
        <v>Feb -2026</v>
      </c>
    </row>
    <row r="2898" spans="1:7" x14ac:dyDescent="0.3">
      <c r="A2898" s="4">
        <v>2225956</v>
      </c>
      <c r="B2898" s="3" t="s">
        <v>2111</v>
      </c>
      <c r="C2898" t="s">
        <v>1010</v>
      </c>
      <c r="D2898" s="3" t="s">
        <v>209</v>
      </c>
      <c r="E2898" s="3" t="s">
        <v>225</v>
      </c>
      <c r="F2898" s="1">
        <v>46063</v>
      </c>
      <c r="G2898" t="str">
        <f t="shared" si="102"/>
        <v>Feb -2026</v>
      </c>
    </row>
    <row r="2899" spans="1:7" x14ac:dyDescent="0.3">
      <c r="A2899" s="4">
        <v>2225354</v>
      </c>
      <c r="B2899" s="3" t="s">
        <v>2149</v>
      </c>
      <c r="C2899" t="s">
        <v>1010</v>
      </c>
      <c r="D2899" s="3" t="s">
        <v>1020</v>
      </c>
      <c r="E2899" s="3" t="s">
        <v>435</v>
      </c>
      <c r="F2899" s="1">
        <v>46063</v>
      </c>
      <c r="G2899" t="str">
        <f t="shared" si="102"/>
        <v>Feb -2026</v>
      </c>
    </row>
    <row r="2900" spans="1:7" x14ac:dyDescent="0.3">
      <c r="A2900" s="4">
        <v>2225326</v>
      </c>
      <c r="B2900" s="3" t="s">
        <v>2150</v>
      </c>
      <c r="C2900" t="s">
        <v>1010</v>
      </c>
      <c r="D2900" s="3" t="s">
        <v>1020</v>
      </c>
      <c r="E2900" s="3" t="s">
        <v>435</v>
      </c>
      <c r="F2900" s="1">
        <v>46063</v>
      </c>
      <c r="G2900" t="str">
        <f t="shared" si="102"/>
        <v>Feb -2026</v>
      </c>
    </row>
    <row r="2901" spans="1:7" x14ac:dyDescent="0.3">
      <c r="A2901" s="4">
        <v>2225474</v>
      </c>
      <c r="B2901" s="3" t="s">
        <v>2151</v>
      </c>
      <c r="C2901" t="s">
        <v>1010</v>
      </c>
      <c r="D2901" s="3" t="s">
        <v>1020</v>
      </c>
      <c r="E2901" s="3" t="s">
        <v>435</v>
      </c>
      <c r="F2901" s="1">
        <v>46063</v>
      </c>
      <c r="G2901" t="str">
        <f t="shared" si="102"/>
        <v>Feb -2026</v>
      </c>
    </row>
    <row r="2902" spans="1:7" x14ac:dyDescent="0.3">
      <c r="A2902" s="4">
        <v>900006313</v>
      </c>
      <c r="B2902" s="3" t="s">
        <v>2152</v>
      </c>
      <c r="C2902" t="s">
        <v>1010</v>
      </c>
      <c r="D2902" s="3" t="s">
        <v>1551</v>
      </c>
      <c r="E2902" s="3" t="s">
        <v>1877</v>
      </c>
      <c r="F2902" s="1">
        <v>46063</v>
      </c>
      <c r="G2902" t="str">
        <f t="shared" si="102"/>
        <v>Feb -2026</v>
      </c>
    </row>
    <row r="2903" spans="1:7" x14ac:dyDescent="0.3">
      <c r="A2903" s="4">
        <v>2218212</v>
      </c>
      <c r="B2903" s="3" t="s">
        <v>2153</v>
      </c>
      <c r="C2903" t="s">
        <v>1010</v>
      </c>
      <c r="D2903" s="3" t="s">
        <v>364</v>
      </c>
      <c r="E2903" s="3" t="s">
        <v>15</v>
      </c>
      <c r="F2903" s="1">
        <v>46063</v>
      </c>
      <c r="G2903" t="str">
        <f t="shared" si="102"/>
        <v>Feb -2026</v>
      </c>
    </row>
    <row r="2904" spans="1:7" x14ac:dyDescent="0.3">
      <c r="A2904" s="4">
        <v>2218182</v>
      </c>
      <c r="B2904" s="3" t="s">
        <v>2154</v>
      </c>
      <c r="C2904" t="s">
        <v>1010</v>
      </c>
      <c r="D2904" s="3" t="s">
        <v>364</v>
      </c>
      <c r="E2904" s="3" t="s">
        <v>15</v>
      </c>
      <c r="F2904" s="1">
        <v>46063</v>
      </c>
      <c r="G2904" t="str">
        <f t="shared" si="102"/>
        <v>Feb -2026</v>
      </c>
    </row>
    <row r="2905" spans="1:7" x14ac:dyDescent="0.3">
      <c r="A2905" s="4">
        <v>2218183</v>
      </c>
      <c r="B2905" s="3" t="s">
        <v>2155</v>
      </c>
      <c r="C2905" t="s">
        <v>1010</v>
      </c>
      <c r="D2905" s="3" t="s">
        <v>364</v>
      </c>
      <c r="E2905" s="3" t="s">
        <v>15</v>
      </c>
      <c r="F2905" s="1">
        <v>46063</v>
      </c>
      <c r="G2905" t="str">
        <f t="shared" si="102"/>
        <v>Feb -2026</v>
      </c>
    </row>
    <row r="2906" spans="1:7" x14ac:dyDescent="0.3">
      <c r="A2906" s="4">
        <v>900006309</v>
      </c>
      <c r="B2906" s="3" t="s">
        <v>2156</v>
      </c>
      <c r="C2906" t="s">
        <v>1010</v>
      </c>
      <c r="D2906" s="3" t="s">
        <v>1259</v>
      </c>
      <c r="E2906" s="3" t="s">
        <v>228</v>
      </c>
      <c r="F2906" s="1">
        <v>46063</v>
      </c>
      <c r="G2906" t="str">
        <f t="shared" si="102"/>
        <v>Feb -2026</v>
      </c>
    </row>
    <row r="2907" spans="1:7" x14ac:dyDescent="0.3">
      <c r="A2907" s="4">
        <v>900006312</v>
      </c>
      <c r="B2907" s="3" t="s">
        <v>2147</v>
      </c>
      <c r="C2907" s="3" t="s">
        <v>1604</v>
      </c>
      <c r="D2907" s="3" t="s">
        <v>2031</v>
      </c>
      <c r="E2907" s="3" t="s">
        <v>1877</v>
      </c>
      <c r="F2907" s="1">
        <v>46063</v>
      </c>
      <c r="G2907" t="str">
        <f t="shared" si="102"/>
        <v>Feb -2026</v>
      </c>
    </row>
    <row r="2908" spans="1:7" x14ac:dyDescent="0.3">
      <c r="A2908" s="4">
        <v>900006129</v>
      </c>
      <c r="B2908" s="3" t="s">
        <v>2157</v>
      </c>
      <c r="C2908" s="3" t="s">
        <v>1604</v>
      </c>
      <c r="D2908" s="3" t="s">
        <v>2018</v>
      </c>
      <c r="E2908" s="3" t="s">
        <v>1877</v>
      </c>
      <c r="F2908" s="1">
        <v>46063</v>
      </c>
      <c r="G2908" t="str">
        <f t="shared" si="102"/>
        <v>Feb -2026</v>
      </c>
    </row>
    <row r="2909" spans="1:7" x14ac:dyDescent="0.3">
      <c r="A2909" s="4">
        <v>100005367</v>
      </c>
      <c r="B2909" s="3" t="s">
        <v>2158</v>
      </c>
      <c r="C2909" s="3" t="s">
        <v>1011</v>
      </c>
      <c r="D2909" s="3" t="s">
        <v>2015</v>
      </c>
      <c r="E2909" s="3" t="s">
        <v>967</v>
      </c>
      <c r="F2909" s="1">
        <v>46063</v>
      </c>
      <c r="G2909" t="str">
        <f t="shared" si="102"/>
        <v>Feb -2026</v>
      </c>
    </row>
    <row r="2910" spans="1:7" x14ac:dyDescent="0.3">
      <c r="A2910" s="4">
        <v>100005391</v>
      </c>
      <c r="B2910" s="3" t="s">
        <v>2159</v>
      </c>
      <c r="C2910" s="3" t="s">
        <v>1011</v>
      </c>
      <c r="D2910" s="3" t="s">
        <v>2015</v>
      </c>
      <c r="E2910" s="3" t="s">
        <v>967</v>
      </c>
      <c r="F2910" s="1">
        <v>46063</v>
      </c>
      <c r="G2910" t="str">
        <f t="shared" si="102"/>
        <v>Feb -2026</v>
      </c>
    </row>
    <row r="2911" spans="1:7" x14ac:dyDescent="0.3">
      <c r="A2911" s="4">
        <v>100005269</v>
      </c>
      <c r="B2911" s="3" t="s">
        <v>2105</v>
      </c>
      <c r="C2911" s="3" t="s">
        <v>1011</v>
      </c>
      <c r="D2911" s="3" t="s">
        <v>2015</v>
      </c>
      <c r="E2911" s="3" t="s">
        <v>2106</v>
      </c>
      <c r="F2911" s="1">
        <v>46063</v>
      </c>
      <c r="G2911" t="str">
        <f t="shared" si="102"/>
        <v>Feb -2026</v>
      </c>
    </row>
    <row r="2912" spans="1:7" x14ac:dyDescent="0.3">
      <c r="A2912" s="4">
        <v>100005393</v>
      </c>
      <c r="B2912" s="3" t="s">
        <v>2160</v>
      </c>
      <c r="C2912" s="3" t="s">
        <v>1011</v>
      </c>
      <c r="D2912" s="3" t="s">
        <v>2015</v>
      </c>
      <c r="E2912" s="3" t="s">
        <v>982</v>
      </c>
      <c r="F2912" s="1">
        <v>46063</v>
      </c>
      <c r="G2912" t="str">
        <f t="shared" si="102"/>
        <v>Feb -2026</v>
      </c>
    </row>
    <row r="2913" spans="1:7" x14ac:dyDescent="0.3">
      <c r="A2913" s="4">
        <v>100005269</v>
      </c>
      <c r="B2913" s="3" t="s">
        <v>2105</v>
      </c>
      <c r="C2913" s="3" t="s">
        <v>1011</v>
      </c>
      <c r="D2913" s="3" t="s">
        <v>2015</v>
      </c>
      <c r="E2913" s="3" t="s">
        <v>2106</v>
      </c>
      <c r="F2913" s="1">
        <v>46064</v>
      </c>
      <c r="G2913" t="str">
        <f t="shared" si="102"/>
        <v>Feb -2026</v>
      </c>
    </row>
    <row r="2914" spans="1:7" x14ac:dyDescent="0.3">
      <c r="A2914" s="4">
        <v>100005392</v>
      </c>
      <c r="B2914" s="3" t="s">
        <v>2161</v>
      </c>
      <c r="C2914" s="3" t="s">
        <v>1011</v>
      </c>
      <c r="D2914" s="3" t="s">
        <v>2015</v>
      </c>
      <c r="E2914" s="3" t="s">
        <v>968</v>
      </c>
      <c r="F2914" s="1">
        <v>46064</v>
      </c>
      <c r="G2914" t="str">
        <f t="shared" si="102"/>
        <v>Feb -2026</v>
      </c>
    </row>
    <row r="2915" spans="1:7" x14ac:dyDescent="0.3">
      <c r="A2915" s="4">
        <v>100005382</v>
      </c>
      <c r="B2915" s="3" t="s">
        <v>2162</v>
      </c>
      <c r="C2915" s="3" t="s">
        <v>1011</v>
      </c>
      <c r="D2915" s="3" t="s">
        <v>2015</v>
      </c>
      <c r="E2915" s="3" t="s">
        <v>967</v>
      </c>
      <c r="F2915" s="1">
        <v>46064</v>
      </c>
      <c r="G2915" t="str">
        <f t="shared" si="102"/>
        <v>Feb -2026</v>
      </c>
    </row>
    <row r="2916" spans="1:7" x14ac:dyDescent="0.3">
      <c r="A2916" s="4">
        <v>100005401</v>
      </c>
      <c r="B2916" s="3" t="s">
        <v>2163</v>
      </c>
      <c r="C2916" s="3" t="s">
        <v>1011</v>
      </c>
      <c r="D2916" s="3" t="s">
        <v>2015</v>
      </c>
      <c r="E2916" s="3" t="s">
        <v>970</v>
      </c>
      <c r="F2916" s="1">
        <v>46064</v>
      </c>
      <c r="G2916" t="str">
        <f t="shared" si="102"/>
        <v>Feb -2026</v>
      </c>
    </row>
    <row r="2917" spans="1:7" x14ac:dyDescent="0.3">
      <c r="A2917" s="4">
        <v>100005338</v>
      </c>
      <c r="B2917" s="3" t="s">
        <v>2164</v>
      </c>
      <c r="C2917" s="3" t="s">
        <v>1011</v>
      </c>
      <c r="D2917" s="3" t="s">
        <v>2015</v>
      </c>
      <c r="E2917" s="3" t="s">
        <v>2106</v>
      </c>
      <c r="F2917" s="1">
        <v>46064</v>
      </c>
      <c r="G2917" t="str">
        <f t="shared" si="102"/>
        <v>Feb -2026</v>
      </c>
    </row>
    <row r="2918" spans="1:7" x14ac:dyDescent="0.3">
      <c r="A2918" s="4">
        <v>900006346</v>
      </c>
      <c r="B2918" s="3" t="s">
        <v>2165</v>
      </c>
      <c r="C2918" s="3" t="s">
        <v>1604</v>
      </c>
      <c r="D2918" s="3" t="s">
        <v>2031</v>
      </c>
      <c r="E2918" s="3" t="s">
        <v>1877</v>
      </c>
      <c r="F2918" s="1">
        <v>46064</v>
      </c>
      <c r="G2918" t="str">
        <f t="shared" si="102"/>
        <v>Feb -2026</v>
      </c>
    </row>
    <row r="2919" spans="1:7" x14ac:dyDescent="0.3">
      <c r="A2919" s="4">
        <v>900006319</v>
      </c>
      <c r="B2919" s="3" t="s">
        <v>2166</v>
      </c>
      <c r="C2919" s="3" t="s">
        <v>1604</v>
      </c>
      <c r="D2919" s="3" t="s">
        <v>2031</v>
      </c>
      <c r="E2919" s="3" t="s">
        <v>1877</v>
      </c>
      <c r="F2919" s="1">
        <v>46064</v>
      </c>
      <c r="G2919" t="str">
        <f t="shared" si="102"/>
        <v>Feb -2026</v>
      </c>
    </row>
    <row r="2920" spans="1:7" x14ac:dyDescent="0.3">
      <c r="A2920" s="4">
        <v>900006329</v>
      </c>
      <c r="B2920" s="3" t="s">
        <v>2167</v>
      </c>
      <c r="C2920" s="3" t="s">
        <v>1604</v>
      </c>
      <c r="D2920" s="3" t="s">
        <v>2018</v>
      </c>
      <c r="E2920" s="3" t="s">
        <v>1877</v>
      </c>
      <c r="F2920" s="1">
        <v>46064</v>
      </c>
      <c r="G2920" t="str">
        <f t="shared" si="102"/>
        <v>Feb -2026</v>
      </c>
    </row>
    <row r="2921" spans="1:7" x14ac:dyDescent="0.3">
      <c r="A2921" s="4">
        <v>900006306</v>
      </c>
      <c r="B2921" s="3" t="s">
        <v>2168</v>
      </c>
      <c r="C2921" s="3" t="s">
        <v>1604</v>
      </c>
      <c r="D2921" s="3" t="s">
        <v>2018</v>
      </c>
      <c r="E2921" s="3" t="s">
        <v>1877</v>
      </c>
      <c r="F2921" s="1">
        <v>46064</v>
      </c>
      <c r="G2921" t="str">
        <f t="shared" ref="G2921:G2984" si="103">TEXT(F2921,"mmm -YYYY")</f>
        <v>Feb -2026</v>
      </c>
    </row>
    <row r="2922" spans="1:7" x14ac:dyDescent="0.3">
      <c r="A2922" s="4">
        <v>2225030</v>
      </c>
      <c r="B2922" s="3" t="s">
        <v>2169</v>
      </c>
      <c r="C2922" t="s">
        <v>1010</v>
      </c>
      <c r="D2922" s="3" t="s">
        <v>1020</v>
      </c>
      <c r="E2922" s="3" t="s">
        <v>435</v>
      </c>
      <c r="F2922" s="1">
        <v>46064</v>
      </c>
      <c r="G2922" t="str">
        <f t="shared" si="103"/>
        <v>Feb -2026</v>
      </c>
    </row>
    <row r="2923" spans="1:7" x14ac:dyDescent="0.3">
      <c r="A2923" s="4">
        <v>2226343</v>
      </c>
      <c r="B2923" s="3" t="s">
        <v>2111</v>
      </c>
      <c r="C2923" t="s">
        <v>1010</v>
      </c>
      <c r="D2923" s="3" t="s">
        <v>209</v>
      </c>
      <c r="E2923" s="3" t="s">
        <v>225</v>
      </c>
      <c r="F2923" s="1">
        <v>46064</v>
      </c>
      <c r="G2923" t="str">
        <f t="shared" si="103"/>
        <v>Feb -2026</v>
      </c>
    </row>
    <row r="2924" spans="1:7" x14ac:dyDescent="0.3">
      <c r="A2924" s="4">
        <v>2226401</v>
      </c>
      <c r="B2924" s="3" t="s">
        <v>2111</v>
      </c>
      <c r="C2924" t="s">
        <v>1010</v>
      </c>
      <c r="D2924" s="3" t="s">
        <v>209</v>
      </c>
      <c r="E2924" s="3" t="s">
        <v>225</v>
      </c>
      <c r="F2924" s="1">
        <v>46064</v>
      </c>
      <c r="G2924" t="str">
        <f t="shared" si="103"/>
        <v>Feb -2026</v>
      </c>
    </row>
    <row r="2925" spans="1:7" x14ac:dyDescent="0.3">
      <c r="A2925" s="4">
        <v>2226411</v>
      </c>
      <c r="B2925" s="3" t="s">
        <v>2111</v>
      </c>
      <c r="C2925" t="s">
        <v>1010</v>
      </c>
      <c r="D2925" s="3" t="s">
        <v>209</v>
      </c>
      <c r="E2925" s="3" t="s">
        <v>225</v>
      </c>
      <c r="F2925" s="1">
        <v>46064</v>
      </c>
      <c r="G2925" t="str">
        <f t="shared" si="103"/>
        <v>Feb -2026</v>
      </c>
    </row>
    <row r="2926" spans="1:7" x14ac:dyDescent="0.3">
      <c r="A2926" s="4">
        <v>2226169</v>
      </c>
      <c r="B2926" s="3" t="s">
        <v>2111</v>
      </c>
      <c r="C2926" t="s">
        <v>1010</v>
      </c>
      <c r="D2926" s="3" t="s">
        <v>209</v>
      </c>
      <c r="E2926" s="3" t="s">
        <v>225</v>
      </c>
      <c r="F2926" s="1">
        <v>46064</v>
      </c>
      <c r="G2926" t="str">
        <f t="shared" si="103"/>
        <v>Feb -2026</v>
      </c>
    </row>
    <row r="2927" spans="1:7" x14ac:dyDescent="0.3">
      <c r="A2927" s="4">
        <v>2229642</v>
      </c>
      <c r="B2927" s="3" t="s">
        <v>2170</v>
      </c>
      <c r="C2927" t="s">
        <v>1010</v>
      </c>
      <c r="D2927" s="3" t="s">
        <v>209</v>
      </c>
      <c r="E2927" s="3" t="s">
        <v>225</v>
      </c>
      <c r="F2927" s="1">
        <v>46064</v>
      </c>
      <c r="G2927" t="str">
        <f t="shared" si="103"/>
        <v>Feb -2026</v>
      </c>
    </row>
    <row r="2928" spans="1:7" x14ac:dyDescent="0.3">
      <c r="A2928" s="4">
        <v>2229642</v>
      </c>
      <c r="B2928" s="3" t="s">
        <v>2170</v>
      </c>
      <c r="C2928" t="s">
        <v>1010</v>
      </c>
      <c r="D2928" s="3" t="s">
        <v>209</v>
      </c>
      <c r="E2928" s="3" t="s">
        <v>225</v>
      </c>
      <c r="F2928" s="1">
        <v>46064</v>
      </c>
      <c r="G2928" t="str">
        <f t="shared" si="103"/>
        <v>Feb -2026</v>
      </c>
    </row>
    <row r="2929" spans="1:7" x14ac:dyDescent="0.3">
      <c r="A2929" s="4">
        <v>2226165</v>
      </c>
      <c r="B2929" s="3" t="s">
        <v>2170</v>
      </c>
      <c r="C2929" t="s">
        <v>1010</v>
      </c>
      <c r="D2929" s="3" t="s">
        <v>209</v>
      </c>
      <c r="E2929" s="3" t="s">
        <v>225</v>
      </c>
      <c r="F2929" s="1">
        <v>46064</v>
      </c>
      <c r="G2929" t="str">
        <f t="shared" si="103"/>
        <v>Feb -2026</v>
      </c>
    </row>
    <row r="2930" spans="1:7" x14ac:dyDescent="0.3">
      <c r="A2930" s="4">
        <v>2231342</v>
      </c>
      <c r="B2930" s="3" t="s">
        <v>2171</v>
      </c>
      <c r="C2930" t="s">
        <v>1010</v>
      </c>
      <c r="D2930" s="3" t="s">
        <v>209</v>
      </c>
      <c r="E2930" s="3" t="s">
        <v>210</v>
      </c>
      <c r="F2930" s="1">
        <v>46064</v>
      </c>
      <c r="G2930" t="str">
        <f t="shared" si="103"/>
        <v>Feb -2026</v>
      </c>
    </row>
    <row r="2931" spans="1:7" x14ac:dyDescent="0.3">
      <c r="A2931" s="4">
        <v>2231706</v>
      </c>
      <c r="B2931" s="3" t="s">
        <v>2172</v>
      </c>
      <c r="C2931" t="s">
        <v>1010</v>
      </c>
      <c r="D2931" s="3" t="s">
        <v>209</v>
      </c>
      <c r="E2931" s="3" t="s">
        <v>225</v>
      </c>
      <c r="F2931" s="1">
        <v>46064</v>
      </c>
      <c r="G2931" t="str">
        <f t="shared" si="103"/>
        <v>Feb -2026</v>
      </c>
    </row>
    <row r="2932" spans="1:7" x14ac:dyDescent="0.3">
      <c r="A2932" s="4">
        <v>2234041</v>
      </c>
      <c r="B2932" s="3" t="s">
        <v>2173</v>
      </c>
      <c r="C2932" t="s">
        <v>1010</v>
      </c>
      <c r="D2932" s="3" t="s">
        <v>209</v>
      </c>
      <c r="E2932" s="3" t="s">
        <v>210</v>
      </c>
      <c r="F2932" s="1">
        <v>46065</v>
      </c>
      <c r="G2932" t="str">
        <f t="shared" si="103"/>
        <v>Feb -2026</v>
      </c>
    </row>
    <row r="2933" spans="1:7" x14ac:dyDescent="0.3">
      <c r="A2933" s="4">
        <v>2234043</v>
      </c>
      <c r="B2933" s="3" t="s">
        <v>2174</v>
      </c>
      <c r="C2933" t="s">
        <v>1010</v>
      </c>
      <c r="D2933" s="3" t="s">
        <v>209</v>
      </c>
      <c r="E2933" s="3" t="s">
        <v>291</v>
      </c>
      <c r="F2933" s="1">
        <v>46065</v>
      </c>
      <c r="G2933" t="str">
        <f t="shared" si="103"/>
        <v>Feb -2026</v>
      </c>
    </row>
    <row r="2934" spans="1:7" x14ac:dyDescent="0.3">
      <c r="A2934" s="4">
        <v>900006297</v>
      </c>
      <c r="B2934" s="3" t="s">
        <v>2175</v>
      </c>
      <c r="C2934" t="s">
        <v>1010</v>
      </c>
      <c r="D2934" s="3" t="s">
        <v>1259</v>
      </c>
      <c r="E2934" s="3" t="s">
        <v>1877</v>
      </c>
      <c r="F2934" s="1">
        <v>46065</v>
      </c>
      <c r="G2934" t="str">
        <f t="shared" si="103"/>
        <v>Feb -2026</v>
      </c>
    </row>
    <row r="2935" spans="1:7" x14ac:dyDescent="0.3">
      <c r="A2935" s="4">
        <v>900006299</v>
      </c>
      <c r="B2935" s="3" t="s">
        <v>2176</v>
      </c>
      <c r="C2935" t="s">
        <v>1010</v>
      </c>
      <c r="D2935" s="3" t="s">
        <v>1259</v>
      </c>
      <c r="E2935" s="3" t="s">
        <v>1877</v>
      </c>
      <c r="F2935" s="1">
        <v>46065</v>
      </c>
      <c r="G2935" t="str">
        <f t="shared" si="103"/>
        <v>Feb -2026</v>
      </c>
    </row>
    <row r="2936" spans="1:7" x14ac:dyDescent="0.3">
      <c r="A2936" s="4">
        <v>900006350</v>
      </c>
      <c r="B2936" s="3" t="s">
        <v>2177</v>
      </c>
      <c r="C2936" t="s">
        <v>1010</v>
      </c>
      <c r="D2936" s="3" t="s">
        <v>1259</v>
      </c>
      <c r="E2936" s="3" t="s">
        <v>1877</v>
      </c>
      <c r="F2936" s="1">
        <v>46065</v>
      </c>
      <c r="G2936" t="str">
        <f t="shared" si="103"/>
        <v>Feb -2026</v>
      </c>
    </row>
    <row r="2937" spans="1:7" x14ac:dyDescent="0.3">
      <c r="A2937" s="4">
        <v>900006351</v>
      </c>
      <c r="B2937" s="3" t="s">
        <v>2178</v>
      </c>
      <c r="C2937" t="s">
        <v>1010</v>
      </c>
      <c r="D2937" s="3" t="s">
        <v>1259</v>
      </c>
      <c r="E2937" s="3" t="s">
        <v>1877</v>
      </c>
      <c r="F2937" s="1">
        <v>46065</v>
      </c>
      <c r="G2937" t="str">
        <f t="shared" si="103"/>
        <v>Feb -2026</v>
      </c>
    </row>
    <row r="2938" spans="1:7" x14ac:dyDescent="0.3">
      <c r="A2938" s="4">
        <v>900006323</v>
      </c>
      <c r="B2938" s="3" t="s">
        <v>2179</v>
      </c>
      <c r="C2938" t="s">
        <v>1010</v>
      </c>
      <c r="D2938" s="3" t="s">
        <v>1259</v>
      </c>
      <c r="E2938" s="3" t="s">
        <v>1877</v>
      </c>
      <c r="F2938" s="1">
        <v>46065</v>
      </c>
      <c r="G2938" t="str">
        <f t="shared" si="103"/>
        <v>Feb -2026</v>
      </c>
    </row>
    <row r="2939" spans="1:7" x14ac:dyDescent="0.3">
      <c r="A2939" s="4">
        <v>900006314</v>
      </c>
      <c r="B2939" s="3" t="s">
        <v>2180</v>
      </c>
      <c r="C2939" t="s">
        <v>1010</v>
      </c>
      <c r="D2939" s="3" t="s">
        <v>1259</v>
      </c>
      <c r="E2939" s="3" t="s">
        <v>1877</v>
      </c>
      <c r="F2939" s="1">
        <v>46065</v>
      </c>
      <c r="G2939" t="str">
        <f t="shared" si="103"/>
        <v>Feb -2026</v>
      </c>
    </row>
    <row r="2940" spans="1:7" x14ac:dyDescent="0.3">
      <c r="A2940" s="4">
        <v>900006286</v>
      </c>
      <c r="B2940" s="3" t="s">
        <v>2181</v>
      </c>
      <c r="C2940" t="s">
        <v>1010</v>
      </c>
      <c r="D2940" s="3" t="s">
        <v>1259</v>
      </c>
      <c r="E2940" s="3" t="s">
        <v>1877</v>
      </c>
      <c r="F2940" s="1">
        <v>46065</v>
      </c>
      <c r="G2940" t="str">
        <f t="shared" si="103"/>
        <v>Feb -2026</v>
      </c>
    </row>
    <row r="2941" spans="1:7" x14ac:dyDescent="0.3">
      <c r="A2941" s="4">
        <v>900006366</v>
      </c>
      <c r="B2941" s="3" t="s">
        <v>2182</v>
      </c>
      <c r="C2941" t="s">
        <v>1010</v>
      </c>
      <c r="D2941" s="3" t="s">
        <v>1551</v>
      </c>
      <c r="E2941" s="3" t="s">
        <v>1877</v>
      </c>
      <c r="F2941" s="1">
        <v>46065</v>
      </c>
      <c r="G2941" t="str">
        <f t="shared" si="103"/>
        <v>Feb -2026</v>
      </c>
    </row>
    <row r="2942" spans="1:7" x14ac:dyDescent="0.3">
      <c r="A2942" s="4">
        <v>900006324</v>
      </c>
      <c r="B2942" s="3" t="s">
        <v>2183</v>
      </c>
      <c r="C2942" t="s">
        <v>1010</v>
      </c>
      <c r="D2942" s="3" t="s">
        <v>1259</v>
      </c>
      <c r="E2942" s="3" t="s">
        <v>1877</v>
      </c>
      <c r="F2942" s="1">
        <v>46065</v>
      </c>
      <c r="G2942" t="str">
        <f t="shared" si="103"/>
        <v>Feb -2026</v>
      </c>
    </row>
    <row r="2943" spans="1:7" x14ac:dyDescent="0.3">
      <c r="A2943" s="4">
        <v>900006315</v>
      </c>
      <c r="B2943" s="3" t="s">
        <v>2184</v>
      </c>
      <c r="C2943" t="s">
        <v>1010</v>
      </c>
      <c r="D2943" s="3" t="s">
        <v>1259</v>
      </c>
      <c r="E2943" s="3" t="s">
        <v>1877</v>
      </c>
      <c r="F2943" s="1">
        <v>46065</v>
      </c>
      <c r="G2943" t="str">
        <f t="shared" si="103"/>
        <v>Feb -2026</v>
      </c>
    </row>
    <row r="2944" spans="1:7" x14ac:dyDescent="0.3">
      <c r="A2944" s="4">
        <v>900006325</v>
      </c>
      <c r="B2944" s="3" t="s">
        <v>2185</v>
      </c>
      <c r="C2944" t="s">
        <v>1010</v>
      </c>
      <c r="D2944" s="3" t="s">
        <v>1259</v>
      </c>
      <c r="E2944" s="3" t="s">
        <v>1877</v>
      </c>
      <c r="F2944" s="1">
        <v>46065</v>
      </c>
      <c r="G2944" t="str">
        <f t="shared" si="103"/>
        <v>Feb -2026</v>
      </c>
    </row>
    <row r="2945" spans="1:7" x14ac:dyDescent="0.3">
      <c r="A2945" s="4">
        <v>2231443</v>
      </c>
      <c r="B2945" s="3" t="s">
        <v>2186</v>
      </c>
      <c r="C2945" t="s">
        <v>1010</v>
      </c>
      <c r="D2945" s="3" t="s">
        <v>1020</v>
      </c>
      <c r="E2945" s="3" t="s">
        <v>435</v>
      </c>
      <c r="F2945" s="1">
        <v>46065</v>
      </c>
      <c r="G2945" t="str">
        <f t="shared" si="103"/>
        <v>Feb -2026</v>
      </c>
    </row>
    <row r="2946" spans="1:7" x14ac:dyDescent="0.3">
      <c r="A2946" s="4">
        <v>2235090</v>
      </c>
      <c r="B2946" s="3" t="s">
        <v>2187</v>
      </c>
      <c r="C2946" t="s">
        <v>1010</v>
      </c>
      <c r="D2946" s="3" t="s">
        <v>209</v>
      </c>
      <c r="E2946" s="3" t="s">
        <v>228</v>
      </c>
      <c r="F2946" s="1">
        <v>46065</v>
      </c>
      <c r="G2946" t="str">
        <f t="shared" si="103"/>
        <v>Feb -2026</v>
      </c>
    </row>
    <row r="2947" spans="1:7" x14ac:dyDescent="0.3">
      <c r="A2947" s="4">
        <v>2235059</v>
      </c>
      <c r="B2947" s="3" t="s">
        <v>2188</v>
      </c>
      <c r="C2947" t="s">
        <v>1010</v>
      </c>
      <c r="D2947" s="3" t="s">
        <v>1020</v>
      </c>
      <c r="E2947" s="3" t="s">
        <v>228</v>
      </c>
      <c r="F2947" s="1">
        <v>46065</v>
      </c>
      <c r="G2947" t="str">
        <f t="shared" si="103"/>
        <v>Feb -2026</v>
      </c>
    </row>
    <row r="2948" spans="1:7" x14ac:dyDescent="0.3">
      <c r="A2948" s="4">
        <v>100005397</v>
      </c>
      <c r="B2948" s="3" t="s">
        <v>2189</v>
      </c>
      <c r="C2948" s="3" t="s">
        <v>1011</v>
      </c>
      <c r="D2948" s="3" t="s">
        <v>2015</v>
      </c>
      <c r="E2948" s="3" t="s">
        <v>967</v>
      </c>
      <c r="F2948" s="1">
        <v>46065</v>
      </c>
      <c r="G2948" t="str">
        <f t="shared" si="103"/>
        <v>Feb -2026</v>
      </c>
    </row>
    <row r="2949" spans="1:7" x14ac:dyDescent="0.3">
      <c r="A2949" s="4">
        <v>100005407</v>
      </c>
      <c r="B2949" s="3" t="s">
        <v>2190</v>
      </c>
      <c r="C2949" s="3" t="s">
        <v>1011</v>
      </c>
      <c r="D2949" s="3" t="s">
        <v>2015</v>
      </c>
      <c r="E2949" s="3" t="s">
        <v>969</v>
      </c>
      <c r="F2949" s="1">
        <v>46065</v>
      </c>
      <c r="G2949" t="str">
        <f t="shared" si="103"/>
        <v>Feb -2026</v>
      </c>
    </row>
    <row r="2950" spans="1:7" x14ac:dyDescent="0.3">
      <c r="A2950" s="4">
        <v>900006269</v>
      </c>
      <c r="B2950" s="3" t="s">
        <v>2191</v>
      </c>
      <c r="C2950" s="3" t="s">
        <v>1604</v>
      </c>
      <c r="D2950" s="3" t="s">
        <v>2018</v>
      </c>
      <c r="E2950" s="3" t="s">
        <v>1877</v>
      </c>
      <c r="F2950" s="1">
        <v>46065</v>
      </c>
      <c r="G2950" t="str">
        <f t="shared" si="103"/>
        <v>Feb -2026</v>
      </c>
    </row>
    <row r="2951" spans="1:7" x14ac:dyDescent="0.3">
      <c r="A2951" s="4">
        <v>900006392</v>
      </c>
      <c r="B2951" s="3" t="s">
        <v>2192</v>
      </c>
      <c r="C2951" s="3" t="s">
        <v>1604</v>
      </c>
      <c r="D2951" s="3" t="s">
        <v>2031</v>
      </c>
      <c r="E2951" s="3" t="s">
        <v>1877</v>
      </c>
      <c r="F2951" s="1">
        <v>46065</v>
      </c>
      <c r="G2951" t="str">
        <f t="shared" si="103"/>
        <v>Feb -2026</v>
      </c>
    </row>
    <row r="2952" spans="1:7" x14ac:dyDescent="0.3">
      <c r="A2952" s="4">
        <v>900006377</v>
      </c>
      <c r="B2952" s="3" t="s">
        <v>2133</v>
      </c>
      <c r="C2952" s="3" t="s">
        <v>1604</v>
      </c>
      <c r="D2952" s="3" t="s">
        <v>2031</v>
      </c>
      <c r="E2952" s="3" t="s">
        <v>1877</v>
      </c>
      <c r="F2952" s="1">
        <v>46065</v>
      </c>
      <c r="G2952" t="str">
        <f t="shared" si="103"/>
        <v>Feb -2026</v>
      </c>
    </row>
    <row r="2953" spans="1:7" x14ac:dyDescent="0.3">
      <c r="A2953" s="4">
        <v>900006383</v>
      </c>
      <c r="B2953" s="3" t="s">
        <v>2193</v>
      </c>
      <c r="C2953" s="3" t="s">
        <v>1604</v>
      </c>
      <c r="D2953" s="3" t="s">
        <v>2018</v>
      </c>
      <c r="E2953" s="3" t="s">
        <v>1877</v>
      </c>
      <c r="F2953" s="1">
        <v>46065</v>
      </c>
      <c r="G2953" t="str">
        <f t="shared" si="103"/>
        <v>Feb -2026</v>
      </c>
    </row>
    <row r="2954" spans="1:7" x14ac:dyDescent="0.3">
      <c r="A2954" s="4">
        <v>900006346</v>
      </c>
      <c r="B2954" s="3" t="s">
        <v>2165</v>
      </c>
      <c r="C2954" s="3" t="s">
        <v>1604</v>
      </c>
      <c r="D2954" s="3" t="s">
        <v>2031</v>
      </c>
      <c r="E2954" s="3" t="s">
        <v>1877</v>
      </c>
      <c r="F2954" s="1">
        <v>46065</v>
      </c>
      <c r="G2954" t="str">
        <f t="shared" si="103"/>
        <v>Feb -2026</v>
      </c>
    </row>
    <row r="2955" spans="1:7" x14ac:dyDescent="0.3">
      <c r="A2955" s="4">
        <v>100005388</v>
      </c>
      <c r="B2955" s="3" t="s">
        <v>2194</v>
      </c>
      <c r="C2955" s="3" t="s">
        <v>1011</v>
      </c>
      <c r="D2955" s="3" t="s">
        <v>2015</v>
      </c>
      <c r="E2955" s="3" t="s">
        <v>2195</v>
      </c>
      <c r="F2955" s="1">
        <v>46066</v>
      </c>
      <c r="G2955" t="str">
        <f t="shared" si="103"/>
        <v>Feb -2026</v>
      </c>
    </row>
    <row r="2956" spans="1:7" x14ac:dyDescent="0.3">
      <c r="A2956" s="4">
        <v>900006082</v>
      </c>
      <c r="B2956" s="3" t="s">
        <v>2196</v>
      </c>
      <c r="C2956" s="3" t="s">
        <v>1604</v>
      </c>
      <c r="D2956" s="3" t="s">
        <v>2018</v>
      </c>
      <c r="E2956" s="3" t="s">
        <v>1877</v>
      </c>
      <c r="F2956" s="1">
        <v>46066</v>
      </c>
      <c r="G2956" t="str">
        <f t="shared" si="103"/>
        <v>Feb -2026</v>
      </c>
    </row>
    <row r="2957" spans="1:7" x14ac:dyDescent="0.3">
      <c r="A2957" s="4">
        <v>900006333</v>
      </c>
      <c r="B2957" s="3" t="s">
        <v>2197</v>
      </c>
      <c r="C2957" s="3" t="s">
        <v>1604</v>
      </c>
      <c r="D2957" s="3" t="s">
        <v>2018</v>
      </c>
      <c r="E2957" s="3" t="s">
        <v>1877</v>
      </c>
      <c r="F2957" s="1">
        <v>46066</v>
      </c>
      <c r="G2957" t="str">
        <f t="shared" si="103"/>
        <v>Feb -2026</v>
      </c>
    </row>
    <row r="2958" spans="1:7" x14ac:dyDescent="0.3">
      <c r="A2958" s="4">
        <v>900006377</v>
      </c>
      <c r="B2958" s="3" t="s">
        <v>2133</v>
      </c>
      <c r="C2958" s="3" t="s">
        <v>1604</v>
      </c>
      <c r="D2958" s="3" t="s">
        <v>2031</v>
      </c>
      <c r="E2958" s="3" t="s">
        <v>1877</v>
      </c>
      <c r="F2958" s="1">
        <v>46066</v>
      </c>
      <c r="G2958" t="str">
        <f t="shared" si="103"/>
        <v>Feb -2026</v>
      </c>
    </row>
    <row r="2959" spans="1:7" x14ac:dyDescent="0.3">
      <c r="A2959" s="4">
        <v>100005414</v>
      </c>
      <c r="B2959" s="3" t="s">
        <v>2125</v>
      </c>
      <c r="C2959" s="3" t="s">
        <v>1011</v>
      </c>
      <c r="D2959" s="3" t="s">
        <v>2015</v>
      </c>
      <c r="E2959" s="3" t="s">
        <v>2198</v>
      </c>
      <c r="F2959" s="1">
        <v>46066</v>
      </c>
      <c r="G2959" t="str">
        <f t="shared" si="103"/>
        <v>Feb -2026</v>
      </c>
    </row>
    <row r="2960" spans="1:7" x14ac:dyDescent="0.3">
      <c r="A2960" s="4">
        <v>100005451</v>
      </c>
      <c r="B2960" s="3" t="s">
        <v>2199</v>
      </c>
      <c r="C2960" s="3" t="s">
        <v>1011</v>
      </c>
      <c r="D2960" s="3" t="s">
        <v>2015</v>
      </c>
      <c r="E2960" s="3" t="s">
        <v>2195</v>
      </c>
      <c r="F2960" s="1">
        <v>46066</v>
      </c>
      <c r="G2960" t="str">
        <f t="shared" si="103"/>
        <v>Feb -2026</v>
      </c>
    </row>
    <row r="2961" spans="1:7" x14ac:dyDescent="0.3">
      <c r="A2961" s="4">
        <v>100005413</v>
      </c>
      <c r="B2961" s="3" t="s">
        <v>2200</v>
      </c>
      <c r="C2961" s="3" t="s">
        <v>1011</v>
      </c>
      <c r="D2961" s="3" t="s">
        <v>2015</v>
      </c>
      <c r="E2961" s="3" t="s">
        <v>2195</v>
      </c>
      <c r="F2961" s="1">
        <v>46066</v>
      </c>
      <c r="G2961" t="str">
        <f t="shared" si="103"/>
        <v>Feb -2026</v>
      </c>
    </row>
    <row r="2962" spans="1:7" x14ac:dyDescent="0.3">
      <c r="A2962" s="4">
        <v>900006281</v>
      </c>
      <c r="B2962" s="3" t="s">
        <v>2201</v>
      </c>
      <c r="C2962" s="3" t="s">
        <v>1604</v>
      </c>
      <c r="D2962" s="3" t="s">
        <v>2031</v>
      </c>
      <c r="E2962" s="3" t="s">
        <v>1877</v>
      </c>
      <c r="F2962" s="1">
        <v>46066</v>
      </c>
      <c r="G2962" t="str">
        <f t="shared" si="103"/>
        <v>Feb -2026</v>
      </c>
    </row>
    <row r="2963" spans="1:7" x14ac:dyDescent="0.3">
      <c r="A2963" s="4">
        <v>100005440</v>
      </c>
      <c r="B2963" s="3" t="s">
        <v>2202</v>
      </c>
      <c r="C2963" s="3" t="s">
        <v>1011</v>
      </c>
      <c r="D2963" s="3" t="s">
        <v>2015</v>
      </c>
      <c r="E2963" s="3" t="s">
        <v>985</v>
      </c>
      <c r="F2963" s="1">
        <v>46066</v>
      </c>
      <c r="G2963" t="str">
        <f t="shared" si="103"/>
        <v>Feb -2026</v>
      </c>
    </row>
    <row r="2964" spans="1:7" x14ac:dyDescent="0.3">
      <c r="A2964" s="4">
        <v>2235613</v>
      </c>
      <c r="B2964" s="3" t="s">
        <v>2203</v>
      </c>
      <c r="C2964" t="s">
        <v>1010</v>
      </c>
      <c r="D2964" s="3" t="s">
        <v>209</v>
      </c>
      <c r="E2964" s="3" t="s">
        <v>210</v>
      </c>
      <c r="F2964" s="1">
        <v>46066</v>
      </c>
      <c r="G2964" t="str">
        <f t="shared" si="103"/>
        <v>Feb -2026</v>
      </c>
    </row>
    <row r="2965" spans="1:7" x14ac:dyDescent="0.3">
      <c r="A2965" s="4">
        <v>2235614</v>
      </c>
      <c r="B2965" s="3" t="s">
        <v>2204</v>
      </c>
      <c r="C2965" t="s">
        <v>1010</v>
      </c>
      <c r="D2965" s="3" t="s">
        <v>209</v>
      </c>
      <c r="E2965" s="3" t="s">
        <v>210</v>
      </c>
      <c r="F2965" s="1">
        <v>46066</v>
      </c>
      <c r="G2965" t="str">
        <f t="shared" si="103"/>
        <v>Feb -2026</v>
      </c>
    </row>
    <row r="2966" spans="1:7" x14ac:dyDescent="0.3">
      <c r="A2966" s="4">
        <v>2235615</v>
      </c>
      <c r="B2966" s="3" t="s">
        <v>2204</v>
      </c>
      <c r="C2966" t="s">
        <v>1010</v>
      </c>
      <c r="D2966" s="3" t="s">
        <v>209</v>
      </c>
      <c r="E2966" s="3" t="s">
        <v>210</v>
      </c>
      <c r="F2966" s="1">
        <v>46066</v>
      </c>
      <c r="G2966" t="str">
        <f t="shared" si="103"/>
        <v>Feb -2026</v>
      </c>
    </row>
    <row r="2967" spans="1:7" x14ac:dyDescent="0.3">
      <c r="A2967" s="4">
        <v>2235739</v>
      </c>
      <c r="B2967" s="3" t="s">
        <v>2204</v>
      </c>
      <c r="C2967" t="s">
        <v>1010</v>
      </c>
      <c r="D2967" s="3" t="s">
        <v>209</v>
      </c>
      <c r="E2967" s="3" t="s">
        <v>210</v>
      </c>
      <c r="F2967" s="1">
        <v>46066</v>
      </c>
      <c r="G2967" t="str">
        <f t="shared" si="103"/>
        <v>Feb -2026</v>
      </c>
    </row>
    <row r="2968" spans="1:7" x14ac:dyDescent="0.3">
      <c r="A2968" s="4">
        <v>2235668</v>
      </c>
      <c r="B2968" s="3" t="s">
        <v>2204</v>
      </c>
      <c r="C2968" t="s">
        <v>1010</v>
      </c>
      <c r="D2968" s="3" t="s">
        <v>209</v>
      </c>
      <c r="E2968" s="3" t="s">
        <v>210</v>
      </c>
      <c r="F2968" s="1">
        <v>46066</v>
      </c>
      <c r="G2968" t="str">
        <f t="shared" si="103"/>
        <v>Feb -2026</v>
      </c>
    </row>
    <row r="2969" spans="1:7" x14ac:dyDescent="0.3">
      <c r="A2969" s="4">
        <v>900006411</v>
      </c>
      <c r="B2969" s="3" t="s">
        <v>2205</v>
      </c>
      <c r="C2969" t="s">
        <v>1010</v>
      </c>
      <c r="D2969" s="3" t="s">
        <v>1551</v>
      </c>
      <c r="E2969" s="3" t="s">
        <v>1877</v>
      </c>
      <c r="F2969" s="1">
        <v>46066</v>
      </c>
      <c r="G2969" t="str">
        <f t="shared" si="103"/>
        <v>Feb -2026</v>
      </c>
    </row>
    <row r="2970" spans="1:7" x14ac:dyDescent="0.3">
      <c r="A2970" s="4">
        <v>900006359</v>
      </c>
      <c r="B2970" s="3" t="s">
        <v>2206</v>
      </c>
      <c r="C2970" t="s">
        <v>1010</v>
      </c>
      <c r="D2970" s="3" t="s">
        <v>1551</v>
      </c>
      <c r="E2970" s="3" t="s">
        <v>1877</v>
      </c>
      <c r="F2970" s="1">
        <v>46066</v>
      </c>
      <c r="G2970" t="str">
        <f t="shared" si="103"/>
        <v>Feb -2026</v>
      </c>
    </row>
    <row r="2971" spans="1:7" x14ac:dyDescent="0.3">
      <c r="A2971" s="4">
        <v>2237014</v>
      </c>
      <c r="B2971" s="3" t="s">
        <v>2207</v>
      </c>
      <c r="C2971" t="s">
        <v>1010</v>
      </c>
      <c r="D2971" s="3" t="s">
        <v>227</v>
      </c>
      <c r="E2971" s="3" t="s">
        <v>228</v>
      </c>
      <c r="F2971" s="1">
        <v>46066</v>
      </c>
      <c r="G2971" t="str">
        <f t="shared" si="103"/>
        <v>Feb -2026</v>
      </c>
    </row>
    <row r="2972" spans="1:7" x14ac:dyDescent="0.3">
      <c r="A2972" s="4">
        <v>2234345</v>
      </c>
      <c r="B2972" s="3" t="s">
        <v>41</v>
      </c>
      <c r="C2972" t="s">
        <v>1010</v>
      </c>
      <c r="D2972" s="3" t="s">
        <v>1020</v>
      </c>
      <c r="E2972" s="3" t="s">
        <v>211</v>
      </c>
      <c r="F2972" s="1">
        <v>46066</v>
      </c>
      <c r="G2972" t="str">
        <f t="shared" si="103"/>
        <v>Feb -2026</v>
      </c>
    </row>
    <row r="2973" spans="1:7" x14ac:dyDescent="0.3">
      <c r="A2973" s="4">
        <v>2234352</v>
      </c>
      <c r="B2973" s="3" t="s">
        <v>41</v>
      </c>
      <c r="C2973" t="s">
        <v>1010</v>
      </c>
      <c r="D2973" s="3" t="s">
        <v>1020</v>
      </c>
      <c r="E2973" s="3" t="s">
        <v>211</v>
      </c>
      <c r="F2973" s="1">
        <v>46066</v>
      </c>
      <c r="G2973" t="str">
        <f t="shared" si="103"/>
        <v>Feb -2026</v>
      </c>
    </row>
    <row r="2974" spans="1:7" x14ac:dyDescent="0.3">
      <c r="A2974" s="4">
        <v>2234826</v>
      </c>
      <c r="B2974" s="3" t="s">
        <v>47</v>
      </c>
      <c r="C2974" t="s">
        <v>1010</v>
      </c>
      <c r="D2974" s="3" t="s">
        <v>1020</v>
      </c>
      <c r="E2974" s="3" t="s">
        <v>211</v>
      </c>
      <c r="F2974" s="1">
        <v>46066</v>
      </c>
      <c r="G2974" t="str">
        <f t="shared" si="103"/>
        <v>Feb -2026</v>
      </c>
    </row>
    <row r="2975" spans="1:7" x14ac:dyDescent="0.3">
      <c r="A2975" s="4">
        <v>900006450</v>
      </c>
      <c r="B2975" s="3" t="s">
        <v>2208</v>
      </c>
      <c r="C2975" t="s">
        <v>1010</v>
      </c>
      <c r="D2975" s="3" t="s">
        <v>227</v>
      </c>
      <c r="E2975" s="3" t="s">
        <v>1877</v>
      </c>
      <c r="F2975" s="1">
        <v>46066</v>
      </c>
      <c r="G2975" t="str">
        <f t="shared" si="103"/>
        <v>Feb -2026</v>
      </c>
    </row>
    <row r="2976" spans="1:7" x14ac:dyDescent="0.3">
      <c r="A2976" s="4">
        <v>900006404</v>
      </c>
      <c r="B2976" s="3" t="s">
        <v>2209</v>
      </c>
      <c r="C2976" t="s">
        <v>1010</v>
      </c>
      <c r="D2976" s="3" t="s">
        <v>1551</v>
      </c>
      <c r="E2976" s="3" t="s">
        <v>1877</v>
      </c>
      <c r="F2976" s="1">
        <v>46066</v>
      </c>
      <c r="G2976" t="str">
        <f t="shared" si="103"/>
        <v>Feb -2026</v>
      </c>
    </row>
    <row r="2977" spans="1:7" x14ac:dyDescent="0.3">
      <c r="A2977" s="4">
        <v>2238431</v>
      </c>
      <c r="B2977" s="3" t="s">
        <v>2210</v>
      </c>
      <c r="C2977" t="s">
        <v>1010</v>
      </c>
      <c r="D2977" s="3" t="s">
        <v>209</v>
      </c>
      <c r="E2977" s="3" t="s">
        <v>210</v>
      </c>
      <c r="F2977" s="1">
        <v>46066</v>
      </c>
      <c r="G2977" t="str">
        <f t="shared" si="103"/>
        <v>Feb -2026</v>
      </c>
    </row>
    <row r="2978" spans="1:7" x14ac:dyDescent="0.3">
      <c r="A2978" s="4">
        <v>2238470</v>
      </c>
      <c r="B2978" s="3" t="s">
        <v>2211</v>
      </c>
      <c r="C2978" t="s">
        <v>1010</v>
      </c>
      <c r="D2978" s="3" t="s">
        <v>209</v>
      </c>
      <c r="E2978" s="3" t="s">
        <v>210</v>
      </c>
      <c r="F2978" s="1">
        <v>46066</v>
      </c>
      <c r="G2978" t="str">
        <f t="shared" si="103"/>
        <v>Feb -2026</v>
      </c>
    </row>
    <row r="2979" spans="1:7" x14ac:dyDescent="0.3">
      <c r="A2979" s="4">
        <v>100005431</v>
      </c>
      <c r="B2979" s="3" t="s">
        <v>2212</v>
      </c>
      <c r="C2979" s="3" t="s">
        <v>1011</v>
      </c>
      <c r="D2979" s="3" t="s">
        <v>2015</v>
      </c>
      <c r="E2979" s="3" t="s">
        <v>976</v>
      </c>
      <c r="F2979" s="1">
        <v>46066</v>
      </c>
      <c r="G2979" t="str">
        <f t="shared" si="103"/>
        <v>Feb -2026</v>
      </c>
    </row>
    <row r="2980" spans="1:7" x14ac:dyDescent="0.3">
      <c r="A2980" s="4">
        <v>2238612</v>
      </c>
      <c r="B2980" s="3" t="s">
        <v>2213</v>
      </c>
      <c r="C2980" t="s">
        <v>1010</v>
      </c>
      <c r="D2980" s="3" t="s">
        <v>209</v>
      </c>
      <c r="E2980" s="3" t="s">
        <v>375</v>
      </c>
      <c r="F2980" s="1">
        <v>46066</v>
      </c>
      <c r="G2980" t="str">
        <f t="shared" si="103"/>
        <v>Feb -2026</v>
      </c>
    </row>
    <row r="2981" spans="1:7" x14ac:dyDescent="0.3">
      <c r="A2981" s="4">
        <v>900006418</v>
      </c>
      <c r="B2981" s="3" t="s">
        <v>2214</v>
      </c>
      <c r="C2981" t="s">
        <v>1010</v>
      </c>
      <c r="D2981" s="3" t="s">
        <v>1551</v>
      </c>
      <c r="E2981" s="3" t="s">
        <v>1877</v>
      </c>
      <c r="F2981" s="1">
        <v>46070</v>
      </c>
      <c r="G2981" t="str">
        <f t="shared" si="103"/>
        <v>Feb -2026</v>
      </c>
    </row>
    <row r="2982" spans="1:7" x14ac:dyDescent="0.3">
      <c r="A2982" s="4">
        <v>2238611</v>
      </c>
      <c r="B2982" s="3" t="s">
        <v>2215</v>
      </c>
      <c r="C2982" t="s">
        <v>1010</v>
      </c>
      <c r="D2982" s="3" t="s">
        <v>209</v>
      </c>
      <c r="E2982" s="3" t="s">
        <v>375</v>
      </c>
      <c r="F2982" s="1">
        <v>46070</v>
      </c>
      <c r="G2982" t="str">
        <f t="shared" si="103"/>
        <v>Feb -2026</v>
      </c>
    </row>
    <row r="2983" spans="1:7" x14ac:dyDescent="0.3">
      <c r="A2983" s="4">
        <v>2238089</v>
      </c>
      <c r="B2983" s="3" t="s">
        <v>2216</v>
      </c>
      <c r="C2983" t="s">
        <v>1010</v>
      </c>
      <c r="D2983" s="3" t="s">
        <v>209</v>
      </c>
      <c r="E2983" s="3" t="s">
        <v>375</v>
      </c>
      <c r="F2983" s="1">
        <v>46070</v>
      </c>
      <c r="G2983" t="str">
        <f t="shared" si="103"/>
        <v>Feb -2026</v>
      </c>
    </row>
    <row r="2984" spans="1:7" x14ac:dyDescent="0.3">
      <c r="A2984" s="4">
        <v>2238175</v>
      </c>
      <c r="B2984" s="3" t="s">
        <v>2217</v>
      </c>
      <c r="C2984" t="s">
        <v>1010</v>
      </c>
      <c r="D2984" s="3" t="s">
        <v>209</v>
      </c>
      <c r="E2984" s="3" t="s">
        <v>375</v>
      </c>
      <c r="F2984" s="1">
        <v>46070</v>
      </c>
      <c r="G2984" t="str">
        <f t="shared" si="103"/>
        <v>Feb -2026</v>
      </c>
    </row>
    <row r="2985" spans="1:7" x14ac:dyDescent="0.3">
      <c r="A2985" s="4">
        <v>2235154</v>
      </c>
      <c r="B2985" s="3" t="s">
        <v>2218</v>
      </c>
      <c r="C2985" t="s">
        <v>1010</v>
      </c>
      <c r="D2985" s="3" t="s">
        <v>209</v>
      </c>
      <c r="E2985" s="3" t="s">
        <v>375</v>
      </c>
      <c r="F2985" s="1">
        <v>46070</v>
      </c>
      <c r="G2985" t="str">
        <f t="shared" ref="G2985:G3048" si="104">TEXT(F2985,"mmm -YYYY")</f>
        <v>Feb -2026</v>
      </c>
    </row>
    <row r="2986" spans="1:7" x14ac:dyDescent="0.3">
      <c r="A2986" s="4">
        <v>2209092</v>
      </c>
      <c r="B2986" s="3" t="s">
        <v>2219</v>
      </c>
      <c r="C2986" t="s">
        <v>1010</v>
      </c>
      <c r="D2986" s="3" t="s">
        <v>209</v>
      </c>
      <c r="E2986" s="3" t="s">
        <v>210</v>
      </c>
      <c r="F2986" s="1">
        <v>46070</v>
      </c>
      <c r="G2986" t="str">
        <f t="shared" si="104"/>
        <v>Feb -2026</v>
      </c>
    </row>
    <row r="2987" spans="1:7" x14ac:dyDescent="0.3">
      <c r="A2987" s="4">
        <v>2208946</v>
      </c>
      <c r="B2987" s="3" t="s">
        <v>2220</v>
      </c>
      <c r="C2987" t="s">
        <v>1010</v>
      </c>
      <c r="D2987" s="3" t="s">
        <v>209</v>
      </c>
      <c r="E2987" s="3" t="s">
        <v>210</v>
      </c>
      <c r="F2987" s="1">
        <v>46070</v>
      </c>
      <c r="G2987" t="str">
        <f t="shared" si="104"/>
        <v>Feb -2026</v>
      </c>
    </row>
    <row r="2988" spans="1:7" x14ac:dyDescent="0.3">
      <c r="A2988" s="4">
        <v>2208988</v>
      </c>
      <c r="B2988" s="3" t="s">
        <v>2221</v>
      </c>
      <c r="C2988" t="s">
        <v>1010</v>
      </c>
      <c r="D2988" s="3" t="s">
        <v>209</v>
      </c>
      <c r="E2988" s="3" t="s">
        <v>210</v>
      </c>
      <c r="F2988" s="1">
        <v>46070</v>
      </c>
      <c r="G2988" t="str">
        <f t="shared" si="104"/>
        <v>Feb -2026</v>
      </c>
    </row>
    <row r="2989" spans="1:7" x14ac:dyDescent="0.3">
      <c r="A2989" s="4">
        <v>2208989</v>
      </c>
      <c r="B2989" s="3" t="s">
        <v>2222</v>
      </c>
      <c r="C2989" t="s">
        <v>1010</v>
      </c>
      <c r="D2989" s="3" t="s">
        <v>209</v>
      </c>
      <c r="E2989" s="3" t="s">
        <v>210</v>
      </c>
      <c r="F2989" s="1">
        <v>46070</v>
      </c>
      <c r="G2989" t="str">
        <f t="shared" si="104"/>
        <v>Feb -2026</v>
      </c>
    </row>
    <row r="2990" spans="1:7" x14ac:dyDescent="0.3">
      <c r="A2990" s="4">
        <v>2244685</v>
      </c>
      <c r="B2990" s="3" t="s">
        <v>2223</v>
      </c>
      <c r="C2990" t="s">
        <v>1010</v>
      </c>
      <c r="D2990" s="3" t="s">
        <v>209</v>
      </c>
      <c r="E2990" s="3" t="s">
        <v>375</v>
      </c>
      <c r="F2990" s="1">
        <v>46070</v>
      </c>
      <c r="G2990" t="str">
        <f t="shared" si="104"/>
        <v>Feb -2026</v>
      </c>
    </row>
    <row r="2991" spans="1:7" x14ac:dyDescent="0.3">
      <c r="A2991" s="4">
        <v>2244800</v>
      </c>
      <c r="B2991" s="3" t="s">
        <v>2224</v>
      </c>
      <c r="C2991" t="s">
        <v>1010</v>
      </c>
      <c r="D2991" s="3" t="s">
        <v>209</v>
      </c>
      <c r="E2991" s="3" t="s">
        <v>375</v>
      </c>
      <c r="F2991" s="1">
        <v>46070</v>
      </c>
      <c r="G2991" t="str">
        <f t="shared" si="104"/>
        <v>Feb -2026</v>
      </c>
    </row>
    <row r="2992" spans="1:7" x14ac:dyDescent="0.3">
      <c r="A2992" s="4">
        <v>2247692</v>
      </c>
      <c r="B2992" s="3" t="s">
        <v>2225</v>
      </c>
      <c r="C2992" t="s">
        <v>1010</v>
      </c>
      <c r="D2992" s="3" t="s">
        <v>209</v>
      </c>
      <c r="E2992" s="3" t="s">
        <v>210</v>
      </c>
      <c r="F2992" s="1">
        <v>46070</v>
      </c>
      <c r="G2992" t="str">
        <f t="shared" si="104"/>
        <v>Feb -2026</v>
      </c>
    </row>
    <row r="2993" spans="1:7" x14ac:dyDescent="0.3">
      <c r="A2993" s="4">
        <v>230236</v>
      </c>
      <c r="B2993" s="3" t="s">
        <v>2226</v>
      </c>
      <c r="C2993" t="s">
        <v>1010</v>
      </c>
      <c r="D2993" s="3" t="s">
        <v>209</v>
      </c>
      <c r="E2993" s="3" t="s">
        <v>196</v>
      </c>
      <c r="F2993" s="1">
        <v>46070</v>
      </c>
      <c r="G2993" t="str">
        <f t="shared" si="104"/>
        <v>Feb -2026</v>
      </c>
    </row>
    <row r="2994" spans="1:7" x14ac:dyDescent="0.3">
      <c r="A2994" s="4">
        <v>2246757</v>
      </c>
      <c r="B2994" s="3" t="s">
        <v>2227</v>
      </c>
      <c r="C2994" t="s">
        <v>1010</v>
      </c>
      <c r="D2994" s="3" t="s">
        <v>209</v>
      </c>
      <c r="E2994" s="3" t="s">
        <v>210</v>
      </c>
      <c r="F2994" s="1">
        <v>46070</v>
      </c>
      <c r="G2994" t="str">
        <f t="shared" si="104"/>
        <v>Feb -2026</v>
      </c>
    </row>
    <row r="2995" spans="1:7" x14ac:dyDescent="0.3">
      <c r="A2995" s="4">
        <v>2247006</v>
      </c>
      <c r="B2995" s="3" t="s">
        <v>2228</v>
      </c>
      <c r="C2995" t="s">
        <v>1010</v>
      </c>
      <c r="D2995" s="3" t="s">
        <v>209</v>
      </c>
      <c r="E2995" s="3" t="s">
        <v>210</v>
      </c>
      <c r="F2995" s="1">
        <v>46070</v>
      </c>
      <c r="G2995" t="str">
        <f t="shared" si="104"/>
        <v>Feb -2026</v>
      </c>
    </row>
    <row r="2996" spans="1:7" x14ac:dyDescent="0.3">
      <c r="A2996" s="4">
        <v>2247008</v>
      </c>
      <c r="B2996" s="3" t="s">
        <v>2229</v>
      </c>
      <c r="C2996" t="s">
        <v>1010</v>
      </c>
      <c r="D2996" s="3" t="s">
        <v>209</v>
      </c>
      <c r="E2996" s="3" t="s">
        <v>210</v>
      </c>
      <c r="F2996" s="1">
        <v>46070</v>
      </c>
      <c r="G2996" t="str">
        <f t="shared" si="104"/>
        <v>Feb -2026</v>
      </c>
    </row>
    <row r="2997" spans="1:7" x14ac:dyDescent="0.3">
      <c r="A2997" s="4">
        <v>2247009</v>
      </c>
      <c r="B2997" s="3" t="s">
        <v>2230</v>
      </c>
      <c r="C2997" t="s">
        <v>1010</v>
      </c>
      <c r="D2997" s="3" t="s">
        <v>209</v>
      </c>
      <c r="E2997" s="3" t="s">
        <v>210</v>
      </c>
      <c r="F2997" s="1">
        <v>46070</v>
      </c>
      <c r="G2997" t="str">
        <f t="shared" si="104"/>
        <v>Feb -2026</v>
      </c>
    </row>
    <row r="2998" spans="1:7" x14ac:dyDescent="0.3">
      <c r="A2998" s="4">
        <v>2247042</v>
      </c>
      <c r="B2998" s="3" t="s">
        <v>2231</v>
      </c>
      <c r="C2998" t="s">
        <v>1010</v>
      </c>
      <c r="D2998" s="3" t="s">
        <v>209</v>
      </c>
      <c r="E2998" s="3" t="s">
        <v>210</v>
      </c>
      <c r="F2998" s="1">
        <v>46070</v>
      </c>
      <c r="G2998" t="str">
        <f t="shared" si="104"/>
        <v>Feb -2026</v>
      </c>
    </row>
    <row r="2999" spans="1:7" x14ac:dyDescent="0.3">
      <c r="A2999" s="4">
        <v>2247044</v>
      </c>
      <c r="B2999" s="3" t="s">
        <v>2232</v>
      </c>
      <c r="C2999" t="s">
        <v>1010</v>
      </c>
      <c r="D2999" s="3" t="s">
        <v>209</v>
      </c>
      <c r="E2999" s="3" t="s">
        <v>210</v>
      </c>
      <c r="F2999" s="1">
        <v>46070</v>
      </c>
      <c r="G2999" t="str">
        <f t="shared" si="104"/>
        <v>Feb -2026</v>
      </c>
    </row>
    <row r="3000" spans="1:7" x14ac:dyDescent="0.3">
      <c r="A3000" s="4">
        <v>2247049</v>
      </c>
      <c r="B3000" s="3" t="s">
        <v>2233</v>
      </c>
      <c r="C3000" t="s">
        <v>1010</v>
      </c>
      <c r="D3000" s="3" t="s">
        <v>209</v>
      </c>
      <c r="E3000" s="3" t="s">
        <v>210</v>
      </c>
      <c r="F3000" s="1">
        <v>46070</v>
      </c>
      <c r="G3000" t="str">
        <f t="shared" si="104"/>
        <v>Feb -2026</v>
      </c>
    </row>
    <row r="3001" spans="1:7" x14ac:dyDescent="0.3">
      <c r="A3001" s="4">
        <v>2237049</v>
      </c>
      <c r="B3001" s="3" t="s">
        <v>2234</v>
      </c>
      <c r="C3001" t="s">
        <v>1010</v>
      </c>
      <c r="D3001" s="3" t="s">
        <v>1259</v>
      </c>
      <c r="E3001" s="3" t="s">
        <v>228</v>
      </c>
      <c r="F3001" s="1">
        <v>46070</v>
      </c>
      <c r="G3001" t="str">
        <f t="shared" si="104"/>
        <v>Feb -2026</v>
      </c>
    </row>
    <row r="3002" spans="1:7" x14ac:dyDescent="0.3">
      <c r="A3002" s="4">
        <v>2237050</v>
      </c>
      <c r="B3002" s="3" t="s">
        <v>2235</v>
      </c>
      <c r="C3002" t="s">
        <v>1010</v>
      </c>
      <c r="D3002" s="3" t="s">
        <v>1259</v>
      </c>
      <c r="E3002" s="3" t="s">
        <v>228</v>
      </c>
      <c r="F3002" s="1">
        <v>46070</v>
      </c>
      <c r="G3002" t="str">
        <f t="shared" si="104"/>
        <v>Feb -2026</v>
      </c>
    </row>
    <row r="3003" spans="1:7" x14ac:dyDescent="0.3">
      <c r="A3003" s="4">
        <v>100005450</v>
      </c>
      <c r="B3003" s="3" t="s">
        <v>2236</v>
      </c>
      <c r="C3003" s="3" t="s">
        <v>1011</v>
      </c>
      <c r="D3003" s="3" t="s">
        <v>2015</v>
      </c>
      <c r="E3003" s="3" t="s">
        <v>970</v>
      </c>
      <c r="F3003" s="1">
        <v>46070</v>
      </c>
      <c r="G3003" t="str">
        <f t="shared" si="104"/>
        <v>Feb -2026</v>
      </c>
    </row>
    <row r="3004" spans="1:7" x14ac:dyDescent="0.3">
      <c r="A3004" s="4">
        <v>100005408</v>
      </c>
      <c r="B3004" s="3" t="s">
        <v>2237</v>
      </c>
      <c r="C3004" s="3" t="s">
        <v>1011</v>
      </c>
      <c r="D3004" s="3" t="s">
        <v>2015</v>
      </c>
      <c r="E3004" s="3" t="s">
        <v>970</v>
      </c>
      <c r="F3004" s="1">
        <v>46070</v>
      </c>
      <c r="G3004" t="str">
        <f t="shared" si="104"/>
        <v>Feb -2026</v>
      </c>
    </row>
    <row r="3005" spans="1:7" x14ac:dyDescent="0.3">
      <c r="A3005" s="4">
        <v>100005424</v>
      </c>
      <c r="B3005" s="3" t="s">
        <v>2238</v>
      </c>
      <c r="C3005" s="3" t="s">
        <v>1011</v>
      </c>
      <c r="D3005" s="3" t="s">
        <v>2015</v>
      </c>
      <c r="E3005" s="3" t="s">
        <v>1569</v>
      </c>
      <c r="F3005" s="1">
        <v>46070</v>
      </c>
      <c r="G3005" t="str">
        <f t="shared" si="104"/>
        <v>Feb -2026</v>
      </c>
    </row>
    <row r="3006" spans="1:7" x14ac:dyDescent="0.3">
      <c r="A3006" s="4">
        <v>100005434</v>
      </c>
      <c r="B3006" s="3" t="s">
        <v>2239</v>
      </c>
      <c r="C3006" s="3" t="s">
        <v>1011</v>
      </c>
      <c r="D3006" s="3" t="s">
        <v>2015</v>
      </c>
      <c r="E3006" s="3" t="s">
        <v>1569</v>
      </c>
      <c r="F3006" s="1">
        <v>46070</v>
      </c>
      <c r="G3006" t="str">
        <f t="shared" si="104"/>
        <v>Feb -2026</v>
      </c>
    </row>
    <row r="3007" spans="1:7" x14ac:dyDescent="0.3">
      <c r="A3007" s="4">
        <v>100005453</v>
      </c>
      <c r="B3007" s="3" t="s">
        <v>2240</v>
      </c>
      <c r="C3007" s="3" t="s">
        <v>1011</v>
      </c>
      <c r="D3007" s="3" t="s">
        <v>2015</v>
      </c>
      <c r="E3007" s="3" t="s">
        <v>981</v>
      </c>
      <c r="F3007" s="1">
        <v>46070</v>
      </c>
      <c r="G3007" t="str">
        <f t="shared" si="104"/>
        <v>Feb -2026</v>
      </c>
    </row>
    <row r="3008" spans="1:7" x14ac:dyDescent="0.3">
      <c r="A3008" s="4">
        <v>900006462</v>
      </c>
      <c r="B3008" s="3" t="s">
        <v>2241</v>
      </c>
      <c r="C3008" s="3" t="s">
        <v>1604</v>
      </c>
      <c r="D3008" s="3" t="s">
        <v>2018</v>
      </c>
      <c r="E3008" s="3" t="s">
        <v>1877</v>
      </c>
      <c r="F3008" s="1">
        <v>46070</v>
      </c>
      <c r="G3008" t="str">
        <f t="shared" si="104"/>
        <v>Feb -2026</v>
      </c>
    </row>
    <row r="3009" spans="1:7" x14ac:dyDescent="0.3">
      <c r="A3009" s="4">
        <v>900006281</v>
      </c>
      <c r="B3009" s="3" t="s">
        <v>2201</v>
      </c>
      <c r="C3009" s="3" t="s">
        <v>1604</v>
      </c>
      <c r="D3009" s="3" t="s">
        <v>2031</v>
      </c>
      <c r="E3009" s="3" t="s">
        <v>1877</v>
      </c>
      <c r="F3009" s="1">
        <v>46070</v>
      </c>
      <c r="G3009" t="str">
        <f t="shared" si="104"/>
        <v>Feb -2026</v>
      </c>
    </row>
    <row r="3010" spans="1:7" x14ac:dyDescent="0.3">
      <c r="A3010" s="4">
        <v>2247335</v>
      </c>
      <c r="B3010" s="3" t="s">
        <v>2242</v>
      </c>
      <c r="C3010" t="s">
        <v>1010</v>
      </c>
      <c r="D3010" s="3" t="s">
        <v>209</v>
      </c>
      <c r="E3010" s="3" t="s">
        <v>375</v>
      </c>
      <c r="F3010" s="1">
        <v>46071</v>
      </c>
      <c r="G3010" t="str">
        <f t="shared" si="104"/>
        <v>Feb -2026</v>
      </c>
    </row>
    <row r="3011" spans="1:7" x14ac:dyDescent="0.3">
      <c r="A3011" s="4">
        <v>2247420</v>
      </c>
      <c r="B3011" s="3" t="s">
        <v>2243</v>
      </c>
      <c r="C3011" t="s">
        <v>1010</v>
      </c>
      <c r="D3011" s="3" t="s">
        <v>209</v>
      </c>
      <c r="E3011" s="3" t="s">
        <v>375</v>
      </c>
      <c r="F3011" s="1">
        <v>46071</v>
      </c>
      <c r="G3011" t="str">
        <f t="shared" si="104"/>
        <v>Feb -2026</v>
      </c>
    </row>
    <row r="3012" spans="1:7" x14ac:dyDescent="0.3">
      <c r="A3012" s="4">
        <v>2247647</v>
      </c>
      <c r="B3012" s="3" t="s">
        <v>2244</v>
      </c>
      <c r="C3012" t="s">
        <v>1010</v>
      </c>
      <c r="D3012" s="3" t="s">
        <v>209</v>
      </c>
      <c r="E3012" s="3" t="s">
        <v>375</v>
      </c>
      <c r="F3012" s="1">
        <v>46071</v>
      </c>
      <c r="G3012" t="str">
        <f t="shared" si="104"/>
        <v>Feb -2026</v>
      </c>
    </row>
    <row r="3013" spans="1:7" x14ac:dyDescent="0.3">
      <c r="A3013" s="4">
        <v>2248183</v>
      </c>
      <c r="B3013" s="3" t="s">
        <v>2245</v>
      </c>
      <c r="C3013" t="s">
        <v>1010</v>
      </c>
      <c r="D3013" s="3" t="s">
        <v>209</v>
      </c>
      <c r="E3013" s="3" t="s">
        <v>375</v>
      </c>
      <c r="F3013" s="1">
        <v>46071</v>
      </c>
      <c r="G3013" t="str">
        <f t="shared" si="104"/>
        <v>Feb -2026</v>
      </c>
    </row>
    <row r="3014" spans="1:7" x14ac:dyDescent="0.3">
      <c r="A3014" s="4">
        <v>2194137</v>
      </c>
      <c r="B3014" s="3" t="s">
        <v>2246</v>
      </c>
      <c r="C3014" t="s">
        <v>1010</v>
      </c>
      <c r="D3014" s="3" t="s">
        <v>209</v>
      </c>
      <c r="E3014" s="3" t="s">
        <v>210</v>
      </c>
      <c r="F3014" s="1">
        <v>46071</v>
      </c>
      <c r="G3014" t="str">
        <f t="shared" si="104"/>
        <v>Feb -2026</v>
      </c>
    </row>
    <row r="3015" spans="1:7" x14ac:dyDescent="0.3">
      <c r="A3015" s="4">
        <v>2248055</v>
      </c>
      <c r="B3015" s="3" t="s">
        <v>2247</v>
      </c>
      <c r="C3015" t="s">
        <v>1010</v>
      </c>
      <c r="D3015" s="3" t="s">
        <v>209</v>
      </c>
      <c r="E3015" s="3" t="s">
        <v>375</v>
      </c>
      <c r="F3015" s="1">
        <v>46071</v>
      </c>
      <c r="G3015" t="str">
        <f t="shared" si="104"/>
        <v>Feb -2026</v>
      </c>
    </row>
    <row r="3016" spans="1:7" x14ac:dyDescent="0.3">
      <c r="A3016" s="4">
        <v>2248241</v>
      </c>
      <c r="B3016" s="3" t="s">
        <v>2248</v>
      </c>
      <c r="C3016" t="s">
        <v>1010</v>
      </c>
      <c r="D3016" s="3" t="s">
        <v>209</v>
      </c>
      <c r="E3016" s="3" t="s">
        <v>375</v>
      </c>
      <c r="F3016" s="1">
        <v>46071</v>
      </c>
      <c r="G3016" t="str">
        <f t="shared" si="104"/>
        <v>Feb -2026</v>
      </c>
    </row>
    <row r="3017" spans="1:7" x14ac:dyDescent="0.3">
      <c r="A3017" s="4">
        <v>2248132</v>
      </c>
      <c r="B3017" s="3" t="s">
        <v>2249</v>
      </c>
      <c r="C3017" t="s">
        <v>1010</v>
      </c>
      <c r="D3017" s="3" t="s">
        <v>209</v>
      </c>
      <c r="E3017" s="3" t="s">
        <v>375</v>
      </c>
      <c r="F3017" s="1">
        <v>46071</v>
      </c>
      <c r="G3017" t="str">
        <f t="shared" si="104"/>
        <v>Feb -2026</v>
      </c>
    </row>
    <row r="3018" spans="1:7" x14ac:dyDescent="0.3">
      <c r="A3018" s="4">
        <v>2248133</v>
      </c>
      <c r="B3018" s="3" t="s">
        <v>2250</v>
      </c>
      <c r="C3018" t="s">
        <v>1010</v>
      </c>
      <c r="D3018" s="3" t="s">
        <v>209</v>
      </c>
      <c r="E3018" s="3" t="s">
        <v>375</v>
      </c>
      <c r="F3018" s="1">
        <v>46071</v>
      </c>
      <c r="G3018" t="str">
        <f t="shared" si="104"/>
        <v>Feb -2026</v>
      </c>
    </row>
    <row r="3019" spans="1:7" x14ac:dyDescent="0.3">
      <c r="A3019" s="4">
        <v>2247047</v>
      </c>
      <c r="B3019" s="3" t="s">
        <v>2251</v>
      </c>
      <c r="C3019" t="s">
        <v>1010</v>
      </c>
      <c r="D3019" s="3" t="s">
        <v>209</v>
      </c>
      <c r="E3019" s="3" t="s">
        <v>210</v>
      </c>
      <c r="F3019" s="1">
        <v>46071</v>
      </c>
      <c r="G3019" t="str">
        <f t="shared" si="104"/>
        <v>Feb -2026</v>
      </c>
    </row>
    <row r="3020" spans="1:7" x14ac:dyDescent="0.3">
      <c r="A3020" s="4">
        <v>2234352</v>
      </c>
      <c r="B3020" s="3" t="s">
        <v>41</v>
      </c>
      <c r="C3020" t="s">
        <v>1010</v>
      </c>
      <c r="D3020" s="3" t="s">
        <v>1020</v>
      </c>
      <c r="E3020" s="3" t="s">
        <v>211</v>
      </c>
      <c r="F3020" s="1">
        <v>46071</v>
      </c>
      <c r="G3020" t="str">
        <f t="shared" si="104"/>
        <v>Feb -2026</v>
      </c>
    </row>
    <row r="3021" spans="1:7" x14ac:dyDescent="0.3">
      <c r="A3021" s="4">
        <v>2234345</v>
      </c>
      <c r="B3021" s="3" t="s">
        <v>41</v>
      </c>
      <c r="C3021" t="s">
        <v>1010</v>
      </c>
      <c r="D3021" s="3" t="s">
        <v>1020</v>
      </c>
      <c r="E3021" s="3" t="s">
        <v>211</v>
      </c>
      <c r="F3021" s="1">
        <v>46071</v>
      </c>
      <c r="G3021" t="str">
        <f t="shared" si="104"/>
        <v>Feb -2026</v>
      </c>
    </row>
    <row r="3022" spans="1:7" x14ac:dyDescent="0.3">
      <c r="A3022" s="4">
        <v>2247361</v>
      </c>
      <c r="B3022" s="3" t="s">
        <v>2252</v>
      </c>
      <c r="C3022" t="s">
        <v>1010</v>
      </c>
      <c r="D3022" s="3" t="s">
        <v>209</v>
      </c>
      <c r="E3022" s="3" t="s">
        <v>225</v>
      </c>
      <c r="F3022" s="1">
        <v>46071</v>
      </c>
      <c r="G3022" t="str">
        <f t="shared" si="104"/>
        <v>Feb -2026</v>
      </c>
    </row>
    <row r="3023" spans="1:7" x14ac:dyDescent="0.3">
      <c r="A3023" s="4">
        <v>2247371</v>
      </c>
      <c r="B3023" s="3" t="s">
        <v>2253</v>
      </c>
      <c r="C3023" t="s">
        <v>1010</v>
      </c>
      <c r="D3023" s="3" t="s">
        <v>209</v>
      </c>
      <c r="E3023" s="3" t="s">
        <v>225</v>
      </c>
      <c r="F3023" s="1">
        <v>46071</v>
      </c>
      <c r="G3023" t="str">
        <f t="shared" si="104"/>
        <v>Feb -2026</v>
      </c>
    </row>
    <row r="3024" spans="1:7" x14ac:dyDescent="0.3">
      <c r="A3024" s="4">
        <v>2237049</v>
      </c>
      <c r="B3024" s="3" t="s">
        <v>2234</v>
      </c>
      <c r="C3024" t="s">
        <v>1010</v>
      </c>
      <c r="D3024" s="3" t="s">
        <v>1259</v>
      </c>
      <c r="E3024" s="3" t="s">
        <v>228</v>
      </c>
      <c r="F3024" s="1">
        <v>46071</v>
      </c>
      <c r="G3024" t="str">
        <f t="shared" si="104"/>
        <v>Feb -2026</v>
      </c>
    </row>
    <row r="3025" spans="1:7" x14ac:dyDescent="0.3">
      <c r="A3025" s="4">
        <v>2237050</v>
      </c>
      <c r="B3025" s="3" t="s">
        <v>2235</v>
      </c>
      <c r="C3025" t="s">
        <v>1010</v>
      </c>
      <c r="D3025" s="3" t="s">
        <v>1259</v>
      </c>
      <c r="E3025" s="3" t="s">
        <v>228</v>
      </c>
      <c r="F3025" s="1">
        <v>46071</v>
      </c>
      <c r="G3025" t="str">
        <f t="shared" si="104"/>
        <v>Feb -2026</v>
      </c>
    </row>
    <row r="3026" spans="1:7" x14ac:dyDescent="0.3">
      <c r="A3026" s="4">
        <v>2237354</v>
      </c>
      <c r="B3026" s="3" t="s">
        <v>2254</v>
      </c>
      <c r="C3026" t="s">
        <v>1010</v>
      </c>
      <c r="D3026" s="3" t="s">
        <v>1259</v>
      </c>
      <c r="E3026" s="3" t="s">
        <v>228</v>
      </c>
      <c r="F3026" s="1">
        <v>46071</v>
      </c>
      <c r="G3026" t="str">
        <f t="shared" si="104"/>
        <v>Feb -2026</v>
      </c>
    </row>
    <row r="3027" spans="1:7" x14ac:dyDescent="0.3">
      <c r="A3027" s="4">
        <v>2238381</v>
      </c>
      <c r="B3027" s="3" t="s">
        <v>2255</v>
      </c>
      <c r="C3027" t="s">
        <v>1010</v>
      </c>
      <c r="D3027" s="3" t="s">
        <v>1259</v>
      </c>
      <c r="E3027" s="3" t="s">
        <v>228</v>
      </c>
      <c r="F3027" s="1">
        <v>46071</v>
      </c>
      <c r="G3027" t="str">
        <f t="shared" si="104"/>
        <v>Feb -2026</v>
      </c>
    </row>
    <row r="3028" spans="1:7" x14ac:dyDescent="0.3">
      <c r="A3028" s="4">
        <v>900006471</v>
      </c>
      <c r="B3028" s="3" t="s">
        <v>2256</v>
      </c>
      <c r="C3028" t="s">
        <v>1010</v>
      </c>
      <c r="D3028" s="3" t="s">
        <v>1551</v>
      </c>
      <c r="E3028" s="3" t="s">
        <v>1877</v>
      </c>
      <c r="F3028" s="1">
        <v>46071</v>
      </c>
      <c r="G3028" t="str">
        <f t="shared" si="104"/>
        <v>Feb -2026</v>
      </c>
    </row>
    <row r="3029" spans="1:7" x14ac:dyDescent="0.3">
      <c r="A3029" s="4">
        <v>900006443</v>
      </c>
      <c r="B3029" s="3" t="s">
        <v>2257</v>
      </c>
      <c r="C3029" t="s">
        <v>1010</v>
      </c>
      <c r="D3029" s="3" t="s">
        <v>1551</v>
      </c>
      <c r="E3029" s="3" t="s">
        <v>1877</v>
      </c>
      <c r="F3029" s="1">
        <v>46071</v>
      </c>
      <c r="G3029" t="str">
        <f t="shared" si="104"/>
        <v>Feb -2026</v>
      </c>
    </row>
    <row r="3030" spans="1:7" x14ac:dyDescent="0.3">
      <c r="A3030" s="4">
        <v>2238512</v>
      </c>
      <c r="B3030" s="3" t="s">
        <v>2258</v>
      </c>
      <c r="C3030" t="s">
        <v>1010</v>
      </c>
      <c r="D3030" s="3" t="s">
        <v>1259</v>
      </c>
      <c r="E3030" s="3" t="s">
        <v>228</v>
      </c>
      <c r="F3030" s="1">
        <v>46071</v>
      </c>
      <c r="G3030" t="str">
        <f t="shared" si="104"/>
        <v>Feb -2026</v>
      </c>
    </row>
    <row r="3031" spans="1:7" x14ac:dyDescent="0.3">
      <c r="A3031" s="4">
        <v>2246833</v>
      </c>
      <c r="B3031" s="3" t="s">
        <v>2259</v>
      </c>
      <c r="C3031" t="s">
        <v>1010</v>
      </c>
      <c r="D3031" s="3" t="s">
        <v>1259</v>
      </c>
      <c r="E3031" s="3" t="s">
        <v>228</v>
      </c>
      <c r="F3031" s="1">
        <v>46071</v>
      </c>
      <c r="G3031" t="str">
        <f t="shared" si="104"/>
        <v>Feb -2026</v>
      </c>
    </row>
    <row r="3032" spans="1:7" x14ac:dyDescent="0.3">
      <c r="A3032" s="4">
        <v>2250870</v>
      </c>
      <c r="B3032" s="3" t="s">
        <v>2044</v>
      </c>
      <c r="C3032" t="s">
        <v>1010</v>
      </c>
      <c r="D3032" s="3" t="s">
        <v>209</v>
      </c>
      <c r="E3032" s="3" t="s">
        <v>225</v>
      </c>
      <c r="F3032" s="1">
        <v>46071</v>
      </c>
      <c r="G3032" t="str">
        <f t="shared" si="104"/>
        <v>Feb -2026</v>
      </c>
    </row>
    <row r="3033" spans="1:7" x14ac:dyDescent="0.3">
      <c r="A3033" s="4">
        <v>2251032</v>
      </c>
      <c r="B3033" s="3" t="s">
        <v>2044</v>
      </c>
      <c r="C3033" t="s">
        <v>1010</v>
      </c>
      <c r="D3033" s="3" t="s">
        <v>209</v>
      </c>
      <c r="E3033" s="3" t="s">
        <v>225</v>
      </c>
      <c r="F3033" s="1">
        <v>46071</v>
      </c>
      <c r="G3033" t="str">
        <f t="shared" si="104"/>
        <v>Feb -2026</v>
      </c>
    </row>
    <row r="3034" spans="1:7" x14ac:dyDescent="0.3">
      <c r="A3034" s="4">
        <v>100005428</v>
      </c>
      <c r="B3034" s="3" t="s">
        <v>2260</v>
      </c>
      <c r="C3034" s="3" t="s">
        <v>1011</v>
      </c>
      <c r="D3034" s="3" t="s">
        <v>2015</v>
      </c>
      <c r="E3034" s="3" t="s">
        <v>1569</v>
      </c>
      <c r="F3034" s="1">
        <v>46071</v>
      </c>
      <c r="G3034" t="str">
        <f t="shared" si="104"/>
        <v>Feb -2026</v>
      </c>
    </row>
    <row r="3035" spans="1:7" x14ac:dyDescent="0.3">
      <c r="A3035" s="4">
        <v>100005459</v>
      </c>
      <c r="B3035" s="3" t="s">
        <v>2261</v>
      </c>
      <c r="C3035" s="3" t="s">
        <v>1011</v>
      </c>
      <c r="D3035" s="3" t="s">
        <v>2015</v>
      </c>
      <c r="E3035" s="3" t="s">
        <v>982</v>
      </c>
      <c r="F3035" s="1">
        <v>46071</v>
      </c>
      <c r="G3035" t="str">
        <f t="shared" si="104"/>
        <v>Feb -2026</v>
      </c>
    </row>
    <row r="3036" spans="1:7" x14ac:dyDescent="0.3">
      <c r="A3036" s="4">
        <v>100005269</v>
      </c>
      <c r="B3036" s="3" t="s">
        <v>2262</v>
      </c>
      <c r="C3036" s="3" t="s">
        <v>1011</v>
      </c>
      <c r="D3036" s="3" t="s">
        <v>2015</v>
      </c>
      <c r="E3036" s="3" t="s">
        <v>2106</v>
      </c>
      <c r="F3036" s="1">
        <v>46071</v>
      </c>
      <c r="G3036" t="str">
        <f t="shared" si="104"/>
        <v>Feb -2026</v>
      </c>
    </row>
    <row r="3037" spans="1:7" x14ac:dyDescent="0.3">
      <c r="A3037" s="4">
        <v>900006464</v>
      </c>
      <c r="B3037" s="3" t="s">
        <v>2263</v>
      </c>
      <c r="C3037" s="3" t="s">
        <v>1604</v>
      </c>
      <c r="D3037" s="3" t="s">
        <v>2031</v>
      </c>
      <c r="E3037" s="3" t="s">
        <v>322</v>
      </c>
      <c r="F3037" s="1">
        <v>46072</v>
      </c>
      <c r="G3037" t="str">
        <f t="shared" si="104"/>
        <v>Feb -2026</v>
      </c>
    </row>
    <row r="3038" spans="1:7" x14ac:dyDescent="0.3">
      <c r="A3038" s="4">
        <v>100005050</v>
      </c>
      <c r="B3038" s="3" t="s">
        <v>2264</v>
      </c>
      <c r="C3038" s="3" t="s">
        <v>1011</v>
      </c>
      <c r="D3038" s="3" t="s">
        <v>2015</v>
      </c>
      <c r="E3038" s="3" t="s">
        <v>2106</v>
      </c>
      <c r="F3038" s="1">
        <v>46072</v>
      </c>
      <c r="G3038" t="str">
        <f t="shared" si="104"/>
        <v>Feb -2026</v>
      </c>
    </row>
    <row r="3039" spans="1:7" x14ac:dyDescent="0.3">
      <c r="A3039" s="4">
        <v>2248183</v>
      </c>
      <c r="B3039" s="3" t="s">
        <v>2245</v>
      </c>
      <c r="C3039" t="s">
        <v>1010</v>
      </c>
      <c r="D3039" s="3" t="s">
        <v>209</v>
      </c>
      <c r="E3039" s="3" t="s">
        <v>375</v>
      </c>
      <c r="F3039" s="1">
        <v>46072</v>
      </c>
      <c r="G3039" t="str">
        <f t="shared" si="104"/>
        <v>Feb -2026</v>
      </c>
    </row>
    <row r="3040" spans="1:7" x14ac:dyDescent="0.3">
      <c r="A3040" s="4">
        <v>2250875</v>
      </c>
      <c r="B3040" s="3" t="s">
        <v>2265</v>
      </c>
      <c r="C3040" t="s">
        <v>1010</v>
      </c>
      <c r="D3040" s="3" t="s">
        <v>209</v>
      </c>
      <c r="E3040" s="3" t="s">
        <v>375</v>
      </c>
      <c r="F3040" s="1">
        <v>46072</v>
      </c>
      <c r="G3040" t="str">
        <f t="shared" si="104"/>
        <v>Feb -2026</v>
      </c>
    </row>
    <row r="3041" spans="1:7" x14ac:dyDescent="0.3">
      <c r="A3041" s="4">
        <v>2250432</v>
      </c>
      <c r="B3041" s="3" t="s">
        <v>2242</v>
      </c>
      <c r="C3041" t="s">
        <v>1010</v>
      </c>
      <c r="D3041" s="3" t="s">
        <v>209</v>
      </c>
      <c r="E3041" s="3" t="s">
        <v>375</v>
      </c>
      <c r="F3041" s="1">
        <v>46072</v>
      </c>
      <c r="G3041" t="str">
        <f t="shared" si="104"/>
        <v>Feb -2026</v>
      </c>
    </row>
    <row r="3042" spans="1:7" x14ac:dyDescent="0.3">
      <c r="A3042" s="4">
        <v>2247008</v>
      </c>
      <c r="B3042" s="3" t="s">
        <v>2229</v>
      </c>
      <c r="C3042" t="s">
        <v>1010</v>
      </c>
      <c r="D3042" s="3" t="s">
        <v>209</v>
      </c>
      <c r="E3042" s="3" t="s">
        <v>375</v>
      </c>
      <c r="F3042" s="1">
        <v>46072</v>
      </c>
      <c r="G3042" t="str">
        <f t="shared" si="104"/>
        <v>Feb -2026</v>
      </c>
    </row>
    <row r="3043" spans="1:7" x14ac:dyDescent="0.3">
      <c r="A3043" s="4">
        <v>2250905</v>
      </c>
      <c r="B3043" s="3" t="s">
        <v>2266</v>
      </c>
      <c r="C3043" t="s">
        <v>1010</v>
      </c>
      <c r="D3043" s="3" t="s">
        <v>209</v>
      </c>
      <c r="E3043" s="3" t="s">
        <v>375</v>
      </c>
      <c r="F3043" s="1">
        <v>46072</v>
      </c>
      <c r="G3043" t="str">
        <f t="shared" si="104"/>
        <v>Feb -2026</v>
      </c>
    </row>
    <row r="3044" spans="1:7" x14ac:dyDescent="0.3">
      <c r="A3044" s="4">
        <v>2248241</v>
      </c>
      <c r="B3044" s="3" t="s">
        <v>2248</v>
      </c>
      <c r="C3044" t="s">
        <v>1010</v>
      </c>
      <c r="D3044" s="3" t="s">
        <v>209</v>
      </c>
      <c r="E3044" s="3" t="s">
        <v>375</v>
      </c>
      <c r="F3044" s="1">
        <v>46072</v>
      </c>
      <c r="G3044" t="str">
        <f t="shared" si="104"/>
        <v>Feb -2026</v>
      </c>
    </row>
    <row r="3045" spans="1:7" x14ac:dyDescent="0.3">
      <c r="A3045" s="4">
        <v>2250905</v>
      </c>
      <c r="B3045" s="3" t="s">
        <v>2266</v>
      </c>
      <c r="C3045" t="s">
        <v>1010</v>
      </c>
      <c r="D3045" s="3" t="s">
        <v>209</v>
      </c>
      <c r="E3045" s="3" t="s">
        <v>375</v>
      </c>
      <c r="F3045" s="1">
        <v>46072</v>
      </c>
      <c r="G3045" t="str">
        <f t="shared" si="104"/>
        <v>Feb -2026</v>
      </c>
    </row>
    <row r="3046" spans="1:7" x14ac:dyDescent="0.3">
      <c r="A3046" s="4">
        <v>2248241</v>
      </c>
      <c r="B3046" s="3" t="s">
        <v>2248</v>
      </c>
      <c r="C3046" t="s">
        <v>1010</v>
      </c>
      <c r="D3046" s="3" t="s">
        <v>209</v>
      </c>
      <c r="E3046" s="3" t="s">
        <v>375</v>
      </c>
      <c r="F3046" s="1">
        <v>46072</v>
      </c>
      <c r="G3046" t="str">
        <f t="shared" si="104"/>
        <v>Feb -2026</v>
      </c>
    </row>
    <row r="3047" spans="1:7" x14ac:dyDescent="0.3">
      <c r="A3047" s="4">
        <v>2250853</v>
      </c>
      <c r="B3047" s="3" t="s">
        <v>2267</v>
      </c>
      <c r="C3047" t="s">
        <v>1010</v>
      </c>
      <c r="D3047" s="3" t="s">
        <v>209</v>
      </c>
      <c r="E3047" s="3" t="s">
        <v>375</v>
      </c>
      <c r="F3047" s="1">
        <v>46072</v>
      </c>
      <c r="G3047" t="str">
        <f t="shared" si="104"/>
        <v>Feb -2026</v>
      </c>
    </row>
    <row r="3048" spans="1:7" x14ac:dyDescent="0.3">
      <c r="A3048" s="4">
        <v>2250834</v>
      </c>
      <c r="B3048" s="3" t="s">
        <v>2268</v>
      </c>
      <c r="C3048" t="s">
        <v>1010</v>
      </c>
      <c r="D3048" s="3" t="s">
        <v>209</v>
      </c>
      <c r="E3048" s="3" t="s">
        <v>375</v>
      </c>
      <c r="F3048" s="1">
        <v>46072</v>
      </c>
      <c r="G3048" t="str">
        <f t="shared" si="104"/>
        <v>Feb -2026</v>
      </c>
    </row>
    <row r="3049" spans="1:7" x14ac:dyDescent="0.3">
      <c r="A3049" s="4">
        <v>2236913</v>
      </c>
      <c r="B3049" s="3" t="s">
        <v>47</v>
      </c>
      <c r="C3049" t="s">
        <v>1010</v>
      </c>
      <c r="D3049" s="3" t="s">
        <v>1020</v>
      </c>
      <c r="E3049" s="3" t="s">
        <v>211</v>
      </c>
      <c r="F3049" s="1">
        <v>46072</v>
      </c>
      <c r="G3049" t="str">
        <f t="shared" ref="G3049:G3112" si="105">TEXT(F3049,"mmm -YYYY")</f>
        <v>Feb -2026</v>
      </c>
    </row>
    <row r="3050" spans="1:7" x14ac:dyDescent="0.3">
      <c r="A3050" s="4">
        <v>2251141</v>
      </c>
      <c r="B3050" s="3" t="s">
        <v>2269</v>
      </c>
      <c r="C3050" t="s">
        <v>1010</v>
      </c>
      <c r="D3050" s="3" t="s">
        <v>209</v>
      </c>
      <c r="E3050" s="3" t="s">
        <v>375</v>
      </c>
      <c r="F3050" s="1">
        <v>46072</v>
      </c>
      <c r="G3050" t="str">
        <f t="shared" si="105"/>
        <v>Feb -2026</v>
      </c>
    </row>
    <row r="3051" spans="1:7" x14ac:dyDescent="0.3">
      <c r="A3051" s="4">
        <v>2251105</v>
      </c>
      <c r="B3051" s="3" t="s">
        <v>2270</v>
      </c>
      <c r="C3051" t="s">
        <v>1010</v>
      </c>
      <c r="D3051" s="3" t="s">
        <v>209</v>
      </c>
      <c r="E3051" s="3" t="s">
        <v>375</v>
      </c>
      <c r="F3051" s="1">
        <v>46072</v>
      </c>
      <c r="G3051" t="str">
        <f t="shared" si="105"/>
        <v>Feb -2026</v>
      </c>
    </row>
    <row r="3052" spans="1:7" x14ac:dyDescent="0.3">
      <c r="A3052" s="4">
        <v>2247003</v>
      </c>
      <c r="B3052" s="3" t="s">
        <v>47</v>
      </c>
      <c r="C3052" t="s">
        <v>1010</v>
      </c>
      <c r="D3052" s="3" t="s">
        <v>1020</v>
      </c>
      <c r="E3052" s="3" t="s">
        <v>211</v>
      </c>
      <c r="F3052" s="1">
        <v>46072</v>
      </c>
      <c r="G3052" t="str">
        <f t="shared" si="105"/>
        <v>Feb -2026</v>
      </c>
    </row>
    <row r="3053" spans="1:7" x14ac:dyDescent="0.3">
      <c r="A3053" s="4">
        <v>2234904</v>
      </c>
      <c r="B3053" s="3" t="s">
        <v>2271</v>
      </c>
      <c r="C3053" t="s">
        <v>1010</v>
      </c>
      <c r="D3053" s="3" t="s">
        <v>1020</v>
      </c>
      <c r="E3053" s="3" t="s">
        <v>2028</v>
      </c>
      <c r="F3053" s="1">
        <v>46072</v>
      </c>
      <c r="G3053" t="str">
        <f t="shared" si="105"/>
        <v>Feb -2026</v>
      </c>
    </row>
    <row r="3054" spans="1:7" x14ac:dyDescent="0.3">
      <c r="A3054" s="4">
        <v>2234873</v>
      </c>
      <c r="B3054" s="3" t="s">
        <v>2271</v>
      </c>
      <c r="C3054" t="s">
        <v>1010</v>
      </c>
      <c r="D3054" s="3" t="s">
        <v>1020</v>
      </c>
      <c r="E3054" s="3" t="s">
        <v>2028</v>
      </c>
      <c r="F3054" s="1">
        <v>46072</v>
      </c>
      <c r="G3054" t="str">
        <f t="shared" si="105"/>
        <v>Feb -2026</v>
      </c>
    </row>
    <row r="3055" spans="1:7" x14ac:dyDescent="0.3">
      <c r="A3055" s="4">
        <v>2234760</v>
      </c>
      <c r="B3055" s="3" t="s">
        <v>2271</v>
      </c>
      <c r="C3055" t="s">
        <v>1010</v>
      </c>
      <c r="D3055" s="3" t="s">
        <v>1020</v>
      </c>
      <c r="E3055" s="3" t="s">
        <v>2028</v>
      </c>
      <c r="F3055" s="1">
        <v>46072</v>
      </c>
      <c r="G3055" t="str">
        <f t="shared" si="105"/>
        <v>Feb -2026</v>
      </c>
    </row>
    <row r="3056" spans="1:7" x14ac:dyDescent="0.3">
      <c r="A3056" s="4">
        <v>2234818</v>
      </c>
      <c r="B3056" s="3" t="s">
        <v>2271</v>
      </c>
      <c r="C3056" t="s">
        <v>1010</v>
      </c>
      <c r="D3056" s="3" t="s">
        <v>1020</v>
      </c>
      <c r="E3056" s="3" t="s">
        <v>2028</v>
      </c>
      <c r="F3056" s="1">
        <v>46072</v>
      </c>
      <c r="G3056" t="str">
        <f t="shared" si="105"/>
        <v>Feb -2026</v>
      </c>
    </row>
    <row r="3057" spans="1:7" x14ac:dyDescent="0.3">
      <c r="A3057" s="4">
        <v>2234912</v>
      </c>
      <c r="B3057" s="3" t="s">
        <v>2271</v>
      </c>
      <c r="C3057" t="s">
        <v>1010</v>
      </c>
      <c r="D3057" s="3" t="s">
        <v>1020</v>
      </c>
      <c r="E3057" s="3" t="s">
        <v>2028</v>
      </c>
      <c r="F3057" s="1">
        <v>46072</v>
      </c>
      <c r="G3057" t="str">
        <f t="shared" si="105"/>
        <v>Feb -2026</v>
      </c>
    </row>
    <row r="3058" spans="1:7" x14ac:dyDescent="0.3">
      <c r="A3058" s="4">
        <v>2234810</v>
      </c>
      <c r="B3058" s="3" t="s">
        <v>2271</v>
      </c>
      <c r="C3058" t="s">
        <v>1010</v>
      </c>
      <c r="D3058" s="3" t="s">
        <v>1020</v>
      </c>
      <c r="E3058" s="3" t="s">
        <v>2028</v>
      </c>
      <c r="F3058" s="1">
        <v>46072</v>
      </c>
      <c r="G3058" t="str">
        <f t="shared" si="105"/>
        <v>Feb -2026</v>
      </c>
    </row>
    <row r="3059" spans="1:7" x14ac:dyDescent="0.3">
      <c r="A3059" s="4">
        <v>2234913</v>
      </c>
      <c r="B3059" s="3" t="s">
        <v>2271</v>
      </c>
      <c r="C3059" t="s">
        <v>1010</v>
      </c>
      <c r="D3059" s="3" t="s">
        <v>1020</v>
      </c>
      <c r="E3059" s="3" t="s">
        <v>2028</v>
      </c>
      <c r="F3059" s="1">
        <v>46072</v>
      </c>
      <c r="G3059" t="str">
        <f t="shared" si="105"/>
        <v>Feb -2026</v>
      </c>
    </row>
    <row r="3060" spans="1:7" x14ac:dyDescent="0.3">
      <c r="A3060" s="4">
        <v>2234807</v>
      </c>
      <c r="B3060" s="3" t="s">
        <v>2271</v>
      </c>
      <c r="C3060" t="s">
        <v>1010</v>
      </c>
      <c r="D3060" s="3" t="s">
        <v>1020</v>
      </c>
      <c r="E3060" s="3" t="s">
        <v>2028</v>
      </c>
      <c r="F3060" s="1">
        <v>46072</v>
      </c>
      <c r="G3060" t="str">
        <f t="shared" si="105"/>
        <v>Feb -2026</v>
      </c>
    </row>
    <row r="3061" spans="1:7" x14ac:dyDescent="0.3">
      <c r="A3061" s="4">
        <v>2236914</v>
      </c>
      <c r="B3061" s="3" t="s">
        <v>47</v>
      </c>
      <c r="C3061" t="s">
        <v>1010</v>
      </c>
      <c r="D3061" s="3" t="s">
        <v>1020</v>
      </c>
      <c r="E3061" s="3" t="s">
        <v>211</v>
      </c>
      <c r="F3061" s="1">
        <v>46072</v>
      </c>
      <c r="G3061" t="str">
        <f t="shared" si="105"/>
        <v>Feb -2026</v>
      </c>
    </row>
    <row r="3062" spans="1:7" x14ac:dyDescent="0.3">
      <c r="A3062" s="4">
        <v>2253568</v>
      </c>
      <c r="B3062" s="3" t="s">
        <v>2272</v>
      </c>
      <c r="C3062" t="s">
        <v>1010</v>
      </c>
      <c r="D3062" s="3" t="s">
        <v>209</v>
      </c>
      <c r="E3062" s="3" t="s">
        <v>375</v>
      </c>
      <c r="F3062" s="1">
        <v>46072</v>
      </c>
      <c r="G3062" t="str">
        <f t="shared" si="105"/>
        <v>Feb -2026</v>
      </c>
    </row>
    <row r="3063" spans="1:7" x14ac:dyDescent="0.3">
      <c r="A3063" s="4">
        <v>2253590</v>
      </c>
      <c r="B3063" s="3" t="s">
        <v>2273</v>
      </c>
      <c r="C3063" t="s">
        <v>1010</v>
      </c>
      <c r="D3063" s="3" t="s">
        <v>209</v>
      </c>
      <c r="E3063" s="3" t="s">
        <v>210</v>
      </c>
      <c r="F3063" s="1">
        <v>46072</v>
      </c>
      <c r="G3063" t="str">
        <f t="shared" si="105"/>
        <v>Feb -2026</v>
      </c>
    </row>
    <row r="3064" spans="1:7" x14ac:dyDescent="0.3">
      <c r="A3064" s="4">
        <v>900006450</v>
      </c>
      <c r="B3064" s="3" t="s">
        <v>2208</v>
      </c>
      <c r="C3064" t="s">
        <v>1010</v>
      </c>
      <c r="D3064" s="3" t="s">
        <v>227</v>
      </c>
      <c r="E3064" s="3" t="s">
        <v>322</v>
      </c>
      <c r="F3064" s="1">
        <v>46072</v>
      </c>
      <c r="G3064" t="str">
        <f t="shared" si="105"/>
        <v>Feb -2026</v>
      </c>
    </row>
    <row r="3065" spans="1:7" x14ac:dyDescent="0.3">
      <c r="A3065" s="4">
        <v>2253875</v>
      </c>
      <c r="B3065" s="3" t="s">
        <v>2274</v>
      </c>
      <c r="C3065" t="s">
        <v>1010</v>
      </c>
      <c r="D3065" s="3" t="s">
        <v>209</v>
      </c>
      <c r="E3065" s="3" t="s">
        <v>210</v>
      </c>
      <c r="F3065" s="1">
        <v>46072</v>
      </c>
      <c r="G3065" t="str">
        <f t="shared" si="105"/>
        <v>Feb -2026</v>
      </c>
    </row>
    <row r="3066" spans="1:7" x14ac:dyDescent="0.3">
      <c r="A3066" s="4">
        <v>2253876</v>
      </c>
      <c r="B3066" s="3" t="s">
        <v>2274</v>
      </c>
      <c r="C3066" t="s">
        <v>1010</v>
      </c>
      <c r="D3066" s="3" t="s">
        <v>209</v>
      </c>
      <c r="E3066" s="3" t="s">
        <v>210</v>
      </c>
      <c r="F3066" s="1">
        <v>46072</v>
      </c>
      <c r="G3066" t="str">
        <f t="shared" si="105"/>
        <v>Feb -2026</v>
      </c>
    </row>
    <row r="3067" spans="1:7" x14ac:dyDescent="0.3">
      <c r="A3067" s="4">
        <v>2253878</v>
      </c>
      <c r="B3067" s="3" t="s">
        <v>2274</v>
      </c>
      <c r="C3067" t="s">
        <v>1010</v>
      </c>
      <c r="D3067" s="3" t="s">
        <v>209</v>
      </c>
      <c r="E3067" s="3" t="s">
        <v>210</v>
      </c>
      <c r="F3067" s="1">
        <v>46072</v>
      </c>
      <c r="G3067" t="str">
        <f t="shared" si="105"/>
        <v>Feb -2026</v>
      </c>
    </row>
    <row r="3068" spans="1:7" x14ac:dyDescent="0.3">
      <c r="A3068" s="4">
        <v>900006473</v>
      </c>
      <c r="B3068" s="3" t="s">
        <v>2275</v>
      </c>
      <c r="C3068" s="3" t="s">
        <v>1604</v>
      </c>
      <c r="D3068" s="3" t="s">
        <v>2031</v>
      </c>
      <c r="E3068" s="3" t="s">
        <v>322</v>
      </c>
      <c r="F3068" s="1">
        <v>46073</v>
      </c>
      <c r="G3068" t="str">
        <f t="shared" si="105"/>
        <v>Feb -2026</v>
      </c>
    </row>
    <row r="3069" spans="1:7" x14ac:dyDescent="0.3">
      <c r="A3069" s="4">
        <v>900006468</v>
      </c>
      <c r="B3069" s="3" t="s">
        <v>2276</v>
      </c>
      <c r="C3069" s="3" t="s">
        <v>1604</v>
      </c>
      <c r="D3069" s="3" t="s">
        <v>2031</v>
      </c>
      <c r="E3069" s="3" t="s">
        <v>322</v>
      </c>
      <c r="F3069" s="1">
        <v>46073</v>
      </c>
      <c r="G3069" t="str">
        <f t="shared" si="105"/>
        <v>Feb -2026</v>
      </c>
    </row>
    <row r="3070" spans="1:7" x14ac:dyDescent="0.3">
      <c r="A3070" s="4">
        <v>900006398</v>
      </c>
      <c r="B3070" s="3" t="s">
        <v>2277</v>
      </c>
      <c r="C3070" s="3" t="s">
        <v>1604</v>
      </c>
      <c r="D3070" s="3" t="s">
        <v>2018</v>
      </c>
      <c r="E3070" s="3" t="s">
        <v>322</v>
      </c>
      <c r="F3070" s="1">
        <v>46073</v>
      </c>
      <c r="G3070" t="str">
        <f t="shared" si="105"/>
        <v>Feb -2026</v>
      </c>
    </row>
    <row r="3071" spans="1:7" x14ac:dyDescent="0.3">
      <c r="A3071" s="4">
        <v>900006478</v>
      </c>
      <c r="B3071" s="3" t="s">
        <v>2133</v>
      </c>
      <c r="C3071" s="3" t="s">
        <v>1604</v>
      </c>
      <c r="D3071" s="3" t="s">
        <v>2018</v>
      </c>
      <c r="E3071" s="3" t="s">
        <v>322</v>
      </c>
      <c r="F3071" s="1">
        <v>46073</v>
      </c>
      <c r="G3071" t="str">
        <f t="shared" si="105"/>
        <v>Feb -2026</v>
      </c>
    </row>
    <row r="3072" spans="1:7" x14ac:dyDescent="0.3">
      <c r="A3072" s="4">
        <v>100005473</v>
      </c>
      <c r="B3072" s="3" t="s">
        <v>2278</v>
      </c>
      <c r="C3072" s="3" t="s">
        <v>1011</v>
      </c>
      <c r="D3072" s="3" t="s">
        <v>2015</v>
      </c>
      <c r="E3072" s="3" t="s">
        <v>1569</v>
      </c>
      <c r="F3072" s="1">
        <v>46073</v>
      </c>
      <c r="G3072" t="str">
        <f t="shared" si="105"/>
        <v>Feb -2026</v>
      </c>
    </row>
    <row r="3073" spans="1:7" x14ac:dyDescent="0.3">
      <c r="A3073" s="4">
        <v>100005464</v>
      </c>
      <c r="B3073" s="3" t="s">
        <v>2279</v>
      </c>
      <c r="C3073" s="3" t="s">
        <v>1011</v>
      </c>
      <c r="D3073" s="3" t="s">
        <v>2015</v>
      </c>
      <c r="E3073" s="3" t="s">
        <v>2130</v>
      </c>
      <c r="F3073" s="1">
        <v>46073</v>
      </c>
      <c r="G3073" t="str">
        <f t="shared" si="105"/>
        <v>Feb -2026</v>
      </c>
    </row>
    <row r="3074" spans="1:7" x14ac:dyDescent="0.3">
      <c r="A3074" s="4">
        <v>2234903</v>
      </c>
      <c r="B3074" s="3" t="s">
        <v>2271</v>
      </c>
      <c r="C3074" t="s">
        <v>1010</v>
      </c>
      <c r="D3074" s="3" t="s">
        <v>1020</v>
      </c>
      <c r="E3074" s="3" t="s">
        <v>2028</v>
      </c>
      <c r="F3074" s="1">
        <v>46073</v>
      </c>
      <c r="G3074" t="str">
        <f t="shared" si="105"/>
        <v>Feb -2026</v>
      </c>
    </row>
    <row r="3075" spans="1:7" x14ac:dyDescent="0.3">
      <c r="A3075" s="4">
        <v>2234873</v>
      </c>
      <c r="B3075" s="3" t="s">
        <v>2271</v>
      </c>
      <c r="C3075" t="s">
        <v>1010</v>
      </c>
      <c r="D3075" s="3" t="s">
        <v>1020</v>
      </c>
      <c r="E3075" s="3" t="s">
        <v>2028</v>
      </c>
      <c r="F3075" s="1">
        <v>46073</v>
      </c>
      <c r="G3075" t="str">
        <f t="shared" si="105"/>
        <v>Feb -2026</v>
      </c>
    </row>
    <row r="3076" spans="1:7" x14ac:dyDescent="0.3">
      <c r="A3076" s="4">
        <v>2234912</v>
      </c>
      <c r="B3076" s="3" t="s">
        <v>2271</v>
      </c>
      <c r="C3076" t="s">
        <v>1010</v>
      </c>
      <c r="D3076" s="3" t="s">
        <v>1020</v>
      </c>
      <c r="E3076" s="3" t="s">
        <v>2028</v>
      </c>
      <c r="F3076" s="1">
        <v>46073</v>
      </c>
      <c r="G3076" t="str">
        <f t="shared" si="105"/>
        <v>Feb -2026</v>
      </c>
    </row>
    <row r="3077" spans="1:7" x14ac:dyDescent="0.3">
      <c r="A3077" s="4">
        <v>2234913</v>
      </c>
      <c r="B3077" s="3" t="s">
        <v>2271</v>
      </c>
      <c r="C3077" t="s">
        <v>1010</v>
      </c>
      <c r="D3077" s="3" t="s">
        <v>1020</v>
      </c>
      <c r="E3077" s="3" t="s">
        <v>2028</v>
      </c>
      <c r="F3077" s="1">
        <v>46073</v>
      </c>
      <c r="G3077" t="str">
        <f t="shared" si="105"/>
        <v>Feb -2026</v>
      </c>
    </row>
    <row r="3078" spans="1:7" x14ac:dyDescent="0.3">
      <c r="A3078" s="4">
        <v>2234807</v>
      </c>
      <c r="B3078" s="3" t="s">
        <v>2271</v>
      </c>
      <c r="C3078" t="s">
        <v>1010</v>
      </c>
      <c r="D3078" s="3" t="s">
        <v>1020</v>
      </c>
      <c r="E3078" s="3" t="s">
        <v>2028</v>
      </c>
      <c r="F3078" s="1">
        <v>46073</v>
      </c>
      <c r="G3078" t="str">
        <f t="shared" si="105"/>
        <v>Feb -2026</v>
      </c>
    </row>
    <row r="3079" spans="1:7" x14ac:dyDescent="0.3">
      <c r="A3079" s="4">
        <v>2253933</v>
      </c>
      <c r="B3079" s="3" t="s">
        <v>2280</v>
      </c>
      <c r="C3079" t="s">
        <v>1010</v>
      </c>
      <c r="D3079" s="3" t="s">
        <v>209</v>
      </c>
      <c r="E3079" s="3" t="s">
        <v>210</v>
      </c>
      <c r="F3079" s="1">
        <v>46073</v>
      </c>
      <c r="G3079" t="str">
        <f t="shared" si="105"/>
        <v>Feb -2026</v>
      </c>
    </row>
    <row r="3080" spans="1:7" x14ac:dyDescent="0.3">
      <c r="A3080" s="4">
        <v>2253927</v>
      </c>
      <c r="B3080" s="3" t="s">
        <v>2281</v>
      </c>
      <c r="C3080" t="s">
        <v>1010</v>
      </c>
      <c r="D3080" s="3" t="s">
        <v>209</v>
      </c>
      <c r="E3080" s="3" t="s">
        <v>375</v>
      </c>
      <c r="F3080" s="1">
        <v>46073</v>
      </c>
      <c r="G3080" t="str">
        <f t="shared" si="105"/>
        <v>Feb -2026</v>
      </c>
    </row>
    <row r="3081" spans="1:7" x14ac:dyDescent="0.3">
      <c r="A3081" s="4">
        <v>2250779</v>
      </c>
      <c r="B3081" s="3" t="s">
        <v>2282</v>
      </c>
      <c r="C3081" t="s">
        <v>1010</v>
      </c>
      <c r="D3081" s="3" t="s">
        <v>1020</v>
      </c>
      <c r="E3081" s="3" t="s">
        <v>435</v>
      </c>
      <c r="F3081" s="1">
        <v>46073</v>
      </c>
      <c r="G3081" t="str">
        <f t="shared" si="105"/>
        <v>Feb -2026</v>
      </c>
    </row>
    <row r="3082" spans="1:7" x14ac:dyDescent="0.3">
      <c r="A3082" s="4">
        <v>2254160</v>
      </c>
      <c r="B3082" s="3" t="s">
        <v>2283</v>
      </c>
      <c r="C3082" t="s">
        <v>1010</v>
      </c>
      <c r="D3082" s="3" t="s">
        <v>209</v>
      </c>
      <c r="E3082" s="3" t="s">
        <v>375</v>
      </c>
      <c r="F3082" s="1">
        <v>46073</v>
      </c>
      <c r="G3082" t="str">
        <f t="shared" si="105"/>
        <v>Feb -2026</v>
      </c>
    </row>
    <row r="3083" spans="1:7" x14ac:dyDescent="0.3">
      <c r="A3083" s="4">
        <v>2255169</v>
      </c>
      <c r="B3083" s="3" t="s">
        <v>2284</v>
      </c>
      <c r="C3083" t="s">
        <v>1010</v>
      </c>
      <c r="D3083" s="3" t="s">
        <v>209</v>
      </c>
      <c r="E3083" s="3" t="s">
        <v>196</v>
      </c>
      <c r="F3083" s="1">
        <v>46073</v>
      </c>
      <c r="G3083" t="str">
        <f t="shared" si="105"/>
        <v>Feb -2026</v>
      </c>
    </row>
    <row r="3084" spans="1:7" x14ac:dyDescent="0.3">
      <c r="A3084" s="4">
        <v>2254179</v>
      </c>
      <c r="B3084" s="3" t="s">
        <v>2283</v>
      </c>
      <c r="C3084" t="s">
        <v>1010</v>
      </c>
      <c r="D3084" s="3" t="s">
        <v>209</v>
      </c>
      <c r="E3084" s="3" t="s">
        <v>375</v>
      </c>
      <c r="F3084" s="1">
        <v>46073</v>
      </c>
      <c r="G3084" t="str">
        <f t="shared" si="105"/>
        <v>Feb -2026</v>
      </c>
    </row>
    <row r="3085" spans="1:7" x14ac:dyDescent="0.3">
      <c r="A3085" s="4">
        <v>2255869</v>
      </c>
      <c r="B3085" s="3" t="s">
        <v>2024</v>
      </c>
      <c r="C3085" t="s">
        <v>1010</v>
      </c>
      <c r="D3085" s="3" t="s">
        <v>209</v>
      </c>
      <c r="E3085" s="3" t="s">
        <v>228</v>
      </c>
      <c r="F3085" s="1">
        <v>46073</v>
      </c>
      <c r="G3085" t="str">
        <f t="shared" si="105"/>
        <v>Feb -2026</v>
      </c>
    </row>
    <row r="3086" spans="1:7" x14ac:dyDescent="0.3">
      <c r="A3086" s="4">
        <v>2255894</v>
      </c>
      <c r="B3086" s="3" t="s">
        <v>2024</v>
      </c>
      <c r="C3086" t="s">
        <v>1010</v>
      </c>
      <c r="D3086" s="3" t="s">
        <v>209</v>
      </c>
      <c r="E3086" s="3" t="s">
        <v>228</v>
      </c>
      <c r="F3086" s="1">
        <v>46073</v>
      </c>
      <c r="G3086" t="str">
        <f t="shared" si="105"/>
        <v>Feb -2026</v>
      </c>
    </row>
    <row r="3087" spans="1:7" x14ac:dyDescent="0.3">
      <c r="A3087" s="4">
        <v>2251169</v>
      </c>
      <c r="B3087" s="3" t="s">
        <v>2285</v>
      </c>
      <c r="C3087" t="s">
        <v>1010</v>
      </c>
      <c r="D3087" s="3" t="s">
        <v>364</v>
      </c>
      <c r="E3087" s="3" t="s">
        <v>228</v>
      </c>
      <c r="F3087" s="1">
        <v>46073</v>
      </c>
      <c r="G3087" t="str">
        <f t="shared" si="105"/>
        <v>Feb -2026</v>
      </c>
    </row>
    <row r="3088" spans="1:7" x14ac:dyDescent="0.3">
      <c r="A3088" s="4">
        <v>2251195</v>
      </c>
      <c r="B3088" s="3" t="s">
        <v>2285</v>
      </c>
      <c r="C3088" t="s">
        <v>1010</v>
      </c>
      <c r="D3088" s="3" t="s">
        <v>364</v>
      </c>
      <c r="E3088" s="3" t="s">
        <v>228</v>
      </c>
      <c r="F3088" s="1">
        <v>46073</v>
      </c>
      <c r="G3088" t="str">
        <f t="shared" si="105"/>
        <v>Feb -2026</v>
      </c>
    </row>
    <row r="3089" spans="1:7" x14ac:dyDescent="0.3">
      <c r="A3089" s="4">
        <v>2251184</v>
      </c>
      <c r="B3089" s="3" t="s">
        <v>2285</v>
      </c>
      <c r="C3089" t="s">
        <v>1010</v>
      </c>
      <c r="D3089" s="3" t="s">
        <v>364</v>
      </c>
      <c r="E3089" s="3" t="s">
        <v>228</v>
      </c>
      <c r="F3089" s="1">
        <v>46073</v>
      </c>
      <c r="G3089" t="str">
        <f t="shared" si="105"/>
        <v>Feb -2026</v>
      </c>
    </row>
    <row r="3090" spans="1:7" x14ac:dyDescent="0.3">
      <c r="A3090" s="4">
        <v>2251185</v>
      </c>
      <c r="B3090" s="3" t="s">
        <v>2285</v>
      </c>
      <c r="C3090" t="s">
        <v>1010</v>
      </c>
      <c r="D3090" s="3" t="s">
        <v>364</v>
      </c>
      <c r="E3090" s="3" t="s">
        <v>228</v>
      </c>
      <c r="F3090" s="1">
        <v>46073</v>
      </c>
      <c r="G3090" t="str">
        <f t="shared" si="105"/>
        <v>Feb -2026</v>
      </c>
    </row>
    <row r="3091" spans="1:7" x14ac:dyDescent="0.3">
      <c r="A3091" s="4">
        <v>2256673</v>
      </c>
      <c r="B3091" s="3" t="s">
        <v>2286</v>
      </c>
      <c r="C3091" t="s">
        <v>1010</v>
      </c>
      <c r="D3091" s="3" t="s">
        <v>364</v>
      </c>
      <c r="E3091" s="3" t="s">
        <v>1092</v>
      </c>
      <c r="F3091" s="1">
        <v>46073</v>
      </c>
      <c r="G3091" t="str">
        <f t="shared" si="105"/>
        <v>Feb -2026</v>
      </c>
    </row>
    <row r="3092" spans="1:7" x14ac:dyDescent="0.3">
      <c r="A3092" s="4">
        <v>2256648</v>
      </c>
      <c r="B3092" s="3" t="s">
        <v>2287</v>
      </c>
      <c r="C3092" t="s">
        <v>1010</v>
      </c>
      <c r="D3092" s="3" t="s">
        <v>364</v>
      </c>
      <c r="E3092" s="3" t="s">
        <v>1092</v>
      </c>
      <c r="F3092" s="1">
        <v>46073</v>
      </c>
      <c r="G3092" t="str">
        <f t="shared" si="105"/>
        <v>Feb -2026</v>
      </c>
    </row>
    <row r="3093" spans="1:7" x14ac:dyDescent="0.3">
      <c r="A3093" s="4">
        <v>2256515</v>
      </c>
      <c r="B3093" s="3" t="s">
        <v>2288</v>
      </c>
      <c r="C3093" t="s">
        <v>1010</v>
      </c>
      <c r="D3093" s="3" t="s">
        <v>364</v>
      </c>
      <c r="E3093" s="3" t="s">
        <v>1092</v>
      </c>
      <c r="F3093" s="1">
        <v>46073</v>
      </c>
      <c r="G3093" t="str">
        <f t="shared" si="105"/>
        <v>Feb -2026</v>
      </c>
    </row>
    <row r="3094" spans="1:7" x14ac:dyDescent="0.3">
      <c r="A3094" s="4">
        <v>2256646</v>
      </c>
      <c r="B3094" s="3" t="s">
        <v>2289</v>
      </c>
      <c r="C3094" t="s">
        <v>1010</v>
      </c>
      <c r="D3094" s="3" t="s">
        <v>364</v>
      </c>
      <c r="E3094" s="3" t="s">
        <v>1092</v>
      </c>
      <c r="F3094" s="1">
        <v>46073</v>
      </c>
      <c r="G3094" t="str">
        <f t="shared" si="105"/>
        <v>Feb -2026</v>
      </c>
    </row>
    <row r="3095" spans="1:7" x14ac:dyDescent="0.3">
      <c r="A3095" s="4">
        <v>2234606</v>
      </c>
      <c r="B3095" s="3" t="s">
        <v>511</v>
      </c>
      <c r="C3095" t="s">
        <v>1010</v>
      </c>
      <c r="D3095" s="3" t="s">
        <v>1020</v>
      </c>
      <c r="E3095" s="3" t="s">
        <v>338</v>
      </c>
      <c r="F3095" s="1">
        <v>46073</v>
      </c>
      <c r="G3095" t="str">
        <f t="shared" si="105"/>
        <v>Feb -2026</v>
      </c>
    </row>
    <row r="3096" spans="1:7" x14ac:dyDescent="0.3">
      <c r="A3096" s="4">
        <v>2234648</v>
      </c>
      <c r="B3096" s="3" t="s">
        <v>511</v>
      </c>
      <c r="C3096" t="s">
        <v>1010</v>
      </c>
      <c r="D3096" s="3" t="s">
        <v>1020</v>
      </c>
      <c r="E3096" s="3" t="s">
        <v>338</v>
      </c>
      <c r="F3096" s="1">
        <v>46073</v>
      </c>
      <c r="G3096" t="str">
        <f t="shared" si="105"/>
        <v>Feb -2026</v>
      </c>
    </row>
    <row r="3097" spans="1:7" x14ac:dyDescent="0.3">
      <c r="A3097" s="4">
        <v>2234903</v>
      </c>
      <c r="B3097" s="3" t="s">
        <v>2271</v>
      </c>
      <c r="C3097" t="s">
        <v>1010</v>
      </c>
      <c r="D3097" s="3" t="s">
        <v>1020</v>
      </c>
      <c r="E3097" s="3" t="s">
        <v>2028</v>
      </c>
      <c r="F3097" s="1">
        <v>46076</v>
      </c>
      <c r="G3097" t="str">
        <f t="shared" si="105"/>
        <v>Feb -2026</v>
      </c>
    </row>
    <row r="3098" spans="1:7" x14ac:dyDescent="0.3">
      <c r="A3098" s="4">
        <v>2234873</v>
      </c>
      <c r="B3098" s="3" t="s">
        <v>2271</v>
      </c>
      <c r="C3098" t="s">
        <v>1010</v>
      </c>
      <c r="D3098" s="3" t="s">
        <v>1020</v>
      </c>
      <c r="E3098" s="3" t="s">
        <v>2028</v>
      </c>
      <c r="F3098" s="1">
        <v>46076</v>
      </c>
      <c r="G3098" t="str">
        <f t="shared" si="105"/>
        <v>Feb -2026</v>
      </c>
    </row>
    <row r="3099" spans="1:7" x14ac:dyDescent="0.3">
      <c r="A3099" s="4">
        <v>2234912</v>
      </c>
      <c r="B3099" s="3" t="s">
        <v>2271</v>
      </c>
      <c r="C3099" t="s">
        <v>1010</v>
      </c>
      <c r="D3099" s="3" t="s">
        <v>1020</v>
      </c>
      <c r="E3099" s="3" t="s">
        <v>2028</v>
      </c>
      <c r="F3099" s="1">
        <v>46076</v>
      </c>
      <c r="G3099" t="str">
        <f t="shared" si="105"/>
        <v>Feb -2026</v>
      </c>
    </row>
    <row r="3100" spans="1:7" x14ac:dyDescent="0.3">
      <c r="A3100" s="4">
        <v>2234913</v>
      </c>
      <c r="B3100" s="3" t="s">
        <v>2271</v>
      </c>
      <c r="C3100" t="s">
        <v>1010</v>
      </c>
      <c r="D3100" s="3" t="s">
        <v>1020</v>
      </c>
      <c r="E3100" s="3" t="s">
        <v>2028</v>
      </c>
      <c r="F3100" s="1">
        <v>46076</v>
      </c>
      <c r="G3100" t="str">
        <f t="shared" si="105"/>
        <v>Feb -2026</v>
      </c>
    </row>
    <row r="3101" spans="1:7" x14ac:dyDescent="0.3">
      <c r="A3101" s="4">
        <v>2234807</v>
      </c>
      <c r="B3101" s="3" t="s">
        <v>2271</v>
      </c>
      <c r="C3101" t="s">
        <v>1010</v>
      </c>
      <c r="D3101" s="3" t="s">
        <v>1020</v>
      </c>
      <c r="E3101" s="3" t="s">
        <v>2028</v>
      </c>
      <c r="F3101" s="1">
        <v>46076</v>
      </c>
      <c r="G3101" t="str">
        <f t="shared" si="105"/>
        <v>Feb -2026</v>
      </c>
    </row>
    <row r="3102" spans="1:7" x14ac:dyDescent="0.3">
      <c r="A3102" s="4">
        <v>2257097</v>
      </c>
      <c r="B3102" s="3" t="s">
        <v>2290</v>
      </c>
      <c r="C3102" t="s">
        <v>1010</v>
      </c>
      <c r="D3102" s="3" t="s">
        <v>209</v>
      </c>
      <c r="E3102" s="3" t="s">
        <v>375</v>
      </c>
      <c r="F3102" s="1">
        <v>46076</v>
      </c>
      <c r="G3102" t="str">
        <f t="shared" si="105"/>
        <v>Feb -2026</v>
      </c>
    </row>
    <row r="3103" spans="1:7" x14ac:dyDescent="0.3">
      <c r="A3103" s="4">
        <v>2257162</v>
      </c>
      <c r="B3103" s="3" t="s">
        <v>2290</v>
      </c>
      <c r="C3103" t="s">
        <v>1010</v>
      </c>
      <c r="D3103" s="3" t="s">
        <v>209</v>
      </c>
      <c r="E3103" s="3" t="s">
        <v>375</v>
      </c>
      <c r="F3103" s="1">
        <v>46076</v>
      </c>
      <c r="G3103" t="str">
        <f t="shared" si="105"/>
        <v>Feb -2026</v>
      </c>
    </row>
    <row r="3104" spans="1:7" x14ac:dyDescent="0.3">
      <c r="A3104" s="4">
        <v>2257164</v>
      </c>
      <c r="B3104" s="3" t="s">
        <v>2290</v>
      </c>
      <c r="C3104" t="s">
        <v>1010</v>
      </c>
      <c r="D3104" s="3" t="s">
        <v>209</v>
      </c>
      <c r="E3104" s="3" t="s">
        <v>375</v>
      </c>
      <c r="F3104" s="1">
        <v>46076</v>
      </c>
      <c r="G3104" t="str">
        <f t="shared" si="105"/>
        <v>Feb -2026</v>
      </c>
    </row>
    <row r="3105" spans="1:7" x14ac:dyDescent="0.3">
      <c r="A3105" s="4">
        <v>2257165</v>
      </c>
      <c r="B3105" s="3" t="s">
        <v>2290</v>
      </c>
      <c r="C3105" t="s">
        <v>1010</v>
      </c>
      <c r="D3105" s="3" t="s">
        <v>209</v>
      </c>
      <c r="E3105" s="3" t="s">
        <v>375</v>
      </c>
      <c r="F3105" s="1">
        <v>46076</v>
      </c>
      <c r="G3105" t="str">
        <f t="shared" si="105"/>
        <v>Feb -2026</v>
      </c>
    </row>
    <row r="3106" spans="1:7" x14ac:dyDescent="0.3">
      <c r="A3106" s="4">
        <v>2256596</v>
      </c>
      <c r="B3106" s="3" t="s">
        <v>2291</v>
      </c>
      <c r="C3106" t="s">
        <v>1010</v>
      </c>
      <c r="D3106" s="3" t="s">
        <v>209</v>
      </c>
      <c r="E3106" s="3" t="s">
        <v>375</v>
      </c>
      <c r="F3106" s="1">
        <v>46076</v>
      </c>
      <c r="G3106" t="str">
        <f t="shared" si="105"/>
        <v>Feb -2026</v>
      </c>
    </row>
    <row r="3107" spans="1:7" x14ac:dyDescent="0.3">
      <c r="A3107" s="4">
        <v>2247897</v>
      </c>
      <c r="B3107" s="3" t="s">
        <v>2292</v>
      </c>
      <c r="C3107" t="s">
        <v>1010</v>
      </c>
      <c r="D3107" s="3" t="s">
        <v>1259</v>
      </c>
      <c r="E3107" s="3" t="s">
        <v>228</v>
      </c>
      <c r="F3107" s="1">
        <v>46076</v>
      </c>
      <c r="G3107" t="str">
        <f t="shared" si="105"/>
        <v>Feb -2026</v>
      </c>
    </row>
    <row r="3108" spans="1:7" x14ac:dyDescent="0.3">
      <c r="A3108" s="4">
        <v>2253388</v>
      </c>
      <c r="B3108" s="3" t="s">
        <v>2293</v>
      </c>
      <c r="C3108" t="s">
        <v>1010</v>
      </c>
      <c r="D3108" s="3" t="s">
        <v>1259</v>
      </c>
      <c r="E3108" s="3" t="s">
        <v>228</v>
      </c>
      <c r="F3108" s="1">
        <v>46076</v>
      </c>
      <c r="G3108" t="str">
        <f t="shared" si="105"/>
        <v>Feb -2026</v>
      </c>
    </row>
    <row r="3109" spans="1:7" x14ac:dyDescent="0.3">
      <c r="A3109" s="4">
        <v>2251084</v>
      </c>
      <c r="B3109" s="3" t="s">
        <v>2285</v>
      </c>
      <c r="C3109" t="s">
        <v>1010</v>
      </c>
      <c r="D3109" s="3" t="s">
        <v>1259</v>
      </c>
      <c r="E3109" s="3" t="s">
        <v>228</v>
      </c>
      <c r="F3109" s="1">
        <v>46076</v>
      </c>
      <c r="G3109" t="str">
        <f t="shared" si="105"/>
        <v>Feb -2026</v>
      </c>
    </row>
    <row r="3110" spans="1:7" x14ac:dyDescent="0.3">
      <c r="A3110" s="4">
        <v>2251074</v>
      </c>
      <c r="B3110" s="3" t="s">
        <v>2285</v>
      </c>
      <c r="C3110" t="s">
        <v>1010</v>
      </c>
      <c r="D3110" s="3" t="s">
        <v>1259</v>
      </c>
      <c r="E3110" s="3" t="s">
        <v>228</v>
      </c>
      <c r="F3110" s="1">
        <v>46076</v>
      </c>
      <c r="G3110" t="str">
        <f t="shared" si="105"/>
        <v>Feb -2026</v>
      </c>
    </row>
    <row r="3111" spans="1:7" x14ac:dyDescent="0.3">
      <c r="A3111" s="4">
        <v>2251009</v>
      </c>
      <c r="B3111" s="3" t="s">
        <v>2285</v>
      </c>
      <c r="C3111" t="s">
        <v>1010</v>
      </c>
      <c r="D3111" s="3" t="s">
        <v>1259</v>
      </c>
      <c r="E3111" s="3" t="s">
        <v>228</v>
      </c>
      <c r="F3111" s="1">
        <v>46076</v>
      </c>
      <c r="G3111" t="str">
        <f t="shared" si="105"/>
        <v>Feb -2026</v>
      </c>
    </row>
    <row r="3112" spans="1:7" x14ac:dyDescent="0.3">
      <c r="A3112" s="4">
        <v>2247433</v>
      </c>
      <c r="B3112" s="3" t="s">
        <v>2294</v>
      </c>
      <c r="C3112" t="s">
        <v>1010</v>
      </c>
      <c r="D3112" s="3" t="s">
        <v>364</v>
      </c>
      <c r="E3112" s="3" t="s">
        <v>15</v>
      </c>
      <c r="F3112" s="1">
        <v>46076</v>
      </c>
      <c r="G3112" t="str">
        <f t="shared" si="105"/>
        <v>Feb -2026</v>
      </c>
    </row>
    <row r="3113" spans="1:7" x14ac:dyDescent="0.3">
      <c r="A3113" s="4">
        <v>900006514</v>
      </c>
      <c r="B3113" s="3" t="s">
        <v>2295</v>
      </c>
      <c r="C3113" t="s">
        <v>1010</v>
      </c>
      <c r="D3113" s="3" t="s">
        <v>1551</v>
      </c>
      <c r="E3113" s="3" t="s">
        <v>1877</v>
      </c>
      <c r="F3113" s="1">
        <v>46076</v>
      </c>
      <c r="G3113" t="str">
        <f t="shared" ref="G3113:G3118" si="106">TEXT(F3113,"mmm -YYYY")</f>
        <v>Feb -2026</v>
      </c>
    </row>
    <row r="3114" spans="1:7" x14ac:dyDescent="0.3">
      <c r="A3114" s="4">
        <v>900006444</v>
      </c>
      <c r="B3114" s="3" t="s">
        <v>2296</v>
      </c>
      <c r="C3114" t="s">
        <v>1010</v>
      </c>
      <c r="D3114" s="3" t="s">
        <v>1551</v>
      </c>
      <c r="E3114" s="3" t="s">
        <v>1877</v>
      </c>
      <c r="F3114" s="1">
        <v>46076</v>
      </c>
      <c r="G3114" t="str">
        <f t="shared" si="106"/>
        <v>Feb -2026</v>
      </c>
    </row>
    <row r="3115" spans="1:7" x14ac:dyDescent="0.3">
      <c r="A3115" s="4">
        <v>900006406</v>
      </c>
      <c r="B3115" s="3" t="s">
        <v>2297</v>
      </c>
      <c r="C3115" t="s">
        <v>1010</v>
      </c>
      <c r="D3115" s="3" t="s">
        <v>1551</v>
      </c>
      <c r="E3115" s="3" t="s">
        <v>1877</v>
      </c>
      <c r="F3115" s="1">
        <v>46076</v>
      </c>
      <c r="G3115" t="str">
        <f t="shared" si="106"/>
        <v>Feb -2026</v>
      </c>
    </row>
    <row r="3116" spans="1:7" x14ac:dyDescent="0.3">
      <c r="A3116" s="4">
        <v>2250995</v>
      </c>
      <c r="B3116" s="3" t="s">
        <v>2285</v>
      </c>
      <c r="C3116" t="s">
        <v>1010</v>
      </c>
      <c r="D3116" s="3" t="s">
        <v>1259</v>
      </c>
      <c r="E3116" s="3" t="s">
        <v>228</v>
      </c>
      <c r="F3116" s="1">
        <v>46076</v>
      </c>
      <c r="G3116" t="str">
        <f t="shared" si="106"/>
        <v>Feb -2026</v>
      </c>
    </row>
    <row r="3117" spans="1:7" x14ac:dyDescent="0.3">
      <c r="A3117" s="4">
        <v>2251077</v>
      </c>
      <c r="B3117" s="3" t="s">
        <v>2285</v>
      </c>
      <c r="C3117" t="s">
        <v>1010</v>
      </c>
      <c r="D3117" s="3" t="s">
        <v>1259</v>
      </c>
      <c r="E3117" s="3" t="s">
        <v>228</v>
      </c>
      <c r="F3117" s="1">
        <v>46076</v>
      </c>
      <c r="G3117" t="str">
        <f t="shared" si="106"/>
        <v>Feb -2026</v>
      </c>
    </row>
    <row r="3118" spans="1:7" x14ac:dyDescent="0.3">
      <c r="A3118" s="4">
        <v>2250996</v>
      </c>
      <c r="B3118" s="3" t="s">
        <v>2285</v>
      </c>
      <c r="C3118" t="s">
        <v>1010</v>
      </c>
      <c r="D3118" s="3" t="s">
        <v>1259</v>
      </c>
      <c r="E3118" s="3" t="s">
        <v>228</v>
      </c>
      <c r="F3118" s="1">
        <v>46076</v>
      </c>
      <c r="G3118" t="str">
        <f t="shared" si="106"/>
        <v>Feb -2026</v>
      </c>
    </row>
    <row r="3119" spans="1:7" x14ac:dyDescent="0.3">
      <c r="A3119" s="4">
        <v>100005480</v>
      </c>
      <c r="B3119" s="3" t="s">
        <v>2298</v>
      </c>
      <c r="C3119" s="3" t="s">
        <v>1011</v>
      </c>
      <c r="D3119" s="3" t="s">
        <v>2015</v>
      </c>
      <c r="E3119" s="3" t="s">
        <v>976</v>
      </c>
      <c r="F3119" s="1">
        <v>46076</v>
      </c>
      <c r="G3119" t="str">
        <f t="shared" ref="G3119:G3182" si="107">TEXT(F3119,"mmm -YYYY")</f>
        <v>Feb -2026</v>
      </c>
    </row>
    <row r="3120" spans="1:7" x14ac:dyDescent="0.3">
      <c r="A3120" s="4">
        <v>100005481</v>
      </c>
      <c r="B3120" s="3" t="s">
        <v>2299</v>
      </c>
      <c r="C3120" s="3" t="s">
        <v>1011</v>
      </c>
      <c r="D3120" s="3" t="s">
        <v>2015</v>
      </c>
      <c r="E3120" s="3" t="s">
        <v>981</v>
      </c>
      <c r="F3120" s="1">
        <v>46076</v>
      </c>
      <c r="G3120" t="str">
        <f t="shared" si="107"/>
        <v>Feb -2026</v>
      </c>
    </row>
    <row r="3121" spans="1:7" x14ac:dyDescent="0.3">
      <c r="A3121" s="4">
        <v>900006472</v>
      </c>
      <c r="B3121" s="3" t="s">
        <v>2300</v>
      </c>
      <c r="C3121" s="3" t="s">
        <v>1604</v>
      </c>
      <c r="D3121" s="3" t="s">
        <v>2018</v>
      </c>
      <c r="E3121" s="3" t="s">
        <v>1877</v>
      </c>
      <c r="F3121" s="1">
        <v>46076</v>
      </c>
      <c r="G3121" t="str">
        <f t="shared" si="107"/>
        <v>Feb -2026</v>
      </c>
    </row>
    <row r="3122" spans="1:7" x14ac:dyDescent="0.3">
      <c r="A3122" s="4">
        <v>900006522</v>
      </c>
      <c r="B3122" s="3" t="s">
        <v>2301</v>
      </c>
      <c r="C3122" s="3" t="s">
        <v>1604</v>
      </c>
      <c r="D3122" s="3" t="s">
        <v>2031</v>
      </c>
      <c r="E3122" s="3" t="s">
        <v>1877</v>
      </c>
      <c r="F3122" s="1">
        <v>46076</v>
      </c>
      <c r="G3122" t="str">
        <f t="shared" si="107"/>
        <v>Feb -2026</v>
      </c>
    </row>
    <row r="3123" spans="1:7" x14ac:dyDescent="0.3">
      <c r="A3123" s="4">
        <v>900006458</v>
      </c>
      <c r="B3123" s="3" t="s">
        <v>2302</v>
      </c>
      <c r="C3123" s="3" t="s">
        <v>1011</v>
      </c>
      <c r="D3123" s="3" t="s">
        <v>973</v>
      </c>
      <c r="E3123" s="3" t="s">
        <v>1877</v>
      </c>
      <c r="F3123" s="1">
        <v>46076</v>
      </c>
      <c r="G3123" t="str">
        <f t="shared" si="107"/>
        <v>Feb -2026</v>
      </c>
    </row>
    <row r="3124" spans="1:7" x14ac:dyDescent="0.3">
      <c r="A3124" s="4">
        <v>2251136</v>
      </c>
      <c r="B3124" s="3" t="s">
        <v>2285</v>
      </c>
      <c r="C3124" t="s">
        <v>1010</v>
      </c>
      <c r="D3124" s="3" t="s">
        <v>1259</v>
      </c>
      <c r="E3124" s="3" t="s">
        <v>228</v>
      </c>
      <c r="F3124" s="1">
        <v>46077</v>
      </c>
      <c r="G3124" t="str">
        <f t="shared" si="107"/>
        <v>Feb -2026</v>
      </c>
    </row>
    <row r="3125" spans="1:7" x14ac:dyDescent="0.3">
      <c r="A3125" s="4">
        <v>2251142</v>
      </c>
      <c r="B3125" s="3" t="s">
        <v>2285</v>
      </c>
      <c r="C3125" t="s">
        <v>1010</v>
      </c>
      <c r="D3125" s="3" t="s">
        <v>1259</v>
      </c>
      <c r="E3125" s="3" t="s">
        <v>228</v>
      </c>
      <c r="F3125" s="1">
        <v>46077</v>
      </c>
      <c r="G3125" t="str">
        <f t="shared" si="107"/>
        <v>Feb -2026</v>
      </c>
    </row>
    <row r="3126" spans="1:7" x14ac:dyDescent="0.3">
      <c r="A3126" s="4">
        <v>2251137</v>
      </c>
      <c r="B3126" s="3" t="s">
        <v>2285</v>
      </c>
      <c r="C3126" t="s">
        <v>1010</v>
      </c>
      <c r="D3126" s="3" t="s">
        <v>1259</v>
      </c>
      <c r="E3126" s="3" t="s">
        <v>228</v>
      </c>
      <c r="F3126" s="1">
        <v>46077</v>
      </c>
      <c r="G3126" t="str">
        <f t="shared" si="107"/>
        <v>Feb -2026</v>
      </c>
    </row>
    <row r="3127" spans="1:7" x14ac:dyDescent="0.3">
      <c r="A3127" s="4">
        <v>2251144</v>
      </c>
      <c r="B3127" s="3" t="s">
        <v>2285</v>
      </c>
      <c r="C3127" t="s">
        <v>1010</v>
      </c>
      <c r="D3127" s="3" t="s">
        <v>1259</v>
      </c>
      <c r="E3127" s="3" t="s">
        <v>228</v>
      </c>
      <c r="F3127" s="1">
        <v>46077</v>
      </c>
      <c r="G3127" t="str">
        <f t="shared" si="107"/>
        <v>Feb -2026</v>
      </c>
    </row>
    <row r="3128" spans="1:7" x14ac:dyDescent="0.3">
      <c r="A3128" s="4">
        <v>2250997</v>
      </c>
      <c r="B3128" s="3" t="s">
        <v>2285</v>
      </c>
      <c r="C3128" t="s">
        <v>1010</v>
      </c>
      <c r="D3128" s="3" t="s">
        <v>1259</v>
      </c>
      <c r="E3128" s="3" t="s">
        <v>228</v>
      </c>
      <c r="F3128" s="1">
        <v>46077</v>
      </c>
      <c r="G3128" t="str">
        <f t="shared" si="107"/>
        <v>Feb -2026</v>
      </c>
    </row>
    <row r="3129" spans="1:7" x14ac:dyDescent="0.3">
      <c r="A3129" s="4">
        <v>2251146</v>
      </c>
      <c r="B3129" s="3" t="s">
        <v>2285</v>
      </c>
      <c r="C3129" t="s">
        <v>1010</v>
      </c>
      <c r="D3129" s="3" t="s">
        <v>1259</v>
      </c>
      <c r="E3129" s="3" t="s">
        <v>228</v>
      </c>
      <c r="F3129" s="1">
        <v>46077</v>
      </c>
      <c r="G3129" t="str">
        <f t="shared" si="107"/>
        <v>Feb -2026</v>
      </c>
    </row>
    <row r="3130" spans="1:7" x14ac:dyDescent="0.3">
      <c r="A3130" s="4">
        <v>2251140</v>
      </c>
      <c r="B3130" s="3" t="s">
        <v>2285</v>
      </c>
      <c r="C3130" t="s">
        <v>1010</v>
      </c>
      <c r="D3130" s="3" t="s">
        <v>1259</v>
      </c>
      <c r="E3130" s="3" t="s">
        <v>228</v>
      </c>
      <c r="F3130" s="1">
        <v>46077</v>
      </c>
      <c r="G3130" t="str">
        <f t="shared" si="107"/>
        <v>Feb -2026</v>
      </c>
    </row>
    <row r="3131" spans="1:7" x14ac:dyDescent="0.3">
      <c r="A3131" s="4">
        <v>2237354</v>
      </c>
      <c r="B3131" s="3" t="s">
        <v>2254</v>
      </c>
      <c r="C3131" t="s">
        <v>1010</v>
      </c>
      <c r="D3131" s="3" t="s">
        <v>1259</v>
      </c>
      <c r="E3131" s="3" t="s">
        <v>228</v>
      </c>
      <c r="F3131" s="1">
        <v>46077</v>
      </c>
      <c r="G3131" t="str">
        <f t="shared" si="107"/>
        <v>Feb -2026</v>
      </c>
    </row>
    <row r="3132" spans="1:7" x14ac:dyDescent="0.3">
      <c r="A3132" s="4">
        <v>2251172</v>
      </c>
      <c r="B3132" s="3" t="s">
        <v>2285</v>
      </c>
      <c r="C3132" t="s">
        <v>1010</v>
      </c>
      <c r="D3132" s="3" t="s">
        <v>1259</v>
      </c>
      <c r="E3132" s="3" t="s">
        <v>228</v>
      </c>
      <c r="F3132" s="1">
        <v>46077</v>
      </c>
      <c r="G3132" t="str">
        <f t="shared" si="107"/>
        <v>Feb -2026</v>
      </c>
    </row>
    <row r="3133" spans="1:7" x14ac:dyDescent="0.3">
      <c r="A3133" s="4">
        <v>2251171</v>
      </c>
      <c r="B3133" s="3" t="s">
        <v>2285</v>
      </c>
      <c r="C3133" t="s">
        <v>1010</v>
      </c>
      <c r="D3133" s="3" t="s">
        <v>1259</v>
      </c>
      <c r="E3133" s="3" t="s">
        <v>228</v>
      </c>
      <c r="F3133" s="1">
        <v>46077</v>
      </c>
      <c r="G3133" t="str">
        <f t="shared" si="107"/>
        <v>Feb -2026</v>
      </c>
    </row>
    <row r="3134" spans="1:7" x14ac:dyDescent="0.3">
      <c r="A3134" s="4">
        <v>2256728</v>
      </c>
      <c r="B3134" s="3" t="s">
        <v>2303</v>
      </c>
      <c r="C3134" t="s">
        <v>1010</v>
      </c>
      <c r="D3134" s="3" t="s">
        <v>1020</v>
      </c>
      <c r="E3134" s="3" t="s">
        <v>435</v>
      </c>
      <c r="F3134" s="1">
        <v>46077</v>
      </c>
      <c r="G3134" t="str">
        <f t="shared" si="107"/>
        <v>Feb -2026</v>
      </c>
    </row>
    <row r="3135" spans="1:7" x14ac:dyDescent="0.3">
      <c r="A3135" s="4">
        <v>2263130</v>
      </c>
      <c r="B3135" s="3" t="s">
        <v>2304</v>
      </c>
      <c r="C3135" t="s">
        <v>1010</v>
      </c>
      <c r="D3135" s="3" t="s">
        <v>209</v>
      </c>
      <c r="E3135" s="3" t="s">
        <v>2305</v>
      </c>
      <c r="F3135" s="1">
        <v>46077</v>
      </c>
      <c r="G3135" t="str">
        <f t="shared" si="107"/>
        <v>Feb -2026</v>
      </c>
    </row>
    <row r="3136" spans="1:7" x14ac:dyDescent="0.3">
      <c r="A3136" s="4">
        <v>2263312</v>
      </c>
      <c r="B3136" s="3" t="s">
        <v>2306</v>
      </c>
      <c r="C3136" t="s">
        <v>1010</v>
      </c>
      <c r="D3136" s="3" t="s">
        <v>209</v>
      </c>
      <c r="E3136" s="3" t="s">
        <v>2305</v>
      </c>
      <c r="F3136" s="1">
        <v>46077</v>
      </c>
      <c r="G3136" t="str">
        <f t="shared" si="107"/>
        <v>Feb -2026</v>
      </c>
    </row>
    <row r="3137" spans="1:7" x14ac:dyDescent="0.3">
      <c r="A3137" s="4">
        <v>2263385</v>
      </c>
      <c r="B3137" s="3" t="s">
        <v>2306</v>
      </c>
      <c r="C3137" t="s">
        <v>1010</v>
      </c>
      <c r="D3137" s="3" t="s">
        <v>209</v>
      </c>
      <c r="E3137" s="3" t="s">
        <v>2305</v>
      </c>
      <c r="F3137" s="1">
        <v>46077</v>
      </c>
      <c r="G3137" t="str">
        <f t="shared" si="107"/>
        <v>Feb -2026</v>
      </c>
    </row>
    <row r="3138" spans="1:7" x14ac:dyDescent="0.3">
      <c r="A3138" s="4">
        <v>2265432</v>
      </c>
      <c r="B3138" s="3" t="s">
        <v>2307</v>
      </c>
      <c r="C3138" t="s">
        <v>1010</v>
      </c>
      <c r="D3138" s="3" t="s">
        <v>209</v>
      </c>
      <c r="E3138" s="3" t="s">
        <v>210</v>
      </c>
      <c r="F3138" s="1">
        <v>46077</v>
      </c>
      <c r="G3138" t="str">
        <f t="shared" si="107"/>
        <v>Feb -2026</v>
      </c>
    </row>
    <row r="3139" spans="1:7" x14ac:dyDescent="0.3">
      <c r="A3139" s="4">
        <v>2265438</v>
      </c>
      <c r="B3139" s="3" t="s">
        <v>2308</v>
      </c>
      <c r="C3139" t="s">
        <v>1010</v>
      </c>
      <c r="D3139" s="3" t="s">
        <v>209</v>
      </c>
      <c r="E3139" s="3" t="s">
        <v>228</v>
      </c>
      <c r="F3139" s="1">
        <v>46077</v>
      </c>
      <c r="G3139" t="str">
        <f t="shared" si="107"/>
        <v>Feb -2026</v>
      </c>
    </row>
    <row r="3140" spans="1:7" x14ac:dyDescent="0.3">
      <c r="A3140" s="4">
        <v>2256251</v>
      </c>
      <c r="B3140" s="3" t="s">
        <v>2309</v>
      </c>
      <c r="C3140" t="s">
        <v>1010</v>
      </c>
      <c r="D3140" s="3" t="s">
        <v>1020</v>
      </c>
      <c r="E3140" s="3" t="s">
        <v>2310</v>
      </c>
      <c r="F3140" s="1">
        <v>46077</v>
      </c>
      <c r="G3140" t="str">
        <f t="shared" si="107"/>
        <v>Feb -2026</v>
      </c>
    </row>
    <row r="3141" spans="1:7" x14ac:dyDescent="0.3">
      <c r="A3141" s="4">
        <v>2253816</v>
      </c>
      <c r="B3141" s="3" t="s">
        <v>2311</v>
      </c>
      <c r="C3141" t="s">
        <v>1010</v>
      </c>
      <c r="D3141" s="3" t="s">
        <v>1020</v>
      </c>
      <c r="E3141" s="3" t="s">
        <v>2310</v>
      </c>
      <c r="F3141" s="1">
        <v>46077</v>
      </c>
      <c r="G3141" t="str">
        <f t="shared" si="107"/>
        <v>Feb -2026</v>
      </c>
    </row>
    <row r="3142" spans="1:7" x14ac:dyDescent="0.3">
      <c r="A3142" s="4">
        <v>2263282</v>
      </c>
      <c r="B3142" s="3" t="s">
        <v>2312</v>
      </c>
      <c r="C3142" t="s">
        <v>1010</v>
      </c>
      <c r="D3142" s="3" t="s">
        <v>1020</v>
      </c>
      <c r="E3142" s="3" t="s">
        <v>2310</v>
      </c>
      <c r="F3142" s="1">
        <v>46077</v>
      </c>
      <c r="G3142" t="str">
        <f t="shared" si="107"/>
        <v>Feb -2026</v>
      </c>
    </row>
    <row r="3143" spans="1:7" x14ac:dyDescent="0.3">
      <c r="A3143" s="4">
        <v>2265859</v>
      </c>
      <c r="B3143" s="3" t="s">
        <v>2313</v>
      </c>
      <c r="C3143" t="s">
        <v>1010</v>
      </c>
      <c r="D3143" s="3" t="s">
        <v>209</v>
      </c>
      <c r="E3143" s="3" t="s">
        <v>210</v>
      </c>
      <c r="F3143" s="1">
        <v>46077</v>
      </c>
      <c r="G3143" t="str">
        <f t="shared" si="107"/>
        <v>Feb -2026</v>
      </c>
    </row>
    <row r="3144" spans="1:7" x14ac:dyDescent="0.3">
      <c r="A3144" s="4">
        <v>2253926</v>
      </c>
      <c r="B3144" s="3" t="s">
        <v>301</v>
      </c>
      <c r="C3144" t="s">
        <v>1010</v>
      </c>
      <c r="D3144" s="3" t="s">
        <v>1020</v>
      </c>
      <c r="E3144" s="3" t="s">
        <v>268</v>
      </c>
      <c r="F3144" s="1">
        <v>46077</v>
      </c>
      <c r="G3144" t="str">
        <f t="shared" si="107"/>
        <v>Feb -2026</v>
      </c>
    </row>
    <row r="3145" spans="1:7" x14ac:dyDescent="0.3">
      <c r="A3145" s="4">
        <v>2266621</v>
      </c>
      <c r="B3145" s="3" t="s">
        <v>2314</v>
      </c>
      <c r="C3145" t="s">
        <v>1010</v>
      </c>
      <c r="D3145" s="3" t="s">
        <v>209</v>
      </c>
      <c r="E3145" s="3" t="s">
        <v>375</v>
      </c>
      <c r="F3145" s="1">
        <v>46077</v>
      </c>
      <c r="G3145" t="str">
        <f t="shared" si="107"/>
        <v>Feb -2026</v>
      </c>
    </row>
    <row r="3146" spans="1:7" x14ac:dyDescent="0.3">
      <c r="A3146" s="4">
        <v>900006262</v>
      </c>
      <c r="B3146" s="3" t="s">
        <v>2315</v>
      </c>
      <c r="C3146" s="3" t="s">
        <v>1604</v>
      </c>
      <c r="D3146" s="3" t="s">
        <v>2018</v>
      </c>
      <c r="E3146" s="3" t="s">
        <v>1877</v>
      </c>
      <c r="F3146" s="1">
        <v>46077</v>
      </c>
      <c r="G3146" t="str">
        <f t="shared" si="107"/>
        <v>Feb -2026</v>
      </c>
    </row>
    <row r="3147" spans="1:7" x14ac:dyDescent="0.3">
      <c r="A3147" s="4">
        <v>900006293</v>
      </c>
      <c r="B3147" s="3" t="s">
        <v>2316</v>
      </c>
      <c r="C3147" s="3" t="s">
        <v>1011</v>
      </c>
      <c r="D3147" s="3" t="s">
        <v>2015</v>
      </c>
      <c r="E3147" s="3" t="s">
        <v>1877</v>
      </c>
      <c r="F3147" s="1">
        <v>46077</v>
      </c>
      <c r="G3147" t="str">
        <f t="shared" si="107"/>
        <v>Feb -2026</v>
      </c>
    </row>
    <row r="3148" spans="1:7" x14ac:dyDescent="0.3">
      <c r="A3148" s="4">
        <v>100005449</v>
      </c>
      <c r="B3148" s="3" t="s">
        <v>2317</v>
      </c>
      <c r="C3148" s="3" t="s">
        <v>1011</v>
      </c>
      <c r="D3148" s="3" t="s">
        <v>2015</v>
      </c>
      <c r="E3148" s="3" t="s">
        <v>1569</v>
      </c>
      <c r="F3148" s="1">
        <v>46077</v>
      </c>
      <c r="G3148" t="str">
        <f t="shared" si="107"/>
        <v>Feb -2026</v>
      </c>
    </row>
    <row r="3149" spans="1:7" x14ac:dyDescent="0.3">
      <c r="A3149" s="4">
        <v>900006518</v>
      </c>
      <c r="B3149" s="3" t="s">
        <v>2318</v>
      </c>
      <c r="C3149" s="3" t="s">
        <v>1011</v>
      </c>
      <c r="D3149" s="3" t="s">
        <v>973</v>
      </c>
      <c r="E3149" s="3" t="s">
        <v>1877</v>
      </c>
      <c r="F3149" s="1">
        <v>46077</v>
      </c>
      <c r="G3149" t="str">
        <f t="shared" si="107"/>
        <v>Feb -2026</v>
      </c>
    </row>
    <row r="3150" spans="1:7" x14ac:dyDescent="0.3">
      <c r="A3150" s="4">
        <v>100005475</v>
      </c>
      <c r="B3150" s="3" t="s">
        <v>2319</v>
      </c>
      <c r="C3150" s="3" t="s">
        <v>1011</v>
      </c>
      <c r="D3150" s="3" t="s">
        <v>2015</v>
      </c>
      <c r="E3150" s="3" t="s">
        <v>982</v>
      </c>
      <c r="F3150" s="1">
        <v>46077</v>
      </c>
      <c r="G3150" t="str">
        <f t="shared" si="107"/>
        <v>Feb -2026</v>
      </c>
    </row>
    <row r="3151" spans="1:7" x14ac:dyDescent="0.3">
      <c r="A3151" s="4">
        <v>900006512</v>
      </c>
      <c r="B3151" s="3" t="s">
        <v>2320</v>
      </c>
      <c r="C3151" s="3" t="s">
        <v>1604</v>
      </c>
      <c r="D3151" s="3" t="s">
        <v>2018</v>
      </c>
      <c r="E3151" s="3" t="s">
        <v>1877</v>
      </c>
      <c r="F3151" s="1">
        <v>46077</v>
      </c>
      <c r="G3151" t="str">
        <f t="shared" si="107"/>
        <v>Feb -2026</v>
      </c>
    </row>
    <row r="3152" spans="1:7" x14ac:dyDescent="0.3">
      <c r="A3152" s="4">
        <v>900006511</v>
      </c>
      <c r="B3152" s="3" t="s">
        <v>2321</v>
      </c>
      <c r="C3152" s="3" t="s">
        <v>1604</v>
      </c>
      <c r="D3152" s="3" t="s">
        <v>2031</v>
      </c>
      <c r="E3152" s="3" t="s">
        <v>1877</v>
      </c>
      <c r="F3152" s="1">
        <v>46077</v>
      </c>
      <c r="G3152" t="str">
        <f t="shared" si="107"/>
        <v>Feb -2026</v>
      </c>
    </row>
    <row r="3153" spans="1:7" x14ac:dyDescent="0.3">
      <c r="A3153" s="4">
        <v>2256726</v>
      </c>
      <c r="B3153" s="3" t="s">
        <v>2322</v>
      </c>
      <c r="C3153" t="s">
        <v>1010</v>
      </c>
      <c r="D3153" s="3" t="s">
        <v>1259</v>
      </c>
      <c r="E3153" s="3" t="s">
        <v>228</v>
      </c>
      <c r="F3153" s="1">
        <v>46078</v>
      </c>
      <c r="G3153" t="str">
        <f t="shared" si="107"/>
        <v>Feb -2026</v>
      </c>
    </row>
    <row r="3154" spans="1:7" x14ac:dyDescent="0.3">
      <c r="A3154" s="4">
        <v>2266670</v>
      </c>
      <c r="B3154" s="3" t="s">
        <v>2323</v>
      </c>
      <c r="C3154" t="s">
        <v>1010</v>
      </c>
      <c r="D3154" s="3" t="s">
        <v>209</v>
      </c>
      <c r="E3154" s="3" t="s">
        <v>2324</v>
      </c>
      <c r="F3154" s="1">
        <v>46078</v>
      </c>
      <c r="G3154" t="str">
        <f t="shared" si="107"/>
        <v>Feb -2026</v>
      </c>
    </row>
    <row r="3155" spans="1:7" x14ac:dyDescent="0.3">
      <c r="A3155" s="4">
        <v>2266831</v>
      </c>
      <c r="B3155" s="3" t="s">
        <v>2323</v>
      </c>
      <c r="C3155" t="s">
        <v>1010</v>
      </c>
      <c r="D3155" s="3" t="s">
        <v>209</v>
      </c>
      <c r="E3155" s="3" t="s">
        <v>2324</v>
      </c>
      <c r="F3155" s="1">
        <v>46078</v>
      </c>
      <c r="G3155" t="str">
        <f t="shared" si="107"/>
        <v>Feb -2026</v>
      </c>
    </row>
    <row r="3156" spans="1:7" x14ac:dyDescent="0.3">
      <c r="A3156" s="4">
        <v>2266832</v>
      </c>
      <c r="B3156" s="3" t="s">
        <v>2323</v>
      </c>
      <c r="C3156" t="s">
        <v>1010</v>
      </c>
      <c r="D3156" s="3" t="s">
        <v>209</v>
      </c>
      <c r="E3156" s="3" t="s">
        <v>2324</v>
      </c>
      <c r="F3156" s="1">
        <v>46078</v>
      </c>
      <c r="G3156" t="str">
        <f t="shared" si="107"/>
        <v>Feb -2026</v>
      </c>
    </row>
    <row r="3157" spans="1:7" x14ac:dyDescent="0.3">
      <c r="A3157" s="4">
        <v>2266833</v>
      </c>
      <c r="B3157" s="3" t="s">
        <v>2323</v>
      </c>
      <c r="C3157" t="s">
        <v>1010</v>
      </c>
      <c r="D3157" s="3" t="s">
        <v>209</v>
      </c>
      <c r="E3157" s="3" t="s">
        <v>2324</v>
      </c>
      <c r="F3157" s="1">
        <v>46078</v>
      </c>
      <c r="G3157" t="str">
        <f t="shared" si="107"/>
        <v>Feb -2026</v>
      </c>
    </row>
    <row r="3158" spans="1:7" x14ac:dyDescent="0.3">
      <c r="A3158" s="4">
        <v>2266834</v>
      </c>
      <c r="B3158" s="3" t="s">
        <v>2323</v>
      </c>
      <c r="C3158" t="s">
        <v>1010</v>
      </c>
      <c r="D3158" s="3" t="s">
        <v>209</v>
      </c>
      <c r="E3158" s="3" t="s">
        <v>2324</v>
      </c>
      <c r="F3158" s="1">
        <v>46078</v>
      </c>
      <c r="G3158" t="str">
        <f t="shared" si="107"/>
        <v>Feb -2026</v>
      </c>
    </row>
    <row r="3159" spans="1:7" x14ac:dyDescent="0.3">
      <c r="A3159" s="4">
        <v>2266835</v>
      </c>
      <c r="B3159" s="3" t="s">
        <v>2323</v>
      </c>
      <c r="C3159" t="s">
        <v>1010</v>
      </c>
      <c r="D3159" s="3" t="s">
        <v>209</v>
      </c>
      <c r="E3159" s="3" t="s">
        <v>2324</v>
      </c>
      <c r="F3159" s="1">
        <v>46078</v>
      </c>
      <c r="G3159" t="str">
        <f t="shared" si="107"/>
        <v>Feb -2026</v>
      </c>
    </row>
    <row r="3160" spans="1:7" x14ac:dyDescent="0.3">
      <c r="A3160" s="4">
        <v>2266836</v>
      </c>
      <c r="B3160" s="3" t="s">
        <v>2323</v>
      </c>
      <c r="C3160" t="s">
        <v>1010</v>
      </c>
      <c r="D3160" s="3" t="s">
        <v>209</v>
      </c>
      <c r="E3160" s="3" t="s">
        <v>2324</v>
      </c>
      <c r="F3160" s="1">
        <v>46078</v>
      </c>
      <c r="G3160" t="str">
        <f t="shared" si="107"/>
        <v>Feb -2026</v>
      </c>
    </row>
    <row r="3161" spans="1:7" x14ac:dyDescent="0.3">
      <c r="A3161" s="4">
        <v>2266837</v>
      </c>
      <c r="B3161" s="3" t="s">
        <v>2323</v>
      </c>
      <c r="C3161" t="s">
        <v>1010</v>
      </c>
      <c r="D3161" s="3" t="s">
        <v>209</v>
      </c>
      <c r="E3161" s="3" t="s">
        <v>2324</v>
      </c>
      <c r="F3161" s="1">
        <v>46078</v>
      </c>
      <c r="G3161" t="str">
        <f t="shared" si="107"/>
        <v>Feb -2026</v>
      </c>
    </row>
    <row r="3162" spans="1:7" x14ac:dyDescent="0.3">
      <c r="A3162" s="4">
        <v>2266838</v>
      </c>
      <c r="B3162" s="3" t="s">
        <v>2323</v>
      </c>
      <c r="C3162" t="s">
        <v>1010</v>
      </c>
      <c r="D3162" s="3" t="s">
        <v>209</v>
      </c>
      <c r="E3162" s="3" t="s">
        <v>2324</v>
      </c>
      <c r="F3162" s="1">
        <v>46078</v>
      </c>
      <c r="G3162" t="str">
        <f t="shared" si="107"/>
        <v>Feb -2026</v>
      </c>
    </row>
    <row r="3163" spans="1:7" x14ac:dyDescent="0.3">
      <c r="A3163" s="4">
        <v>2266839</v>
      </c>
      <c r="B3163" s="3" t="s">
        <v>2323</v>
      </c>
      <c r="C3163" t="s">
        <v>1010</v>
      </c>
      <c r="D3163" s="3" t="s">
        <v>209</v>
      </c>
      <c r="E3163" s="3" t="s">
        <v>2324</v>
      </c>
      <c r="F3163" s="1">
        <v>46078</v>
      </c>
      <c r="G3163" t="str">
        <f t="shared" si="107"/>
        <v>Feb -2026</v>
      </c>
    </row>
    <row r="3164" spans="1:7" x14ac:dyDescent="0.3">
      <c r="A3164" s="4">
        <v>2266840</v>
      </c>
      <c r="B3164" s="3" t="s">
        <v>2325</v>
      </c>
      <c r="C3164" t="s">
        <v>1010</v>
      </c>
      <c r="D3164" s="3" t="s">
        <v>209</v>
      </c>
      <c r="E3164" s="3" t="s">
        <v>2324</v>
      </c>
      <c r="F3164" s="1">
        <v>46078</v>
      </c>
      <c r="G3164" t="str">
        <f t="shared" si="107"/>
        <v>Feb -2026</v>
      </c>
    </row>
    <row r="3165" spans="1:7" x14ac:dyDescent="0.3">
      <c r="A3165" s="4">
        <v>900006449</v>
      </c>
      <c r="B3165" s="3" t="s">
        <v>2326</v>
      </c>
      <c r="C3165" t="s">
        <v>1010</v>
      </c>
      <c r="D3165" s="3" t="s">
        <v>143</v>
      </c>
      <c r="E3165" s="3" t="s">
        <v>1877</v>
      </c>
      <c r="F3165" s="1">
        <v>46078</v>
      </c>
      <c r="G3165" t="str">
        <f t="shared" si="107"/>
        <v>Feb -2026</v>
      </c>
    </row>
    <row r="3166" spans="1:7" x14ac:dyDescent="0.3">
      <c r="A3166" s="4">
        <v>2269482</v>
      </c>
      <c r="B3166" s="3" t="s">
        <v>2327</v>
      </c>
      <c r="C3166" t="s">
        <v>1010</v>
      </c>
      <c r="D3166" s="3" t="s">
        <v>1020</v>
      </c>
      <c r="E3166" s="3" t="s">
        <v>2310</v>
      </c>
      <c r="F3166" s="1">
        <v>46078</v>
      </c>
      <c r="G3166" t="str">
        <f t="shared" si="107"/>
        <v>Feb -2026</v>
      </c>
    </row>
    <row r="3167" spans="1:7" x14ac:dyDescent="0.3">
      <c r="A3167" s="4">
        <v>2269165</v>
      </c>
      <c r="B3167" s="3" t="s">
        <v>2323</v>
      </c>
      <c r="C3167" t="s">
        <v>1010</v>
      </c>
      <c r="D3167" s="3" t="s">
        <v>209</v>
      </c>
      <c r="E3167" s="3" t="s">
        <v>2328</v>
      </c>
      <c r="F3167" s="1">
        <v>46078</v>
      </c>
      <c r="G3167" t="str">
        <f t="shared" si="107"/>
        <v>Feb -2026</v>
      </c>
    </row>
    <row r="3168" spans="1:7" x14ac:dyDescent="0.3">
      <c r="A3168" s="4">
        <v>2269169</v>
      </c>
      <c r="B3168" s="3" t="s">
        <v>2323</v>
      </c>
      <c r="C3168" t="s">
        <v>1010</v>
      </c>
      <c r="D3168" s="3" t="s">
        <v>209</v>
      </c>
      <c r="E3168" s="3" t="s">
        <v>2328</v>
      </c>
      <c r="F3168" s="1">
        <v>46078</v>
      </c>
      <c r="G3168" t="str">
        <f t="shared" si="107"/>
        <v>Feb -2026</v>
      </c>
    </row>
    <row r="3169" spans="1:7" x14ac:dyDescent="0.3">
      <c r="A3169" s="4">
        <v>2269180</v>
      </c>
      <c r="B3169" s="3" t="s">
        <v>2323</v>
      </c>
      <c r="C3169" t="s">
        <v>1010</v>
      </c>
      <c r="D3169" s="3" t="s">
        <v>209</v>
      </c>
      <c r="E3169" s="3" t="s">
        <v>2328</v>
      </c>
      <c r="F3169" s="1">
        <v>46078</v>
      </c>
      <c r="G3169" t="str">
        <f t="shared" si="107"/>
        <v>Feb -2026</v>
      </c>
    </row>
    <row r="3170" spans="1:7" x14ac:dyDescent="0.3">
      <c r="A3170" s="4">
        <v>2269229</v>
      </c>
      <c r="B3170" s="3" t="s">
        <v>2323</v>
      </c>
      <c r="C3170" t="s">
        <v>1010</v>
      </c>
      <c r="D3170" s="3" t="s">
        <v>209</v>
      </c>
      <c r="E3170" s="3" t="s">
        <v>2328</v>
      </c>
      <c r="F3170" s="1">
        <v>46078</v>
      </c>
      <c r="G3170" t="str">
        <f t="shared" si="107"/>
        <v>Feb -2026</v>
      </c>
    </row>
    <row r="3171" spans="1:7" x14ac:dyDescent="0.3">
      <c r="A3171" s="4">
        <v>2269234</v>
      </c>
      <c r="B3171" s="3" t="s">
        <v>2325</v>
      </c>
      <c r="C3171" t="s">
        <v>1010</v>
      </c>
      <c r="D3171" s="3" t="s">
        <v>209</v>
      </c>
      <c r="E3171" s="3" t="s">
        <v>2328</v>
      </c>
      <c r="F3171" s="1">
        <v>46078</v>
      </c>
      <c r="G3171" t="str">
        <f t="shared" si="107"/>
        <v>Feb -2026</v>
      </c>
    </row>
    <row r="3172" spans="1:7" x14ac:dyDescent="0.3">
      <c r="A3172" s="4">
        <v>2269235</v>
      </c>
      <c r="B3172" s="3" t="s">
        <v>2323</v>
      </c>
      <c r="C3172" t="s">
        <v>1010</v>
      </c>
      <c r="D3172" s="3" t="s">
        <v>209</v>
      </c>
      <c r="E3172" s="3" t="s">
        <v>2328</v>
      </c>
      <c r="F3172" s="1">
        <v>46078</v>
      </c>
      <c r="G3172" t="str">
        <f t="shared" si="107"/>
        <v>Feb -2026</v>
      </c>
    </row>
    <row r="3173" spans="1:7" x14ac:dyDescent="0.3">
      <c r="A3173" s="4">
        <v>2269260</v>
      </c>
      <c r="B3173" s="3" t="s">
        <v>2323</v>
      </c>
      <c r="C3173" t="s">
        <v>1010</v>
      </c>
      <c r="D3173" s="3" t="s">
        <v>209</v>
      </c>
      <c r="E3173" s="3" t="s">
        <v>2328</v>
      </c>
      <c r="F3173" s="1">
        <v>46078</v>
      </c>
      <c r="G3173" t="str">
        <f t="shared" si="107"/>
        <v>Feb -2026</v>
      </c>
    </row>
    <row r="3174" spans="1:7" x14ac:dyDescent="0.3">
      <c r="A3174" s="4">
        <v>2269261</v>
      </c>
      <c r="B3174" s="3" t="s">
        <v>2323</v>
      </c>
      <c r="C3174" t="s">
        <v>1010</v>
      </c>
      <c r="D3174" s="3" t="s">
        <v>209</v>
      </c>
      <c r="E3174" s="3" t="s">
        <v>2328</v>
      </c>
      <c r="F3174" s="1">
        <v>46078</v>
      </c>
      <c r="G3174" t="str">
        <f t="shared" si="107"/>
        <v>Feb -2026</v>
      </c>
    </row>
    <row r="3175" spans="1:7" x14ac:dyDescent="0.3">
      <c r="A3175" s="4">
        <v>2269262</v>
      </c>
      <c r="B3175" s="3" t="s">
        <v>2323</v>
      </c>
      <c r="C3175" t="s">
        <v>1010</v>
      </c>
      <c r="D3175" s="3" t="s">
        <v>209</v>
      </c>
      <c r="E3175" s="3" t="s">
        <v>2328</v>
      </c>
      <c r="F3175" s="1">
        <v>46078</v>
      </c>
      <c r="G3175" t="str">
        <f t="shared" si="107"/>
        <v>Feb -2026</v>
      </c>
    </row>
    <row r="3176" spans="1:7" x14ac:dyDescent="0.3">
      <c r="A3176" s="4">
        <v>2269263</v>
      </c>
      <c r="B3176" s="3" t="s">
        <v>2323</v>
      </c>
      <c r="C3176" t="s">
        <v>1010</v>
      </c>
      <c r="D3176" s="3" t="s">
        <v>209</v>
      </c>
      <c r="E3176" s="3" t="s">
        <v>2328</v>
      </c>
      <c r="F3176" s="1">
        <v>46078</v>
      </c>
      <c r="G3176" t="str">
        <f t="shared" si="107"/>
        <v>Feb -2026</v>
      </c>
    </row>
    <row r="3177" spans="1:7" x14ac:dyDescent="0.3">
      <c r="A3177" s="4">
        <v>2269264</v>
      </c>
      <c r="B3177" s="3" t="s">
        <v>2323</v>
      </c>
      <c r="C3177" t="s">
        <v>1010</v>
      </c>
      <c r="D3177" s="3" t="s">
        <v>209</v>
      </c>
      <c r="E3177" s="3" t="s">
        <v>2328</v>
      </c>
      <c r="F3177" s="1">
        <v>46078</v>
      </c>
      <c r="G3177" t="str">
        <f t="shared" si="107"/>
        <v>Feb -2026</v>
      </c>
    </row>
    <row r="3178" spans="1:7" x14ac:dyDescent="0.3">
      <c r="A3178" s="4">
        <v>2269271</v>
      </c>
      <c r="B3178" s="3" t="s">
        <v>2323</v>
      </c>
      <c r="C3178" t="s">
        <v>1010</v>
      </c>
      <c r="D3178" s="3" t="s">
        <v>209</v>
      </c>
      <c r="E3178" s="3" t="s">
        <v>2328</v>
      </c>
      <c r="F3178" s="1">
        <v>46078</v>
      </c>
      <c r="G3178" t="str">
        <f t="shared" si="107"/>
        <v>Feb -2026</v>
      </c>
    </row>
    <row r="3179" spans="1:7" x14ac:dyDescent="0.3">
      <c r="A3179" s="4">
        <v>900006458</v>
      </c>
      <c r="B3179" s="3" t="s">
        <v>2302</v>
      </c>
      <c r="C3179" s="3" t="s">
        <v>1011</v>
      </c>
      <c r="D3179" s="3" t="s">
        <v>973</v>
      </c>
      <c r="E3179" s="3" t="s">
        <v>1877</v>
      </c>
      <c r="F3179" s="1">
        <v>46078</v>
      </c>
      <c r="G3179" t="str">
        <f t="shared" si="107"/>
        <v>Feb -2026</v>
      </c>
    </row>
    <row r="3180" spans="1:7" x14ac:dyDescent="0.3">
      <c r="A3180" s="4">
        <v>100005486</v>
      </c>
      <c r="B3180" s="3" t="s">
        <v>2329</v>
      </c>
      <c r="C3180" s="3" t="s">
        <v>1011</v>
      </c>
      <c r="D3180" s="3" t="s">
        <v>2015</v>
      </c>
      <c r="E3180" s="3" t="s">
        <v>967</v>
      </c>
      <c r="F3180" s="1">
        <v>46078</v>
      </c>
      <c r="G3180" t="str">
        <f t="shared" si="107"/>
        <v>Feb -2026</v>
      </c>
    </row>
    <row r="3181" spans="1:7" x14ac:dyDescent="0.3">
      <c r="A3181" s="4">
        <v>100005468</v>
      </c>
      <c r="B3181" s="3" t="s">
        <v>2330</v>
      </c>
      <c r="C3181" s="3" t="s">
        <v>1011</v>
      </c>
      <c r="D3181" s="3" t="s">
        <v>2015</v>
      </c>
      <c r="E3181" s="3" t="s">
        <v>967</v>
      </c>
      <c r="F3181" s="1">
        <v>46078</v>
      </c>
      <c r="G3181" t="str">
        <f t="shared" si="107"/>
        <v>Feb -2026</v>
      </c>
    </row>
    <row r="3182" spans="1:7" x14ac:dyDescent="0.3">
      <c r="A3182" s="4">
        <v>900006281</v>
      </c>
      <c r="B3182" s="3" t="s">
        <v>2201</v>
      </c>
      <c r="C3182" s="3" t="s">
        <v>1604</v>
      </c>
      <c r="D3182" s="3" t="s">
        <v>2031</v>
      </c>
      <c r="E3182" s="3" t="s">
        <v>1877</v>
      </c>
      <c r="F3182" s="1">
        <v>46078</v>
      </c>
      <c r="G3182" t="str">
        <f t="shared" si="107"/>
        <v>Feb -2026</v>
      </c>
    </row>
    <row r="3183" spans="1:7" x14ac:dyDescent="0.3">
      <c r="A3183" s="4">
        <v>900006515</v>
      </c>
      <c r="B3183" s="3" t="s">
        <v>2331</v>
      </c>
      <c r="C3183" s="3" t="s">
        <v>1604</v>
      </c>
      <c r="D3183" s="3" t="s">
        <v>2018</v>
      </c>
      <c r="E3183" s="3" t="s">
        <v>1877</v>
      </c>
      <c r="F3183" s="1">
        <v>46078</v>
      </c>
      <c r="G3183" t="str">
        <f t="shared" ref="G3183:G3246" si="108">TEXT(F3183,"mmm -YYYY")</f>
        <v>Feb -2026</v>
      </c>
    </row>
    <row r="3184" spans="1:7" x14ac:dyDescent="0.3">
      <c r="A3184" s="4">
        <v>900006431</v>
      </c>
      <c r="B3184" s="3" t="s">
        <v>2332</v>
      </c>
      <c r="C3184" s="3" t="s">
        <v>1604</v>
      </c>
      <c r="D3184" s="3" t="s">
        <v>2018</v>
      </c>
      <c r="E3184" s="3" t="s">
        <v>1877</v>
      </c>
      <c r="F3184" s="1">
        <v>46078</v>
      </c>
      <c r="G3184" t="str">
        <f t="shared" si="108"/>
        <v>Feb -2026</v>
      </c>
    </row>
    <row r="3185" spans="1:7" x14ac:dyDescent="0.3">
      <c r="A3185" s="4">
        <v>900006505</v>
      </c>
      <c r="B3185" s="3" t="s">
        <v>2333</v>
      </c>
      <c r="C3185" s="3" t="s">
        <v>1604</v>
      </c>
      <c r="D3185" s="3" t="s">
        <v>2031</v>
      </c>
      <c r="E3185" s="3" t="s">
        <v>1877</v>
      </c>
      <c r="F3185" s="1">
        <v>46078</v>
      </c>
      <c r="G3185" t="str">
        <f t="shared" si="108"/>
        <v>Feb -2026</v>
      </c>
    </row>
    <row r="3186" spans="1:7" x14ac:dyDescent="0.3">
      <c r="A3186" s="4">
        <v>100005433</v>
      </c>
      <c r="B3186" s="3" t="s">
        <v>2334</v>
      </c>
      <c r="C3186" s="3" t="s">
        <v>1011</v>
      </c>
      <c r="D3186" s="3" t="s">
        <v>2015</v>
      </c>
      <c r="E3186" s="3" t="s">
        <v>981</v>
      </c>
      <c r="F3186" s="1">
        <v>46078</v>
      </c>
      <c r="G3186" t="str">
        <f t="shared" si="108"/>
        <v>Feb -2026</v>
      </c>
    </row>
    <row r="3187" spans="1:7" x14ac:dyDescent="0.3">
      <c r="A3187" s="4">
        <v>900006511</v>
      </c>
      <c r="B3187" s="3" t="s">
        <v>2321</v>
      </c>
      <c r="C3187" s="3" t="s">
        <v>1011</v>
      </c>
      <c r="D3187" s="3" t="s">
        <v>2031</v>
      </c>
      <c r="E3187" s="3" t="s">
        <v>1877</v>
      </c>
      <c r="F3187" s="1">
        <v>46078</v>
      </c>
      <c r="G3187" t="str">
        <f t="shared" si="108"/>
        <v>Feb -2026</v>
      </c>
    </row>
    <row r="3188" spans="1:7" x14ac:dyDescent="0.3">
      <c r="A3188" s="4">
        <v>2269627</v>
      </c>
      <c r="B3188" s="3" t="s">
        <v>2335</v>
      </c>
      <c r="C3188" t="s">
        <v>1010</v>
      </c>
      <c r="D3188" s="3" t="s">
        <v>1020</v>
      </c>
      <c r="E3188" s="1" t="s">
        <v>435</v>
      </c>
      <c r="F3188" s="1">
        <v>46079</v>
      </c>
      <c r="G3188" t="str">
        <f t="shared" si="108"/>
        <v>Feb -2026</v>
      </c>
    </row>
    <row r="3189" spans="1:7" x14ac:dyDescent="0.3">
      <c r="A3189" s="4">
        <v>2270076</v>
      </c>
      <c r="B3189" s="3" t="s">
        <v>2336</v>
      </c>
      <c r="C3189" t="s">
        <v>1010</v>
      </c>
      <c r="D3189" s="3" t="s">
        <v>1020</v>
      </c>
      <c r="E3189" s="1" t="s">
        <v>2310</v>
      </c>
      <c r="F3189" s="1">
        <v>46079</v>
      </c>
      <c r="G3189" t="str">
        <f t="shared" si="108"/>
        <v>Feb -2026</v>
      </c>
    </row>
    <row r="3190" spans="1:7" x14ac:dyDescent="0.3">
      <c r="A3190" s="4">
        <v>2253926</v>
      </c>
      <c r="B3190" s="3" t="s">
        <v>301</v>
      </c>
      <c r="C3190" t="s">
        <v>1010</v>
      </c>
      <c r="D3190" s="3" t="s">
        <v>1020</v>
      </c>
      <c r="E3190" s="1" t="s">
        <v>268</v>
      </c>
      <c r="F3190" s="1">
        <v>46079</v>
      </c>
      <c r="G3190" t="str">
        <f t="shared" si="108"/>
        <v>Feb -2026</v>
      </c>
    </row>
    <row r="3191" spans="1:7" x14ac:dyDescent="0.3">
      <c r="A3191" s="4">
        <v>2265472</v>
      </c>
      <c r="B3191" t="s">
        <v>2337</v>
      </c>
      <c r="C3191" t="s">
        <v>1010</v>
      </c>
      <c r="D3191" s="3" t="s">
        <v>1020</v>
      </c>
      <c r="E3191" s="1" t="s">
        <v>2310</v>
      </c>
      <c r="F3191" s="1">
        <v>46079</v>
      </c>
      <c r="G3191" t="str">
        <f t="shared" si="108"/>
        <v>Feb -2026</v>
      </c>
    </row>
    <row r="3192" spans="1:7" x14ac:dyDescent="0.3">
      <c r="A3192" s="4">
        <v>2265476</v>
      </c>
      <c r="B3192" s="4" t="s">
        <v>479</v>
      </c>
      <c r="C3192" t="s">
        <v>1010</v>
      </c>
      <c r="D3192" s="3" t="s">
        <v>1020</v>
      </c>
      <c r="E3192" s="1" t="s">
        <v>338</v>
      </c>
      <c r="F3192" s="1">
        <v>46079</v>
      </c>
      <c r="G3192" t="str">
        <f t="shared" si="108"/>
        <v>Feb -2026</v>
      </c>
    </row>
    <row r="3193" spans="1:7" x14ac:dyDescent="0.3">
      <c r="A3193" s="4">
        <v>900006560</v>
      </c>
      <c r="B3193" t="s">
        <v>2338</v>
      </c>
      <c r="C3193" t="s">
        <v>1010</v>
      </c>
      <c r="D3193" s="3" t="s">
        <v>209</v>
      </c>
      <c r="E3193" s="1" t="s">
        <v>1877</v>
      </c>
      <c r="F3193" s="1">
        <v>46079</v>
      </c>
      <c r="G3193" t="str">
        <f t="shared" si="108"/>
        <v>Feb -2026</v>
      </c>
    </row>
    <row r="3194" spans="1:7" x14ac:dyDescent="0.3">
      <c r="A3194" s="4">
        <v>900006534</v>
      </c>
      <c r="B3194" t="s">
        <v>2339</v>
      </c>
      <c r="C3194" t="s">
        <v>1010</v>
      </c>
      <c r="D3194" s="3" t="s">
        <v>1551</v>
      </c>
      <c r="E3194" s="1" t="s">
        <v>1877</v>
      </c>
      <c r="F3194" s="1">
        <v>46079</v>
      </c>
      <c r="G3194" t="str">
        <f t="shared" si="108"/>
        <v>Feb -2026</v>
      </c>
    </row>
    <row r="3195" spans="1:7" x14ac:dyDescent="0.3">
      <c r="A3195" s="4">
        <v>2271784</v>
      </c>
      <c r="B3195" s="4" t="s">
        <v>2340</v>
      </c>
      <c r="C3195" t="s">
        <v>1010</v>
      </c>
      <c r="D3195" s="3" t="s">
        <v>209</v>
      </c>
      <c r="E3195" s="1" t="s">
        <v>196</v>
      </c>
      <c r="F3195" s="1">
        <v>46079</v>
      </c>
      <c r="G3195" t="str">
        <f t="shared" si="108"/>
        <v>Feb -2026</v>
      </c>
    </row>
    <row r="3196" spans="1:7" x14ac:dyDescent="0.3">
      <c r="A3196" s="4">
        <v>2273212</v>
      </c>
      <c r="B3196" t="s">
        <v>2341</v>
      </c>
      <c r="C3196" t="s">
        <v>1010</v>
      </c>
      <c r="D3196" s="3" t="s">
        <v>209</v>
      </c>
      <c r="E3196" s="1" t="s">
        <v>225</v>
      </c>
      <c r="F3196" s="1">
        <v>46079</v>
      </c>
      <c r="G3196" t="str">
        <f t="shared" si="108"/>
        <v>Feb -2026</v>
      </c>
    </row>
    <row r="3197" spans="1:7" x14ac:dyDescent="0.3">
      <c r="A3197" s="4">
        <v>2266615</v>
      </c>
      <c r="B3197" t="s">
        <v>2342</v>
      </c>
      <c r="C3197" t="s">
        <v>1010</v>
      </c>
      <c r="D3197" s="3" t="s">
        <v>1020</v>
      </c>
      <c r="E3197" s="1" t="s">
        <v>2028</v>
      </c>
      <c r="F3197" s="1">
        <v>46079</v>
      </c>
      <c r="G3197" t="str">
        <f t="shared" si="108"/>
        <v>Feb -2026</v>
      </c>
    </row>
    <row r="3198" spans="1:7" x14ac:dyDescent="0.3">
      <c r="A3198" s="4">
        <v>2266686</v>
      </c>
      <c r="B3198" s="3" t="s">
        <v>2342</v>
      </c>
      <c r="C3198" t="s">
        <v>1010</v>
      </c>
      <c r="D3198" s="3" t="s">
        <v>1020</v>
      </c>
      <c r="E3198" s="1" t="s">
        <v>2028</v>
      </c>
      <c r="F3198" s="1">
        <v>46079</v>
      </c>
      <c r="G3198" t="str">
        <f t="shared" si="108"/>
        <v>Feb -2026</v>
      </c>
    </row>
    <row r="3199" spans="1:7" x14ac:dyDescent="0.3">
      <c r="A3199" s="4">
        <v>100005469</v>
      </c>
      <c r="B3199" s="4" t="s">
        <v>2343</v>
      </c>
      <c r="C3199" s="3" t="s">
        <v>1011</v>
      </c>
      <c r="D3199" s="4" t="s">
        <v>2015</v>
      </c>
      <c r="E3199" s="4" t="s">
        <v>1569</v>
      </c>
      <c r="F3199" s="1">
        <v>46079</v>
      </c>
      <c r="G3199" t="str">
        <f t="shared" si="108"/>
        <v>Feb -2026</v>
      </c>
    </row>
    <row r="3200" spans="1:7" x14ac:dyDescent="0.3">
      <c r="A3200" s="4">
        <v>100005506</v>
      </c>
      <c r="B3200" t="s">
        <v>2344</v>
      </c>
      <c r="C3200" s="3" t="s">
        <v>1011</v>
      </c>
      <c r="D3200" s="4" t="s">
        <v>2015</v>
      </c>
      <c r="E3200" s="4" t="s">
        <v>1569</v>
      </c>
      <c r="F3200" s="1">
        <v>46079</v>
      </c>
      <c r="G3200" t="str">
        <f t="shared" si="108"/>
        <v>Feb -2026</v>
      </c>
    </row>
    <row r="3201" spans="1:7" x14ac:dyDescent="0.3">
      <c r="A3201" s="4">
        <v>100005488</v>
      </c>
      <c r="B3201" t="s">
        <v>2345</v>
      </c>
      <c r="C3201" s="3" t="s">
        <v>1011</v>
      </c>
      <c r="D3201" s="4" t="s">
        <v>2015</v>
      </c>
      <c r="E3201" s="4" t="s">
        <v>981</v>
      </c>
      <c r="F3201" s="1">
        <v>46079</v>
      </c>
      <c r="G3201" t="str">
        <f t="shared" si="108"/>
        <v>Feb -2026</v>
      </c>
    </row>
    <row r="3202" spans="1:7" x14ac:dyDescent="0.3">
      <c r="A3202" s="4">
        <v>100005501</v>
      </c>
      <c r="B3202" s="4" t="s">
        <v>2346</v>
      </c>
      <c r="C3202" s="3" t="s">
        <v>1011</v>
      </c>
      <c r="D3202" s="4" t="s">
        <v>2015</v>
      </c>
      <c r="E3202" s="4" t="s">
        <v>1609</v>
      </c>
      <c r="F3202" s="1">
        <v>46079</v>
      </c>
      <c r="G3202" t="str">
        <f t="shared" si="108"/>
        <v>Feb -2026</v>
      </c>
    </row>
    <row r="3203" spans="1:7" x14ac:dyDescent="0.3">
      <c r="A3203" s="4">
        <v>900006326</v>
      </c>
      <c r="B3203" s="4" t="s">
        <v>2347</v>
      </c>
      <c r="C3203" s="3" t="s">
        <v>1604</v>
      </c>
      <c r="D3203" s="4" t="s">
        <v>2018</v>
      </c>
      <c r="E3203" s="4" t="s">
        <v>1877</v>
      </c>
      <c r="F3203" s="1">
        <v>46079</v>
      </c>
      <c r="G3203" t="str">
        <f t="shared" si="108"/>
        <v>Feb -2026</v>
      </c>
    </row>
    <row r="3204" spans="1:7" x14ac:dyDescent="0.3">
      <c r="A3204" s="4">
        <v>200003346</v>
      </c>
      <c r="B3204" s="4" t="s">
        <v>2348</v>
      </c>
      <c r="C3204" s="3" t="s">
        <v>1604</v>
      </c>
      <c r="D3204" s="4" t="s">
        <v>2031</v>
      </c>
      <c r="E3204" s="4" t="s">
        <v>483</v>
      </c>
      <c r="F3204" s="1">
        <v>46079</v>
      </c>
      <c r="G3204" t="str">
        <f t="shared" si="108"/>
        <v>Feb -2026</v>
      </c>
    </row>
    <row r="3205" spans="1:7" x14ac:dyDescent="0.3">
      <c r="A3205" s="4">
        <v>2274391</v>
      </c>
      <c r="B3205" s="3" t="s">
        <v>2349</v>
      </c>
      <c r="C3205" t="s">
        <v>1010</v>
      </c>
      <c r="D3205" s="3" t="s">
        <v>1020</v>
      </c>
      <c r="E3205" s="1" t="s">
        <v>375</v>
      </c>
      <c r="F3205" s="1">
        <v>46079</v>
      </c>
      <c r="G3205" t="str">
        <f t="shared" si="108"/>
        <v>Feb -2026</v>
      </c>
    </row>
    <row r="3206" spans="1:7" x14ac:dyDescent="0.3">
      <c r="A3206" s="4">
        <v>2274391</v>
      </c>
      <c r="B3206" t="s">
        <v>2349</v>
      </c>
      <c r="C3206" s="4" t="s">
        <v>1010</v>
      </c>
      <c r="D3206" s="4" t="s">
        <v>1020</v>
      </c>
      <c r="E3206" s="4" t="s">
        <v>375</v>
      </c>
      <c r="F3206" s="1">
        <v>46080</v>
      </c>
      <c r="G3206" t="str">
        <f t="shared" si="108"/>
        <v>Feb -2026</v>
      </c>
    </row>
    <row r="3207" spans="1:7" x14ac:dyDescent="0.3">
      <c r="A3207" s="4">
        <v>2274178</v>
      </c>
      <c r="B3207" t="s">
        <v>41</v>
      </c>
      <c r="C3207" s="4" t="s">
        <v>1010</v>
      </c>
      <c r="D3207" s="4" t="s">
        <v>1020</v>
      </c>
      <c r="E3207" s="4" t="s">
        <v>211</v>
      </c>
      <c r="F3207" s="1">
        <v>46080</v>
      </c>
      <c r="G3207" t="str">
        <f t="shared" si="108"/>
        <v>Feb -2026</v>
      </c>
    </row>
    <row r="3208" spans="1:7" x14ac:dyDescent="0.3">
      <c r="A3208" s="4">
        <v>2274252</v>
      </c>
      <c r="B3208" t="s">
        <v>41</v>
      </c>
      <c r="C3208" s="4" t="s">
        <v>1010</v>
      </c>
      <c r="D3208" s="4" t="s">
        <v>1020</v>
      </c>
      <c r="E3208" s="4" t="s">
        <v>211</v>
      </c>
      <c r="F3208" s="1">
        <v>46080</v>
      </c>
      <c r="G3208" t="str">
        <f t="shared" si="108"/>
        <v>Feb -2026</v>
      </c>
    </row>
    <row r="3209" spans="1:7" x14ac:dyDescent="0.3">
      <c r="A3209" s="4">
        <v>2270467</v>
      </c>
      <c r="B3209" t="s">
        <v>2350</v>
      </c>
      <c r="C3209" s="4" t="s">
        <v>1010</v>
      </c>
      <c r="D3209" s="4" t="s">
        <v>1020</v>
      </c>
      <c r="E3209" s="4" t="s">
        <v>2310</v>
      </c>
      <c r="F3209" s="1">
        <v>46080</v>
      </c>
      <c r="G3209" t="str">
        <f t="shared" si="108"/>
        <v>Feb -2026</v>
      </c>
    </row>
    <row r="3210" spans="1:7" x14ac:dyDescent="0.3">
      <c r="A3210" s="4">
        <v>2274228</v>
      </c>
      <c r="B3210" t="s">
        <v>2351</v>
      </c>
      <c r="C3210" s="4" t="s">
        <v>1010</v>
      </c>
      <c r="D3210" s="4" t="s">
        <v>1020</v>
      </c>
      <c r="E3210" s="4" t="s">
        <v>435</v>
      </c>
      <c r="F3210" s="1">
        <v>46080</v>
      </c>
      <c r="G3210" t="str">
        <f t="shared" si="108"/>
        <v>Feb -2026</v>
      </c>
    </row>
    <row r="3211" spans="1:7" x14ac:dyDescent="0.3">
      <c r="A3211" s="4">
        <v>2274680</v>
      </c>
      <c r="B3211" t="s">
        <v>2352</v>
      </c>
      <c r="C3211" s="4" t="s">
        <v>1010</v>
      </c>
      <c r="D3211" s="4" t="s">
        <v>1020</v>
      </c>
      <c r="E3211" s="4" t="s">
        <v>435</v>
      </c>
      <c r="F3211" s="1">
        <v>46080</v>
      </c>
      <c r="G3211" t="str">
        <f t="shared" si="108"/>
        <v>Feb -2026</v>
      </c>
    </row>
    <row r="3212" spans="1:7" x14ac:dyDescent="0.3">
      <c r="A3212" s="4">
        <v>2274381</v>
      </c>
      <c r="B3212" t="s">
        <v>2353</v>
      </c>
      <c r="C3212" s="4" t="s">
        <v>1010</v>
      </c>
      <c r="D3212" s="4" t="s">
        <v>1020</v>
      </c>
      <c r="E3212" s="4" t="s">
        <v>435</v>
      </c>
      <c r="F3212" s="1">
        <v>46080</v>
      </c>
      <c r="G3212" t="str">
        <f t="shared" si="108"/>
        <v>Feb -2026</v>
      </c>
    </row>
    <row r="3213" spans="1:7" x14ac:dyDescent="0.3">
      <c r="A3213" s="4">
        <v>2256480</v>
      </c>
      <c r="B3213" t="s">
        <v>2354</v>
      </c>
      <c r="C3213" s="4" t="s">
        <v>1010</v>
      </c>
      <c r="D3213" s="4" t="s">
        <v>1020</v>
      </c>
      <c r="E3213" s="4" t="s">
        <v>435</v>
      </c>
      <c r="F3213" s="1">
        <v>46080</v>
      </c>
      <c r="G3213" t="str">
        <f t="shared" si="108"/>
        <v>Feb -2026</v>
      </c>
    </row>
    <row r="3214" spans="1:7" x14ac:dyDescent="0.3">
      <c r="A3214" s="4">
        <v>2274520</v>
      </c>
      <c r="B3214" t="s">
        <v>2355</v>
      </c>
      <c r="C3214" s="4" t="s">
        <v>1010</v>
      </c>
      <c r="D3214" s="4" t="s">
        <v>1020</v>
      </c>
      <c r="E3214" s="4" t="s">
        <v>2310</v>
      </c>
      <c r="F3214" s="1">
        <v>46080</v>
      </c>
      <c r="G3214" t="str">
        <f t="shared" si="108"/>
        <v>Feb -2026</v>
      </c>
    </row>
    <row r="3215" spans="1:7" x14ac:dyDescent="0.3">
      <c r="A3215" s="4">
        <v>2266615</v>
      </c>
      <c r="B3215" t="s">
        <v>2342</v>
      </c>
      <c r="C3215" s="4" t="s">
        <v>1010</v>
      </c>
      <c r="D3215" s="4" t="s">
        <v>1020</v>
      </c>
      <c r="E3215" s="4" t="s">
        <v>2028</v>
      </c>
      <c r="F3215" s="1">
        <v>46080</v>
      </c>
      <c r="G3215" t="str">
        <f t="shared" si="108"/>
        <v>Feb -2026</v>
      </c>
    </row>
    <row r="3216" spans="1:7" x14ac:dyDescent="0.3">
      <c r="A3216" s="4">
        <v>2274404</v>
      </c>
      <c r="B3216" t="s">
        <v>2356</v>
      </c>
      <c r="C3216" s="4" t="s">
        <v>1010</v>
      </c>
      <c r="D3216" s="4" t="s">
        <v>1020</v>
      </c>
      <c r="E3216" s="4" t="s">
        <v>375</v>
      </c>
      <c r="F3216" s="1">
        <v>46080</v>
      </c>
      <c r="G3216" t="str">
        <f t="shared" si="108"/>
        <v>Feb -2026</v>
      </c>
    </row>
    <row r="3217" spans="1:7" x14ac:dyDescent="0.3">
      <c r="A3217" s="4">
        <v>900006560</v>
      </c>
      <c r="B3217" t="s">
        <v>2338</v>
      </c>
      <c r="C3217" s="4" t="s">
        <v>1010</v>
      </c>
      <c r="D3217" s="4" t="s">
        <v>209</v>
      </c>
      <c r="E3217" s="4" t="s">
        <v>1877</v>
      </c>
      <c r="F3217" s="1">
        <v>46080</v>
      </c>
      <c r="G3217" t="str">
        <f t="shared" si="108"/>
        <v>Feb -2026</v>
      </c>
    </row>
    <row r="3218" spans="1:7" x14ac:dyDescent="0.3">
      <c r="A3218" s="4">
        <v>2272890</v>
      </c>
      <c r="B3218" t="s">
        <v>2357</v>
      </c>
      <c r="C3218" s="4" t="s">
        <v>1010</v>
      </c>
      <c r="D3218" s="4" t="s">
        <v>1020</v>
      </c>
      <c r="E3218" s="4" t="s">
        <v>2310</v>
      </c>
      <c r="F3218" s="1">
        <v>46080</v>
      </c>
      <c r="G3218" t="str">
        <f t="shared" si="108"/>
        <v>Feb -2026</v>
      </c>
    </row>
    <row r="3219" spans="1:7" x14ac:dyDescent="0.3">
      <c r="A3219" s="4">
        <v>2277014</v>
      </c>
      <c r="B3219" t="s">
        <v>2358</v>
      </c>
      <c r="C3219" s="4" t="s">
        <v>1010</v>
      </c>
      <c r="D3219" s="4" t="s">
        <v>1020</v>
      </c>
      <c r="E3219" s="4" t="s">
        <v>2310</v>
      </c>
      <c r="F3219" s="1">
        <v>46080</v>
      </c>
      <c r="G3219" t="str">
        <f t="shared" si="108"/>
        <v>Feb -2026</v>
      </c>
    </row>
    <row r="3220" spans="1:7" x14ac:dyDescent="0.3">
      <c r="A3220" s="4">
        <v>2274520</v>
      </c>
      <c r="B3220" t="s">
        <v>2355</v>
      </c>
      <c r="C3220" s="4" t="s">
        <v>1010</v>
      </c>
      <c r="D3220" s="4" t="s">
        <v>1020</v>
      </c>
      <c r="E3220" s="4" t="s">
        <v>2310</v>
      </c>
      <c r="F3220" s="1">
        <v>46080</v>
      </c>
      <c r="G3220" t="str">
        <f t="shared" si="108"/>
        <v>Feb -2026</v>
      </c>
    </row>
    <row r="3221" spans="1:7" x14ac:dyDescent="0.3">
      <c r="A3221" s="4">
        <v>2274404</v>
      </c>
      <c r="B3221" t="s">
        <v>2359</v>
      </c>
      <c r="C3221" s="4" t="s">
        <v>1010</v>
      </c>
      <c r="D3221" s="4" t="s">
        <v>1020</v>
      </c>
      <c r="E3221" s="4" t="s">
        <v>375</v>
      </c>
      <c r="F3221" s="1">
        <v>46080</v>
      </c>
      <c r="G3221" t="str">
        <f t="shared" si="108"/>
        <v>Feb -2026</v>
      </c>
    </row>
    <row r="3222" spans="1:7" x14ac:dyDescent="0.3">
      <c r="A3222" s="4">
        <v>900006326</v>
      </c>
      <c r="B3222" t="s">
        <v>2347</v>
      </c>
      <c r="C3222" s="3" t="s">
        <v>1604</v>
      </c>
      <c r="D3222" s="4" t="s">
        <v>2018</v>
      </c>
      <c r="E3222" s="4" t="s">
        <v>1877</v>
      </c>
      <c r="F3222" s="1">
        <v>46080</v>
      </c>
      <c r="G3222" t="str">
        <f t="shared" si="108"/>
        <v>Feb -2026</v>
      </c>
    </row>
    <row r="3223" spans="1:7" x14ac:dyDescent="0.3">
      <c r="A3223" s="4">
        <v>100005433</v>
      </c>
      <c r="B3223" t="s">
        <v>2334</v>
      </c>
      <c r="C3223" s="3" t="s">
        <v>1011</v>
      </c>
      <c r="D3223" s="4" t="s">
        <v>2015</v>
      </c>
      <c r="E3223" s="4" t="s">
        <v>981</v>
      </c>
      <c r="F3223" s="1">
        <v>46080</v>
      </c>
      <c r="G3223" t="str">
        <f t="shared" si="108"/>
        <v>Feb -2026</v>
      </c>
    </row>
    <row r="3224" spans="1:7" x14ac:dyDescent="0.3">
      <c r="A3224" s="4">
        <v>100005338</v>
      </c>
      <c r="B3224" t="s">
        <v>2164</v>
      </c>
      <c r="C3224" s="3" t="s">
        <v>1011</v>
      </c>
      <c r="D3224" s="4" t="s">
        <v>2015</v>
      </c>
      <c r="E3224" s="4" t="s">
        <v>2106</v>
      </c>
      <c r="F3224" s="1">
        <v>46080</v>
      </c>
      <c r="G3224" t="str">
        <f t="shared" si="108"/>
        <v>Feb -2026</v>
      </c>
    </row>
    <row r="3225" spans="1:7" x14ac:dyDescent="0.3">
      <c r="A3225" s="4">
        <v>100005488</v>
      </c>
      <c r="B3225" t="s">
        <v>2345</v>
      </c>
      <c r="C3225" s="3" t="s">
        <v>1011</v>
      </c>
      <c r="D3225" s="4" t="s">
        <v>2015</v>
      </c>
      <c r="E3225" s="4" t="s">
        <v>981</v>
      </c>
      <c r="F3225" s="1">
        <v>46080</v>
      </c>
      <c r="G3225" t="str">
        <f t="shared" si="108"/>
        <v>Feb -2026</v>
      </c>
    </row>
    <row r="3226" spans="1:7" x14ac:dyDescent="0.3">
      <c r="A3226" s="4">
        <v>100005543</v>
      </c>
      <c r="B3226" t="s">
        <v>2360</v>
      </c>
      <c r="C3226" s="3" t="s">
        <v>1011</v>
      </c>
      <c r="D3226" s="4" t="s">
        <v>2015</v>
      </c>
      <c r="E3226" s="4" t="s">
        <v>967</v>
      </c>
      <c r="F3226" s="1">
        <v>46080</v>
      </c>
      <c r="G3226" t="str">
        <f t="shared" si="108"/>
        <v>Feb -2026</v>
      </c>
    </row>
    <row r="3227" spans="1:7" x14ac:dyDescent="0.3">
      <c r="A3227" s="4">
        <v>900006559</v>
      </c>
      <c r="B3227" t="s">
        <v>2361</v>
      </c>
      <c r="C3227" s="3" t="s">
        <v>1604</v>
      </c>
      <c r="D3227" s="4" t="s">
        <v>2018</v>
      </c>
      <c r="E3227" s="4" t="s">
        <v>1877</v>
      </c>
      <c r="F3227" s="1">
        <v>46080</v>
      </c>
      <c r="G3227" t="str">
        <f t="shared" si="108"/>
        <v>Feb -2026</v>
      </c>
    </row>
    <row r="3228" spans="1:7" x14ac:dyDescent="0.3">
      <c r="A3228" s="4">
        <v>200003346</v>
      </c>
      <c r="B3228" t="s">
        <v>2348</v>
      </c>
      <c r="C3228" s="3" t="s">
        <v>1604</v>
      </c>
      <c r="D3228" s="4" t="s">
        <v>2031</v>
      </c>
      <c r="E3228" s="4" t="s">
        <v>483</v>
      </c>
      <c r="F3228" s="1">
        <v>46080</v>
      </c>
      <c r="G3228" t="str">
        <f t="shared" si="108"/>
        <v>Feb -2026</v>
      </c>
    </row>
    <row r="3229" spans="1:7" x14ac:dyDescent="0.3">
      <c r="A3229" s="4">
        <v>2292249</v>
      </c>
      <c r="B3229" t="s">
        <v>2362</v>
      </c>
      <c r="C3229" s="4" t="s">
        <v>1010</v>
      </c>
      <c r="D3229" s="4" t="s">
        <v>209</v>
      </c>
      <c r="E3229" s="4" t="s">
        <v>375</v>
      </c>
      <c r="F3229" s="1">
        <v>46083</v>
      </c>
      <c r="G3229" t="str">
        <f t="shared" si="108"/>
        <v>Mar -2026</v>
      </c>
    </row>
    <row r="3230" spans="1:7" x14ac:dyDescent="0.3">
      <c r="A3230" s="4">
        <v>2280616</v>
      </c>
      <c r="B3230" t="s">
        <v>2363</v>
      </c>
      <c r="C3230" s="4" t="s">
        <v>1010</v>
      </c>
      <c r="D3230" s="4" t="s">
        <v>209</v>
      </c>
      <c r="E3230" s="4" t="s">
        <v>375</v>
      </c>
      <c r="F3230" s="1">
        <v>46083</v>
      </c>
      <c r="G3230" t="str">
        <f t="shared" si="108"/>
        <v>Mar -2026</v>
      </c>
    </row>
    <row r="3231" spans="1:7" x14ac:dyDescent="0.3">
      <c r="A3231" s="4">
        <v>2272890</v>
      </c>
      <c r="B3231" t="s">
        <v>2357</v>
      </c>
      <c r="C3231" s="4" t="s">
        <v>1010</v>
      </c>
      <c r="D3231" s="4" t="s">
        <v>1020</v>
      </c>
      <c r="E3231" s="4" t="s">
        <v>2028</v>
      </c>
      <c r="F3231" s="1">
        <v>46083</v>
      </c>
      <c r="G3231" t="str">
        <f t="shared" si="108"/>
        <v>Mar -2026</v>
      </c>
    </row>
    <row r="3232" spans="1:7" x14ac:dyDescent="0.3">
      <c r="A3232" s="4">
        <v>2291540</v>
      </c>
      <c r="B3232" t="s">
        <v>2364</v>
      </c>
      <c r="C3232" s="4" t="s">
        <v>1010</v>
      </c>
      <c r="D3232" s="4" t="s">
        <v>209</v>
      </c>
      <c r="E3232" s="4" t="s">
        <v>375</v>
      </c>
      <c r="F3232" s="1">
        <v>46083</v>
      </c>
      <c r="G3232" t="str">
        <f t="shared" si="108"/>
        <v>Mar -2026</v>
      </c>
    </row>
    <row r="3233" spans="1:7" x14ac:dyDescent="0.3">
      <c r="A3233" s="4">
        <v>2274471</v>
      </c>
      <c r="B3233" t="s">
        <v>2365</v>
      </c>
      <c r="C3233" s="4" t="s">
        <v>1010</v>
      </c>
      <c r="D3233" s="4" t="s">
        <v>1020</v>
      </c>
      <c r="E3233" s="4" t="s">
        <v>2310</v>
      </c>
      <c r="F3233" s="1">
        <v>46083</v>
      </c>
      <c r="G3233" t="str">
        <f t="shared" si="108"/>
        <v>Mar -2026</v>
      </c>
    </row>
    <row r="3234" spans="1:7" x14ac:dyDescent="0.3">
      <c r="A3234" s="4">
        <v>2278687</v>
      </c>
      <c r="B3234" t="s">
        <v>2366</v>
      </c>
      <c r="C3234" s="4" t="s">
        <v>1010</v>
      </c>
      <c r="D3234" s="4" t="s">
        <v>1020</v>
      </c>
      <c r="E3234" s="4" t="s">
        <v>2310</v>
      </c>
      <c r="F3234" s="1">
        <v>46083</v>
      </c>
      <c r="G3234" t="str">
        <f t="shared" si="108"/>
        <v>Mar -2026</v>
      </c>
    </row>
    <row r="3235" spans="1:7" x14ac:dyDescent="0.3">
      <c r="A3235" s="4">
        <v>2293164</v>
      </c>
      <c r="B3235" t="s">
        <v>2367</v>
      </c>
      <c r="C3235" s="4" t="s">
        <v>1010</v>
      </c>
      <c r="D3235" s="4" t="s">
        <v>1020</v>
      </c>
      <c r="E3235" s="4" t="s">
        <v>2310</v>
      </c>
      <c r="F3235" s="1">
        <v>46083</v>
      </c>
      <c r="G3235" t="str">
        <f t="shared" si="108"/>
        <v>Mar -2026</v>
      </c>
    </row>
    <row r="3236" spans="1:7" x14ac:dyDescent="0.3">
      <c r="A3236" s="4">
        <v>2293244</v>
      </c>
      <c r="B3236" t="s">
        <v>2368</v>
      </c>
      <c r="C3236" s="4" t="s">
        <v>1010</v>
      </c>
      <c r="D3236" s="4" t="s">
        <v>209</v>
      </c>
      <c r="E3236" s="4" t="s">
        <v>375</v>
      </c>
      <c r="F3236" s="1">
        <v>46083</v>
      </c>
      <c r="G3236" t="str">
        <f t="shared" si="108"/>
        <v>Mar -2026</v>
      </c>
    </row>
    <row r="3237" spans="1:7" x14ac:dyDescent="0.3">
      <c r="A3237" s="4">
        <v>2293018</v>
      </c>
      <c r="B3237" t="s">
        <v>2369</v>
      </c>
      <c r="C3237" s="4" t="s">
        <v>1010</v>
      </c>
      <c r="D3237" s="4" t="s">
        <v>209</v>
      </c>
      <c r="E3237" s="4" t="s">
        <v>291</v>
      </c>
      <c r="F3237" s="1">
        <v>46083</v>
      </c>
      <c r="G3237" t="str">
        <f t="shared" si="108"/>
        <v>Mar -2026</v>
      </c>
    </row>
    <row r="3238" spans="1:7" x14ac:dyDescent="0.3">
      <c r="A3238" s="4">
        <v>900006565</v>
      </c>
      <c r="B3238" t="s">
        <v>2370</v>
      </c>
      <c r="C3238" s="4" t="s">
        <v>1010</v>
      </c>
      <c r="D3238" s="4" t="s">
        <v>1551</v>
      </c>
      <c r="E3238" s="4" t="s">
        <v>1877</v>
      </c>
      <c r="F3238" s="1">
        <v>46083</v>
      </c>
      <c r="G3238" t="str">
        <f t="shared" si="108"/>
        <v>Mar -2026</v>
      </c>
    </row>
    <row r="3239" spans="1:7" x14ac:dyDescent="0.3">
      <c r="A3239" s="4">
        <v>2291973</v>
      </c>
      <c r="B3239" t="s">
        <v>2371</v>
      </c>
      <c r="C3239" s="4" t="s">
        <v>1010</v>
      </c>
      <c r="D3239" s="4" t="s">
        <v>209</v>
      </c>
      <c r="E3239" s="4" t="s">
        <v>375</v>
      </c>
      <c r="F3239" s="1">
        <v>46083</v>
      </c>
      <c r="G3239" t="str">
        <f t="shared" si="108"/>
        <v>Mar -2026</v>
      </c>
    </row>
    <row r="3240" spans="1:7" x14ac:dyDescent="0.3">
      <c r="A3240" s="4">
        <v>2294428</v>
      </c>
      <c r="B3240" t="s">
        <v>2372</v>
      </c>
      <c r="C3240" s="4" t="s">
        <v>1010</v>
      </c>
      <c r="D3240" s="4" t="s">
        <v>209</v>
      </c>
      <c r="E3240" s="4" t="s">
        <v>210</v>
      </c>
      <c r="F3240" s="1">
        <v>46083</v>
      </c>
      <c r="G3240" t="str">
        <f t="shared" si="108"/>
        <v>Mar -2026</v>
      </c>
    </row>
    <row r="3241" spans="1:7" x14ac:dyDescent="0.3">
      <c r="A3241" s="4">
        <v>2294439</v>
      </c>
      <c r="B3241" t="s">
        <v>2373</v>
      </c>
      <c r="C3241" s="4" t="s">
        <v>1010</v>
      </c>
      <c r="D3241" s="4" t="s">
        <v>209</v>
      </c>
      <c r="E3241" s="4" t="s">
        <v>375</v>
      </c>
      <c r="F3241" s="1">
        <v>46083</v>
      </c>
      <c r="G3241" t="str">
        <f t="shared" si="108"/>
        <v>Mar -2026</v>
      </c>
    </row>
    <row r="3242" spans="1:7" x14ac:dyDescent="0.3">
      <c r="A3242" s="4">
        <v>2294701</v>
      </c>
      <c r="B3242" t="s">
        <v>2374</v>
      </c>
      <c r="C3242" s="4" t="s">
        <v>1010</v>
      </c>
      <c r="D3242" s="4" t="s">
        <v>209</v>
      </c>
      <c r="E3242" s="4" t="s">
        <v>375</v>
      </c>
      <c r="F3242" s="1">
        <v>46083</v>
      </c>
      <c r="G3242" t="str">
        <f t="shared" si="108"/>
        <v>Mar -2026</v>
      </c>
    </row>
    <row r="3243" spans="1:7" x14ac:dyDescent="0.3">
      <c r="A3243" s="4">
        <v>2263282</v>
      </c>
      <c r="B3243" t="s">
        <v>2312</v>
      </c>
      <c r="C3243" s="4" t="s">
        <v>1010</v>
      </c>
      <c r="D3243" s="4" t="s">
        <v>1020</v>
      </c>
      <c r="E3243" s="4" t="s">
        <v>2310</v>
      </c>
      <c r="F3243" s="1">
        <v>46083</v>
      </c>
      <c r="G3243" t="str">
        <f t="shared" si="108"/>
        <v>Mar -2026</v>
      </c>
    </row>
    <row r="3244" spans="1:7" x14ac:dyDescent="0.3">
      <c r="A3244" s="4">
        <v>2275340</v>
      </c>
      <c r="B3244" t="s">
        <v>2342</v>
      </c>
      <c r="C3244" s="4" t="s">
        <v>1010</v>
      </c>
      <c r="D3244" s="4" t="s">
        <v>1020</v>
      </c>
      <c r="E3244" s="4" t="s">
        <v>2028</v>
      </c>
      <c r="F3244" s="1">
        <v>46083</v>
      </c>
      <c r="G3244" t="str">
        <f t="shared" si="108"/>
        <v>Mar -2026</v>
      </c>
    </row>
    <row r="3245" spans="1:7" x14ac:dyDescent="0.3">
      <c r="A3245" s="4">
        <v>2275300</v>
      </c>
      <c r="B3245" t="s">
        <v>2342</v>
      </c>
      <c r="C3245" s="4" t="s">
        <v>1010</v>
      </c>
      <c r="D3245" s="4" t="s">
        <v>1020</v>
      </c>
      <c r="E3245" s="4" t="s">
        <v>2028</v>
      </c>
      <c r="F3245" s="1">
        <v>46083</v>
      </c>
      <c r="G3245" t="str">
        <f t="shared" si="108"/>
        <v>Mar -2026</v>
      </c>
    </row>
    <row r="3246" spans="1:7" x14ac:dyDescent="0.3">
      <c r="A3246" s="4">
        <v>2295002</v>
      </c>
      <c r="B3246" t="s">
        <v>2375</v>
      </c>
      <c r="C3246" s="4" t="s">
        <v>1010</v>
      </c>
      <c r="D3246" s="4" t="s">
        <v>1020</v>
      </c>
      <c r="E3246" s="4" t="s">
        <v>2310</v>
      </c>
      <c r="F3246" s="1">
        <v>46083</v>
      </c>
      <c r="G3246" t="str">
        <f t="shared" si="108"/>
        <v>Mar -2026</v>
      </c>
    </row>
    <row r="3247" spans="1:7" x14ac:dyDescent="0.3">
      <c r="A3247" s="4">
        <v>2294918</v>
      </c>
      <c r="B3247" t="s">
        <v>2376</v>
      </c>
      <c r="C3247" s="4" t="s">
        <v>1010</v>
      </c>
      <c r="D3247" s="4" t="s">
        <v>1020</v>
      </c>
      <c r="E3247" s="4" t="s">
        <v>2310</v>
      </c>
      <c r="F3247" s="1">
        <v>46083</v>
      </c>
      <c r="G3247" t="str">
        <f t="shared" ref="G3247:G3282" si="109">TEXT(F3247,"mmm -YYYY")</f>
        <v>Mar -2026</v>
      </c>
    </row>
    <row r="3248" spans="1:7" x14ac:dyDescent="0.3">
      <c r="A3248" s="4">
        <v>100005509</v>
      </c>
      <c r="B3248" t="s">
        <v>2377</v>
      </c>
      <c r="C3248" s="3" t="s">
        <v>1011</v>
      </c>
      <c r="D3248" s="4" t="s">
        <v>2015</v>
      </c>
      <c r="E3248" s="4" t="s">
        <v>1609</v>
      </c>
      <c r="F3248" s="1">
        <v>46083</v>
      </c>
      <c r="G3248" t="str">
        <f t="shared" si="109"/>
        <v>Mar -2026</v>
      </c>
    </row>
    <row r="3249" spans="1:7" x14ac:dyDescent="0.3">
      <c r="A3249" s="4">
        <v>100005545</v>
      </c>
      <c r="B3249" t="s">
        <v>2378</v>
      </c>
      <c r="C3249" s="3" t="s">
        <v>1011</v>
      </c>
      <c r="D3249" s="4" t="s">
        <v>2015</v>
      </c>
      <c r="E3249" s="4" t="s">
        <v>967</v>
      </c>
      <c r="F3249" s="1">
        <v>46083</v>
      </c>
      <c r="G3249" t="str">
        <f t="shared" si="109"/>
        <v>Mar -2026</v>
      </c>
    </row>
    <row r="3250" spans="1:7" x14ac:dyDescent="0.3">
      <c r="A3250" s="4">
        <v>100005488</v>
      </c>
      <c r="B3250" t="s">
        <v>2345</v>
      </c>
      <c r="C3250" s="3" t="s">
        <v>1011</v>
      </c>
      <c r="D3250" s="4" t="s">
        <v>2015</v>
      </c>
      <c r="E3250" s="4" t="s">
        <v>981</v>
      </c>
      <c r="F3250" s="1">
        <v>46083</v>
      </c>
      <c r="G3250" t="str">
        <f t="shared" si="109"/>
        <v>Mar -2026</v>
      </c>
    </row>
    <row r="3251" spans="1:7" x14ac:dyDescent="0.3">
      <c r="A3251" s="4">
        <v>900006573</v>
      </c>
      <c r="B3251" t="s">
        <v>2379</v>
      </c>
      <c r="C3251" s="3" t="s">
        <v>1604</v>
      </c>
      <c r="D3251" s="4" t="s">
        <v>2018</v>
      </c>
      <c r="E3251" s="4" t="s">
        <v>1877</v>
      </c>
      <c r="F3251" s="1">
        <v>46083</v>
      </c>
      <c r="G3251" t="str">
        <f t="shared" si="109"/>
        <v>Mar -2026</v>
      </c>
    </row>
    <row r="3252" spans="1:7" x14ac:dyDescent="0.3">
      <c r="A3252" s="4">
        <v>200003346</v>
      </c>
      <c r="B3252" t="s">
        <v>2348</v>
      </c>
      <c r="C3252" s="3" t="s">
        <v>1604</v>
      </c>
      <c r="D3252" s="4" t="s">
        <v>2031</v>
      </c>
      <c r="E3252" s="4" t="s">
        <v>1877</v>
      </c>
      <c r="F3252" s="1">
        <v>46083</v>
      </c>
      <c r="G3252" t="str">
        <f t="shared" si="109"/>
        <v>Mar -2026</v>
      </c>
    </row>
    <row r="3253" spans="1:7" x14ac:dyDescent="0.3">
      <c r="A3253" s="4">
        <v>900006581</v>
      </c>
      <c r="B3253" t="s">
        <v>2380</v>
      </c>
      <c r="C3253" s="3" t="s">
        <v>1604</v>
      </c>
      <c r="D3253" s="4" t="s">
        <v>2018</v>
      </c>
      <c r="E3253" s="4" t="s">
        <v>1877</v>
      </c>
      <c r="F3253" s="1">
        <v>46083</v>
      </c>
      <c r="G3253" t="str">
        <f t="shared" si="109"/>
        <v>Mar -2026</v>
      </c>
    </row>
    <row r="3254" spans="1:7" x14ac:dyDescent="0.3">
      <c r="A3254" s="4">
        <v>900006563</v>
      </c>
      <c r="B3254" t="s">
        <v>2381</v>
      </c>
      <c r="C3254" s="3" t="s">
        <v>1604</v>
      </c>
      <c r="D3254" s="4" t="s">
        <v>2018</v>
      </c>
      <c r="E3254" s="4" t="s">
        <v>1877</v>
      </c>
      <c r="F3254" s="1">
        <v>46083</v>
      </c>
      <c r="G3254" t="str">
        <f t="shared" si="109"/>
        <v>Mar -2026</v>
      </c>
    </row>
    <row r="3255" spans="1:7" x14ac:dyDescent="0.3">
      <c r="A3255" s="4">
        <v>2294977</v>
      </c>
      <c r="B3255" t="s">
        <v>2306</v>
      </c>
      <c r="C3255" s="4" t="s">
        <v>1010</v>
      </c>
      <c r="D3255" s="4" t="s">
        <v>209</v>
      </c>
      <c r="E3255" s="4" t="s">
        <v>2305</v>
      </c>
      <c r="F3255" s="1">
        <v>46084</v>
      </c>
      <c r="G3255" t="str">
        <f t="shared" si="109"/>
        <v>Mar -2026</v>
      </c>
    </row>
    <row r="3256" spans="1:7" x14ac:dyDescent="0.3">
      <c r="A3256" s="4">
        <v>2296294</v>
      </c>
      <c r="B3256" t="s">
        <v>2382</v>
      </c>
      <c r="C3256" s="4" t="s">
        <v>1010</v>
      </c>
      <c r="D3256" s="4" t="s">
        <v>209</v>
      </c>
      <c r="E3256" s="4" t="s">
        <v>196</v>
      </c>
      <c r="F3256" s="1">
        <v>46084</v>
      </c>
      <c r="G3256" t="str">
        <f t="shared" si="109"/>
        <v>Mar -2026</v>
      </c>
    </row>
    <row r="3257" spans="1:7" x14ac:dyDescent="0.3">
      <c r="A3257" s="4">
        <v>2296301</v>
      </c>
      <c r="B3257" t="s">
        <v>2383</v>
      </c>
      <c r="C3257" s="4" t="s">
        <v>1010</v>
      </c>
      <c r="D3257" s="4" t="s">
        <v>209</v>
      </c>
      <c r="E3257" s="4" t="s">
        <v>196</v>
      </c>
      <c r="F3257" s="1">
        <v>46084</v>
      </c>
      <c r="G3257" t="str">
        <f t="shared" si="109"/>
        <v>Mar -2026</v>
      </c>
    </row>
    <row r="3258" spans="1:7" x14ac:dyDescent="0.3">
      <c r="A3258" s="4">
        <v>2295132</v>
      </c>
      <c r="B3258" t="s">
        <v>2306</v>
      </c>
      <c r="C3258" s="4" t="s">
        <v>1010</v>
      </c>
      <c r="D3258" s="4" t="s">
        <v>209</v>
      </c>
      <c r="E3258" s="4" t="s">
        <v>2305</v>
      </c>
      <c r="F3258" s="1">
        <v>46084</v>
      </c>
      <c r="G3258" t="str">
        <f t="shared" si="109"/>
        <v>Mar -2026</v>
      </c>
    </row>
    <row r="3259" spans="1:7" x14ac:dyDescent="0.3">
      <c r="A3259" s="4">
        <v>2296291</v>
      </c>
      <c r="B3259" t="s">
        <v>2384</v>
      </c>
      <c r="C3259" s="4" t="s">
        <v>1010</v>
      </c>
      <c r="D3259" s="4" t="s">
        <v>209</v>
      </c>
      <c r="E3259" s="4" t="s">
        <v>196</v>
      </c>
      <c r="F3259" s="1">
        <v>46084</v>
      </c>
      <c r="G3259" t="str">
        <f t="shared" si="109"/>
        <v>Mar -2026</v>
      </c>
    </row>
    <row r="3260" spans="1:7" x14ac:dyDescent="0.3">
      <c r="A3260" s="4">
        <v>2294918</v>
      </c>
      <c r="B3260" t="s">
        <v>2376</v>
      </c>
      <c r="C3260" s="4" t="s">
        <v>1010</v>
      </c>
      <c r="D3260" s="4" t="s">
        <v>1020</v>
      </c>
      <c r="E3260" s="4" t="s">
        <v>2310</v>
      </c>
      <c r="F3260" s="1">
        <v>46084</v>
      </c>
      <c r="G3260" t="str">
        <f t="shared" si="109"/>
        <v>Mar -2026</v>
      </c>
    </row>
    <row r="3261" spans="1:7" x14ac:dyDescent="0.3">
      <c r="A3261" s="4">
        <v>2295002</v>
      </c>
      <c r="B3261" t="s">
        <v>2375</v>
      </c>
      <c r="C3261" s="4" t="s">
        <v>1010</v>
      </c>
      <c r="D3261" s="4" t="s">
        <v>1020</v>
      </c>
      <c r="E3261" s="4" t="s">
        <v>2310</v>
      </c>
      <c r="F3261" s="1">
        <v>46084</v>
      </c>
      <c r="G3261" t="str">
        <f t="shared" si="109"/>
        <v>Mar -2026</v>
      </c>
    </row>
    <row r="3262" spans="1:7" x14ac:dyDescent="0.3">
      <c r="A3262" s="4">
        <v>2294350</v>
      </c>
      <c r="B3262" t="s">
        <v>2385</v>
      </c>
      <c r="C3262" s="4" t="s">
        <v>1010</v>
      </c>
      <c r="D3262" s="4" t="s">
        <v>1020</v>
      </c>
      <c r="E3262" s="4" t="s">
        <v>435</v>
      </c>
      <c r="F3262" s="1">
        <v>46084</v>
      </c>
      <c r="G3262" t="str">
        <f t="shared" si="109"/>
        <v>Mar -2026</v>
      </c>
    </row>
    <row r="3263" spans="1:7" x14ac:dyDescent="0.3">
      <c r="A3263" s="4">
        <v>2294443</v>
      </c>
      <c r="B3263" t="s">
        <v>2386</v>
      </c>
      <c r="C3263" s="4" t="s">
        <v>1010</v>
      </c>
      <c r="D3263" s="4" t="s">
        <v>209</v>
      </c>
      <c r="E3263" s="4" t="s">
        <v>357</v>
      </c>
      <c r="F3263" s="1">
        <v>46084</v>
      </c>
      <c r="G3263" t="str">
        <f t="shared" si="109"/>
        <v>Mar -2026</v>
      </c>
    </row>
    <row r="3264" spans="1:7" x14ac:dyDescent="0.3">
      <c r="A3264" s="4">
        <v>2294437</v>
      </c>
      <c r="B3264" t="s">
        <v>2386</v>
      </c>
      <c r="C3264" s="4" t="s">
        <v>1010</v>
      </c>
      <c r="D3264" s="4" t="s">
        <v>209</v>
      </c>
      <c r="E3264" s="4" t="s">
        <v>357</v>
      </c>
      <c r="F3264" s="1">
        <v>46084</v>
      </c>
      <c r="G3264" t="str">
        <f t="shared" si="109"/>
        <v>Mar -2026</v>
      </c>
    </row>
    <row r="3265" spans="1:7" x14ac:dyDescent="0.3">
      <c r="A3265" s="4">
        <v>2294375</v>
      </c>
      <c r="B3265" t="s">
        <v>2386</v>
      </c>
      <c r="C3265" s="4" t="s">
        <v>1010</v>
      </c>
      <c r="D3265" s="4" t="s">
        <v>209</v>
      </c>
      <c r="E3265" s="4" t="s">
        <v>357</v>
      </c>
      <c r="F3265" s="1">
        <v>46084</v>
      </c>
      <c r="G3265" t="str">
        <f t="shared" si="109"/>
        <v>Mar -2026</v>
      </c>
    </row>
    <row r="3266" spans="1:7" x14ac:dyDescent="0.3">
      <c r="A3266" s="4">
        <v>2294505</v>
      </c>
      <c r="B3266" t="s">
        <v>2386</v>
      </c>
      <c r="C3266" s="4" t="s">
        <v>1010</v>
      </c>
      <c r="D3266" s="4" t="s">
        <v>209</v>
      </c>
      <c r="E3266" s="4" t="s">
        <v>357</v>
      </c>
      <c r="F3266" s="1">
        <v>46084</v>
      </c>
      <c r="G3266" t="str">
        <f t="shared" si="109"/>
        <v>Mar -2026</v>
      </c>
    </row>
    <row r="3267" spans="1:7" x14ac:dyDescent="0.3">
      <c r="A3267" s="4">
        <v>2294520</v>
      </c>
      <c r="B3267" t="s">
        <v>2386</v>
      </c>
      <c r="C3267" s="4" t="s">
        <v>1010</v>
      </c>
      <c r="D3267" s="4" t="s">
        <v>209</v>
      </c>
      <c r="E3267" s="4" t="s">
        <v>357</v>
      </c>
      <c r="F3267" s="1">
        <v>46084</v>
      </c>
      <c r="G3267" t="str">
        <f t="shared" si="109"/>
        <v>Mar -2026</v>
      </c>
    </row>
    <row r="3268" spans="1:7" x14ac:dyDescent="0.3">
      <c r="A3268" s="4">
        <v>2278900</v>
      </c>
      <c r="B3268" t="s">
        <v>2387</v>
      </c>
      <c r="C3268" s="4" t="s">
        <v>1010</v>
      </c>
      <c r="D3268" s="4" t="s">
        <v>1259</v>
      </c>
      <c r="E3268" s="4" t="s">
        <v>228</v>
      </c>
      <c r="F3268" s="1">
        <v>46084</v>
      </c>
      <c r="G3268" t="str">
        <f t="shared" si="109"/>
        <v>Mar -2026</v>
      </c>
    </row>
    <row r="3269" spans="1:7" x14ac:dyDescent="0.3">
      <c r="A3269" s="4">
        <v>2276855</v>
      </c>
      <c r="B3269" t="s">
        <v>2388</v>
      </c>
      <c r="C3269" s="4" t="s">
        <v>1010</v>
      </c>
      <c r="D3269" s="4" t="s">
        <v>364</v>
      </c>
      <c r="E3269" s="4" t="s">
        <v>15</v>
      </c>
      <c r="F3269" s="1">
        <v>46084</v>
      </c>
      <c r="G3269" t="str">
        <f t="shared" si="109"/>
        <v>Mar -2026</v>
      </c>
    </row>
    <row r="3270" spans="1:7" x14ac:dyDescent="0.3">
      <c r="A3270" s="4">
        <v>2276856</v>
      </c>
      <c r="B3270" t="s">
        <v>2389</v>
      </c>
      <c r="C3270" s="4" t="s">
        <v>1010</v>
      </c>
      <c r="D3270" s="4" t="s">
        <v>364</v>
      </c>
      <c r="E3270" s="4" t="s">
        <v>15</v>
      </c>
      <c r="F3270" s="1">
        <v>46084</v>
      </c>
      <c r="G3270" t="str">
        <f t="shared" si="109"/>
        <v>Mar -2026</v>
      </c>
    </row>
    <row r="3271" spans="1:7" x14ac:dyDescent="0.3">
      <c r="A3271" s="4">
        <v>2276857</v>
      </c>
      <c r="B3271" t="s">
        <v>2390</v>
      </c>
      <c r="C3271" s="4" t="s">
        <v>1010</v>
      </c>
      <c r="D3271" s="4" t="s">
        <v>364</v>
      </c>
      <c r="E3271" s="4" t="s">
        <v>15</v>
      </c>
      <c r="F3271" s="1">
        <v>46084</v>
      </c>
      <c r="G3271" t="str">
        <f t="shared" si="109"/>
        <v>Mar -2026</v>
      </c>
    </row>
    <row r="3272" spans="1:7" x14ac:dyDescent="0.3">
      <c r="A3272" s="4">
        <v>2277263</v>
      </c>
      <c r="B3272" t="s">
        <v>2391</v>
      </c>
      <c r="C3272" s="4" t="s">
        <v>1010</v>
      </c>
      <c r="D3272" s="4" t="s">
        <v>364</v>
      </c>
      <c r="E3272" s="4" t="s">
        <v>15</v>
      </c>
      <c r="F3272" s="1">
        <v>46084</v>
      </c>
      <c r="G3272" t="str">
        <f t="shared" si="109"/>
        <v>Mar -2026</v>
      </c>
    </row>
    <row r="3273" spans="1:7" x14ac:dyDescent="0.3">
      <c r="A3273" s="4">
        <v>2277110</v>
      </c>
      <c r="B3273" t="s">
        <v>2392</v>
      </c>
      <c r="C3273" s="4" t="s">
        <v>1010</v>
      </c>
      <c r="D3273" s="4" t="s">
        <v>364</v>
      </c>
      <c r="E3273" s="4" t="s">
        <v>15</v>
      </c>
      <c r="F3273" s="1">
        <v>46084</v>
      </c>
      <c r="G3273" t="str">
        <f t="shared" si="109"/>
        <v>Mar -2026</v>
      </c>
    </row>
    <row r="3274" spans="1:7" x14ac:dyDescent="0.3">
      <c r="A3274" s="4">
        <v>2292124</v>
      </c>
      <c r="B3274" t="s">
        <v>2393</v>
      </c>
      <c r="C3274" s="4" t="s">
        <v>1010</v>
      </c>
      <c r="D3274" s="4" t="s">
        <v>364</v>
      </c>
      <c r="E3274" s="4" t="s">
        <v>15</v>
      </c>
      <c r="F3274" s="1">
        <v>46084</v>
      </c>
      <c r="G3274" t="str">
        <f t="shared" si="109"/>
        <v>Mar -2026</v>
      </c>
    </row>
    <row r="3275" spans="1:7" x14ac:dyDescent="0.3">
      <c r="A3275" s="4">
        <v>2294883</v>
      </c>
      <c r="B3275" t="s">
        <v>2386</v>
      </c>
      <c r="C3275" s="4" t="s">
        <v>1010</v>
      </c>
      <c r="D3275" s="4" t="s">
        <v>209</v>
      </c>
      <c r="E3275" s="4" t="s">
        <v>357</v>
      </c>
      <c r="F3275" s="1">
        <v>46084</v>
      </c>
      <c r="G3275" t="str">
        <f t="shared" si="109"/>
        <v>Mar -2026</v>
      </c>
    </row>
    <row r="3276" spans="1:7" x14ac:dyDescent="0.3">
      <c r="A3276" s="4">
        <v>2294886</v>
      </c>
      <c r="B3276" t="s">
        <v>2386</v>
      </c>
      <c r="C3276" s="4" t="s">
        <v>1010</v>
      </c>
      <c r="D3276" s="4" t="s">
        <v>209</v>
      </c>
      <c r="E3276" s="4" t="s">
        <v>357</v>
      </c>
      <c r="F3276" s="1">
        <v>46084</v>
      </c>
      <c r="G3276" t="str">
        <f t="shared" si="109"/>
        <v>Mar -2026</v>
      </c>
    </row>
    <row r="3277" spans="1:7" x14ac:dyDescent="0.3">
      <c r="A3277" s="4">
        <v>2274246</v>
      </c>
      <c r="B3277" t="s">
        <v>2394</v>
      </c>
      <c r="C3277" s="4" t="s">
        <v>1010</v>
      </c>
      <c r="D3277" s="4" t="s">
        <v>1020</v>
      </c>
      <c r="E3277" s="4" t="s">
        <v>2310</v>
      </c>
      <c r="F3277" s="1">
        <v>46084</v>
      </c>
      <c r="G3277" t="str">
        <f t="shared" si="109"/>
        <v>Mar -2026</v>
      </c>
    </row>
    <row r="3278" spans="1:7" x14ac:dyDescent="0.3">
      <c r="A3278" s="4">
        <v>2274586</v>
      </c>
      <c r="B3278" t="s">
        <v>2395</v>
      </c>
      <c r="C3278" s="4" t="s">
        <v>1010</v>
      </c>
      <c r="D3278" s="4" t="s">
        <v>1020</v>
      </c>
      <c r="E3278" s="4" t="s">
        <v>2310</v>
      </c>
      <c r="F3278" s="1">
        <v>46084</v>
      </c>
      <c r="G3278" t="str">
        <f t="shared" si="109"/>
        <v>Mar -2026</v>
      </c>
    </row>
    <row r="3279" spans="1:7" x14ac:dyDescent="0.3">
      <c r="A3279" s="4">
        <v>900006600</v>
      </c>
      <c r="B3279" t="s">
        <v>2396</v>
      </c>
      <c r="C3279" s="3" t="s">
        <v>1604</v>
      </c>
      <c r="D3279" s="4" t="s">
        <v>2018</v>
      </c>
      <c r="E3279" s="4" t="s">
        <v>1877</v>
      </c>
      <c r="F3279" s="1">
        <v>46084</v>
      </c>
      <c r="G3279" t="str">
        <f t="shared" si="109"/>
        <v>Mar -2026</v>
      </c>
    </row>
    <row r="3280" spans="1:7" x14ac:dyDescent="0.3">
      <c r="A3280" s="4">
        <v>100005561</v>
      </c>
      <c r="B3280" t="s">
        <v>2397</v>
      </c>
      <c r="C3280" s="3" t="s">
        <v>1011</v>
      </c>
      <c r="D3280" s="4" t="s">
        <v>2015</v>
      </c>
      <c r="E3280" s="4" t="s">
        <v>1609</v>
      </c>
      <c r="F3280" s="1">
        <v>46084</v>
      </c>
      <c r="G3280" t="str">
        <f t="shared" si="109"/>
        <v>Mar -2026</v>
      </c>
    </row>
    <row r="3281" spans="1:7" x14ac:dyDescent="0.3">
      <c r="A3281" s="4">
        <v>100005554</v>
      </c>
      <c r="B3281" t="s">
        <v>2398</v>
      </c>
      <c r="C3281" s="3" t="s">
        <v>1011</v>
      </c>
      <c r="D3281" s="4" t="s">
        <v>2015</v>
      </c>
      <c r="E3281" s="4" t="s">
        <v>978</v>
      </c>
      <c r="F3281" s="1">
        <v>46084</v>
      </c>
      <c r="G3281" t="str">
        <f t="shared" si="109"/>
        <v>Mar -2026</v>
      </c>
    </row>
    <row r="3282" spans="1:7" x14ac:dyDescent="0.3">
      <c r="A3282" s="4">
        <v>2297636</v>
      </c>
      <c r="B3282" t="s">
        <v>2399</v>
      </c>
      <c r="C3282" s="4" t="s">
        <v>1010</v>
      </c>
      <c r="D3282" s="4" t="s">
        <v>209</v>
      </c>
      <c r="E3282" s="4" t="s">
        <v>375</v>
      </c>
      <c r="F3282" s="1">
        <v>46085</v>
      </c>
      <c r="G3282" t="str">
        <f t="shared" si="109"/>
        <v>Mar -2026</v>
      </c>
    </row>
    <row r="3283" spans="1:7" x14ac:dyDescent="0.3">
      <c r="A3283" s="4">
        <v>2297744</v>
      </c>
      <c r="B3283" t="s">
        <v>2400</v>
      </c>
      <c r="C3283" s="4" t="s">
        <v>1010</v>
      </c>
      <c r="D3283" s="4" t="s">
        <v>209</v>
      </c>
      <c r="E3283" s="4" t="s">
        <v>375</v>
      </c>
      <c r="F3283" s="1">
        <v>46085</v>
      </c>
      <c r="G3283" t="str">
        <f t="shared" ref="G3283:G3346" si="110">TEXT(F3283,"mmm -YYYY")</f>
        <v>Mar -2026</v>
      </c>
    </row>
    <row r="3284" spans="1:7" x14ac:dyDescent="0.3">
      <c r="A3284" s="4">
        <v>2298493</v>
      </c>
      <c r="B3284" t="s">
        <v>2401</v>
      </c>
      <c r="C3284" s="4" t="s">
        <v>1010</v>
      </c>
      <c r="D3284" s="4" t="s">
        <v>209</v>
      </c>
      <c r="E3284" s="4" t="s">
        <v>375</v>
      </c>
      <c r="F3284" s="1">
        <v>46085</v>
      </c>
      <c r="G3284" t="str">
        <f t="shared" si="110"/>
        <v>Mar -2026</v>
      </c>
    </row>
    <row r="3285" spans="1:7" x14ac:dyDescent="0.3">
      <c r="A3285" s="4">
        <v>2299938</v>
      </c>
      <c r="B3285" t="s">
        <v>2402</v>
      </c>
      <c r="C3285" s="4" t="s">
        <v>1010</v>
      </c>
      <c r="D3285" s="4" t="s">
        <v>209</v>
      </c>
      <c r="E3285" s="4" t="s">
        <v>375</v>
      </c>
      <c r="F3285" s="1">
        <v>46085</v>
      </c>
      <c r="G3285" t="str">
        <f t="shared" si="110"/>
        <v>Mar -2026</v>
      </c>
    </row>
    <row r="3286" spans="1:7" x14ac:dyDescent="0.3">
      <c r="A3286" s="4">
        <v>2299948</v>
      </c>
      <c r="B3286" t="s">
        <v>2403</v>
      </c>
      <c r="C3286" s="4" t="s">
        <v>1010</v>
      </c>
      <c r="D3286" s="4" t="s">
        <v>209</v>
      </c>
      <c r="E3286" s="4" t="s">
        <v>375</v>
      </c>
      <c r="F3286" s="1">
        <v>46085</v>
      </c>
      <c r="G3286" t="str">
        <f t="shared" si="110"/>
        <v>Mar -2026</v>
      </c>
    </row>
    <row r="3287" spans="1:7" x14ac:dyDescent="0.3">
      <c r="A3287" s="4">
        <v>2297411</v>
      </c>
      <c r="B3287" t="s">
        <v>2404</v>
      </c>
      <c r="C3287" s="4" t="s">
        <v>1010</v>
      </c>
      <c r="D3287" s="4" t="s">
        <v>1020</v>
      </c>
      <c r="E3287" s="4" t="s">
        <v>2310</v>
      </c>
      <c r="F3287" s="1">
        <v>46085</v>
      </c>
      <c r="G3287" t="str">
        <f t="shared" si="110"/>
        <v>Mar -2026</v>
      </c>
    </row>
    <row r="3288" spans="1:7" x14ac:dyDescent="0.3">
      <c r="A3288" s="4">
        <v>200003386</v>
      </c>
      <c r="B3288" t="s">
        <v>2405</v>
      </c>
      <c r="C3288" s="4" t="s">
        <v>1010</v>
      </c>
      <c r="D3288" s="4" t="s">
        <v>192</v>
      </c>
      <c r="E3288" s="4" t="s">
        <v>342</v>
      </c>
      <c r="F3288" s="1">
        <v>46085</v>
      </c>
      <c r="G3288" t="str">
        <f t="shared" si="110"/>
        <v>Mar -2026</v>
      </c>
    </row>
    <row r="3289" spans="1:7" x14ac:dyDescent="0.3">
      <c r="A3289" s="4">
        <v>2278900</v>
      </c>
      <c r="B3289" t="s">
        <v>2387</v>
      </c>
      <c r="C3289" s="4" t="s">
        <v>1010</v>
      </c>
      <c r="D3289" s="4" t="s">
        <v>1259</v>
      </c>
      <c r="E3289" s="4" t="s">
        <v>228</v>
      </c>
      <c r="F3289" s="1">
        <v>46085</v>
      </c>
      <c r="G3289" t="str">
        <f t="shared" si="110"/>
        <v>Mar -2026</v>
      </c>
    </row>
    <row r="3290" spans="1:7" x14ac:dyDescent="0.3">
      <c r="A3290" s="4">
        <v>2298007</v>
      </c>
      <c r="B3290" t="s">
        <v>2406</v>
      </c>
      <c r="C3290" s="4" t="s">
        <v>1010</v>
      </c>
      <c r="D3290" s="4" t="s">
        <v>1259</v>
      </c>
      <c r="E3290" s="4" t="s">
        <v>228</v>
      </c>
      <c r="F3290" s="1">
        <v>46085</v>
      </c>
      <c r="G3290" t="str">
        <f t="shared" si="110"/>
        <v>Mar -2026</v>
      </c>
    </row>
    <row r="3291" spans="1:7" x14ac:dyDescent="0.3">
      <c r="A3291" s="4">
        <v>2295531</v>
      </c>
      <c r="B3291" t="s">
        <v>2342</v>
      </c>
      <c r="C3291" s="4" t="s">
        <v>1010</v>
      </c>
      <c r="D3291" s="4" t="s">
        <v>1020</v>
      </c>
      <c r="E3291" s="4" t="s">
        <v>2028</v>
      </c>
      <c r="F3291" s="1">
        <v>46085</v>
      </c>
      <c r="G3291" t="str">
        <f t="shared" si="110"/>
        <v>Mar -2026</v>
      </c>
    </row>
    <row r="3292" spans="1:7" x14ac:dyDescent="0.3">
      <c r="A3292" s="4">
        <v>2295022</v>
      </c>
      <c r="B3292" t="s">
        <v>2407</v>
      </c>
      <c r="C3292" s="4" t="s">
        <v>1010</v>
      </c>
      <c r="D3292" s="4" t="s">
        <v>1020</v>
      </c>
      <c r="E3292" s="4" t="s">
        <v>2028</v>
      </c>
      <c r="F3292" s="1">
        <v>46085</v>
      </c>
      <c r="G3292" t="str">
        <f t="shared" si="110"/>
        <v>Mar -2026</v>
      </c>
    </row>
    <row r="3293" spans="1:7" x14ac:dyDescent="0.3">
      <c r="A3293" s="4">
        <v>2302384</v>
      </c>
      <c r="B3293" t="s">
        <v>2408</v>
      </c>
      <c r="C3293" s="4" t="s">
        <v>1010</v>
      </c>
      <c r="D3293" s="4" t="s">
        <v>1020</v>
      </c>
      <c r="E3293" s="4" t="s">
        <v>2310</v>
      </c>
      <c r="F3293" s="1">
        <v>46085</v>
      </c>
      <c r="G3293" t="str">
        <f t="shared" si="110"/>
        <v>Mar -2026</v>
      </c>
    </row>
    <row r="3294" spans="1:7" x14ac:dyDescent="0.3">
      <c r="A3294" s="4">
        <v>2302481</v>
      </c>
      <c r="B3294" t="s">
        <v>2409</v>
      </c>
      <c r="C3294" s="4" t="s">
        <v>1010</v>
      </c>
      <c r="D3294" s="4" t="s">
        <v>209</v>
      </c>
      <c r="E3294" s="4" t="s">
        <v>196</v>
      </c>
      <c r="F3294" s="1">
        <v>46085</v>
      </c>
      <c r="G3294" t="str">
        <f t="shared" si="110"/>
        <v>Mar -2026</v>
      </c>
    </row>
    <row r="3295" spans="1:7" x14ac:dyDescent="0.3">
      <c r="A3295" s="4">
        <v>200003420</v>
      </c>
      <c r="B3295" t="s">
        <v>2410</v>
      </c>
      <c r="C3295" s="3" t="s">
        <v>1604</v>
      </c>
      <c r="D3295" s="4" t="s">
        <v>2031</v>
      </c>
      <c r="E3295" s="4" t="s">
        <v>1317</v>
      </c>
      <c r="F3295" s="1">
        <v>46085</v>
      </c>
      <c r="G3295" t="str">
        <f t="shared" si="110"/>
        <v>Mar -2026</v>
      </c>
    </row>
    <row r="3296" spans="1:7" x14ac:dyDescent="0.3">
      <c r="A3296" s="4">
        <v>900006630</v>
      </c>
      <c r="B3296" t="s">
        <v>2411</v>
      </c>
      <c r="C3296" s="3" t="s">
        <v>1604</v>
      </c>
      <c r="D3296" s="4" t="s">
        <v>2018</v>
      </c>
      <c r="E3296" s="4" t="s">
        <v>1877</v>
      </c>
      <c r="F3296" s="1">
        <v>46085</v>
      </c>
      <c r="G3296" t="str">
        <f t="shared" si="110"/>
        <v>Mar -2026</v>
      </c>
    </row>
    <row r="3297" spans="1:7" x14ac:dyDescent="0.3">
      <c r="A3297" s="4">
        <v>900006196</v>
      </c>
      <c r="B3297" t="s">
        <v>2079</v>
      </c>
      <c r="C3297" s="3" t="s">
        <v>1604</v>
      </c>
      <c r="D3297" s="4" t="s">
        <v>2018</v>
      </c>
      <c r="E3297" s="4" t="s">
        <v>1877</v>
      </c>
      <c r="F3297" s="1">
        <v>46085</v>
      </c>
      <c r="G3297" t="str">
        <f t="shared" si="110"/>
        <v>Mar -2026</v>
      </c>
    </row>
    <row r="3298" spans="1:7" x14ac:dyDescent="0.3">
      <c r="A3298" s="4">
        <v>100005574</v>
      </c>
      <c r="B3298" t="s">
        <v>2412</v>
      </c>
      <c r="C3298" s="3" t="s">
        <v>1011</v>
      </c>
      <c r="D3298" s="4" t="s">
        <v>2015</v>
      </c>
      <c r="E3298" s="4" t="s">
        <v>976</v>
      </c>
      <c r="F3298" s="1">
        <v>46085</v>
      </c>
      <c r="G3298" t="str">
        <f t="shared" si="110"/>
        <v>Mar -2026</v>
      </c>
    </row>
    <row r="3299" spans="1:7" x14ac:dyDescent="0.3">
      <c r="A3299" s="4">
        <v>100005575</v>
      </c>
      <c r="B3299" t="s">
        <v>2413</v>
      </c>
      <c r="C3299" s="3" t="s">
        <v>1011</v>
      </c>
      <c r="D3299" s="4" t="s">
        <v>2015</v>
      </c>
      <c r="E3299" s="4" t="s">
        <v>968</v>
      </c>
      <c r="F3299" s="1">
        <v>46085</v>
      </c>
      <c r="G3299" t="str">
        <f t="shared" si="110"/>
        <v>Mar -2026</v>
      </c>
    </row>
    <row r="3300" spans="1:7" x14ac:dyDescent="0.3">
      <c r="A3300" s="4">
        <v>100005554</v>
      </c>
      <c r="B3300" t="s">
        <v>2398</v>
      </c>
      <c r="C3300" s="3" t="s">
        <v>1011</v>
      </c>
      <c r="D3300" s="4" t="s">
        <v>2015</v>
      </c>
      <c r="E3300" s="4" t="s">
        <v>978</v>
      </c>
      <c r="F3300" s="1">
        <v>46085</v>
      </c>
      <c r="G3300" t="str">
        <f t="shared" si="110"/>
        <v>Mar -2026</v>
      </c>
    </row>
    <row r="3301" spans="1:7" x14ac:dyDescent="0.3">
      <c r="A3301" s="4">
        <v>2293164</v>
      </c>
      <c r="B3301" t="s">
        <v>2367</v>
      </c>
      <c r="C3301" s="3" t="s">
        <v>1604</v>
      </c>
      <c r="D3301" s="4" t="s">
        <v>2031</v>
      </c>
      <c r="E3301" s="4" t="s">
        <v>2310</v>
      </c>
      <c r="F3301" s="1">
        <v>46085</v>
      </c>
      <c r="G3301" t="str">
        <f t="shared" si="110"/>
        <v>Mar -2026</v>
      </c>
    </row>
    <row r="3302" spans="1:7" x14ac:dyDescent="0.3">
      <c r="A3302" s="4">
        <v>2301849</v>
      </c>
      <c r="B3302" t="s">
        <v>2224</v>
      </c>
      <c r="C3302" s="4" t="s">
        <v>1010</v>
      </c>
      <c r="D3302" s="4" t="s">
        <v>209</v>
      </c>
      <c r="E3302" s="4" t="s">
        <v>375</v>
      </c>
      <c r="F3302" s="1">
        <v>46086</v>
      </c>
      <c r="G3302" t="str">
        <f t="shared" si="110"/>
        <v>Mar -2026</v>
      </c>
    </row>
    <row r="3303" spans="1:7" x14ac:dyDescent="0.3">
      <c r="A3303" s="4">
        <v>2301779</v>
      </c>
      <c r="B3303" t="s">
        <v>2224</v>
      </c>
      <c r="C3303" s="4" t="s">
        <v>1010</v>
      </c>
      <c r="D3303" s="4" t="s">
        <v>209</v>
      </c>
      <c r="E3303" s="4" t="s">
        <v>375</v>
      </c>
      <c r="F3303" s="1">
        <v>46086</v>
      </c>
      <c r="G3303" t="str">
        <f t="shared" si="110"/>
        <v>Mar -2026</v>
      </c>
    </row>
    <row r="3304" spans="1:7" x14ac:dyDescent="0.3">
      <c r="A3304" s="4">
        <v>2301865</v>
      </c>
      <c r="B3304" t="s">
        <v>2224</v>
      </c>
      <c r="C3304" s="4" t="s">
        <v>1010</v>
      </c>
      <c r="D3304" s="4" t="s">
        <v>209</v>
      </c>
      <c r="E3304" s="4" t="s">
        <v>375</v>
      </c>
      <c r="F3304" s="1">
        <v>46086</v>
      </c>
      <c r="G3304" t="str">
        <f t="shared" si="110"/>
        <v>Mar -2026</v>
      </c>
    </row>
    <row r="3305" spans="1:7" x14ac:dyDescent="0.3">
      <c r="A3305" s="4">
        <v>2301790</v>
      </c>
      <c r="B3305" t="s">
        <v>2224</v>
      </c>
      <c r="C3305" s="4" t="s">
        <v>1010</v>
      </c>
      <c r="D3305" s="4" t="s">
        <v>209</v>
      </c>
      <c r="E3305" s="4" t="s">
        <v>375</v>
      </c>
      <c r="F3305" s="1">
        <v>46086</v>
      </c>
      <c r="G3305" t="str">
        <f t="shared" si="110"/>
        <v>Mar -2026</v>
      </c>
    </row>
    <row r="3306" spans="1:7" x14ac:dyDescent="0.3">
      <c r="A3306" s="4">
        <v>2301941</v>
      </c>
      <c r="B3306" t="s">
        <v>2224</v>
      </c>
      <c r="C3306" s="4" t="s">
        <v>1010</v>
      </c>
      <c r="D3306" s="4" t="s">
        <v>209</v>
      </c>
      <c r="E3306" s="4" t="s">
        <v>375</v>
      </c>
      <c r="F3306" s="1">
        <v>46086</v>
      </c>
      <c r="G3306" t="str">
        <f t="shared" si="110"/>
        <v>Mar -2026</v>
      </c>
    </row>
    <row r="3307" spans="1:7" x14ac:dyDescent="0.3">
      <c r="A3307" s="4">
        <v>2302483</v>
      </c>
      <c r="B3307" t="s">
        <v>2414</v>
      </c>
      <c r="C3307" s="4" t="s">
        <v>1010</v>
      </c>
      <c r="D3307" s="4" t="s">
        <v>209</v>
      </c>
      <c r="E3307" s="4" t="s">
        <v>375</v>
      </c>
      <c r="F3307" s="1">
        <v>46086</v>
      </c>
      <c r="G3307" t="str">
        <f t="shared" si="110"/>
        <v>Mar -2026</v>
      </c>
    </row>
    <row r="3308" spans="1:7" x14ac:dyDescent="0.3">
      <c r="A3308" s="4">
        <v>2304404</v>
      </c>
      <c r="B3308" t="s">
        <v>2415</v>
      </c>
      <c r="C3308" s="4" t="s">
        <v>1010</v>
      </c>
      <c r="D3308" s="4" t="s">
        <v>209</v>
      </c>
      <c r="E3308" s="4" t="s">
        <v>210</v>
      </c>
      <c r="F3308" s="1">
        <v>46086</v>
      </c>
      <c r="G3308" t="str">
        <f t="shared" si="110"/>
        <v>Mar -2026</v>
      </c>
    </row>
    <row r="3309" spans="1:7" x14ac:dyDescent="0.3">
      <c r="A3309" s="4">
        <v>2304405</v>
      </c>
      <c r="B3309" t="s">
        <v>2416</v>
      </c>
      <c r="C3309" s="4" t="s">
        <v>1010</v>
      </c>
      <c r="D3309" s="4" t="s">
        <v>209</v>
      </c>
      <c r="E3309" s="4" t="s">
        <v>291</v>
      </c>
      <c r="F3309" s="1">
        <v>46086</v>
      </c>
      <c r="G3309" t="str">
        <f t="shared" si="110"/>
        <v>Mar -2026</v>
      </c>
    </row>
    <row r="3310" spans="1:7" x14ac:dyDescent="0.3">
      <c r="A3310" s="4">
        <v>2301345</v>
      </c>
      <c r="B3310" t="s">
        <v>2417</v>
      </c>
      <c r="C3310" s="4" t="s">
        <v>1010</v>
      </c>
      <c r="D3310" s="4" t="s">
        <v>1020</v>
      </c>
      <c r="E3310" s="4" t="s">
        <v>2310</v>
      </c>
      <c r="F3310" s="1">
        <v>46086</v>
      </c>
      <c r="G3310" t="str">
        <f t="shared" si="110"/>
        <v>Mar -2026</v>
      </c>
    </row>
    <row r="3311" spans="1:7" x14ac:dyDescent="0.3">
      <c r="A3311" s="4">
        <v>2256682</v>
      </c>
      <c r="B3311" t="s">
        <v>2418</v>
      </c>
      <c r="C3311" s="4" t="s">
        <v>1010</v>
      </c>
      <c r="D3311" s="4" t="s">
        <v>1020</v>
      </c>
      <c r="E3311" s="4" t="s">
        <v>2310</v>
      </c>
      <c r="F3311" s="1">
        <v>46086</v>
      </c>
      <c r="G3311" t="str">
        <f t="shared" si="110"/>
        <v>Mar -2026</v>
      </c>
    </row>
    <row r="3312" spans="1:7" x14ac:dyDescent="0.3">
      <c r="A3312" s="4">
        <v>2302198</v>
      </c>
      <c r="B3312" t="s">
        <v>2419</v>
      </c>
      <c r="C3312" s="4" t="s">
        <v>1010</v>
      </c>
      <c r="D3312" s="4" t="s">
        <v>1020</v>
      </c>
      <c r="E3312" s="4" t="s">
        <v>2310</v>
      </c>
      <c r="F3312" s="1">
        <v>46086</v>
      </c>
      <c r="G3312" t="str">
        <f t="shared" si="110"/>
        <v>Mar -2026</v>
      </c>
    </row>
    <row r="3313" spans="1:7" x14ac:dyDescent="0.3">
      <c r="A3313" s="4">
        <v>2302204</v>
      </c>
      <c r="B3313" t="s">
        <v>2420</v>
      </c>
      <c r="C3313" s="4" t="s">
        <v>1010</v>
      </c>
      <c r="D3313" s="4" t="s">
        <v>1020</v>
      </c>
      <c r="E3313" s="4" t="s">
        <v>2310</v>
      </c>
      <c r="F3313" s="1">
        <v>46086</v>
      </c>
      <c r="G3313" t="str">
        <f t="shared" si="110"/>
        <v>Mar -2026</v>
      </c>
    </row>
    <row r="3314" spans="1:7" x14ac:dyDescent="0.3">
      <c r="A3314" s="4">
        <v>2301600</v>
      </c>
      <c r="B3314" t="s">
        <v>2421</v>
      </c>
      <c r="C3314" s="4" t="s">
        <v>1010</v>
      </c>
      <c r="D3314" s="4" t="s">
        <v>1020</v>
      </c>
      <c r="E3314" s="4" t="s">
        <v>2310</v>
      </c>
      <c r="F3314" s="1">
        <v>46086</v>
      </c>
      <c r="G3314" t="str">
        <f t="shared" si="110"/>
        <v>Mar -2026</v>
      </c>
    </row>
    <row r="3315" spans="1:7" x14ac:dyDescent="0.3">
      <c r="A3315" s="4">
        <v>900006647</v>
      </c>
      <c r="B3315" t="s">
        <v>2422</v>
      </c>
      <c r="C3315" s="4" t="s">
        <v>1010</v>
      </c>
      <c r="D3315" s="4" t="s">
        <v>209</v>
      </c>
      <c r="E3315" s="4" t="s">
        <v>1877</v>
      </c>
      <c r="F3315" s="1">
        <v>46086</v>
      </c>
      <c r="G3315" t="str">
        <f t="shared" si="110"/>
        <v>Mar -2026</v>
      </c>
    </row>
    <row r="3316" spans="1:7" x14ac:dyDescent="0.3">
      <c r="A3316" s="4">
        <v>2295531</v>
      </c>
      <c r="B3316" t="s">
        <v>2342</v>
      </c>
      <c r="C3316" s="4" t="s">
        <v>1010</v>
      </c>
      <c r="D3316" s="4" t="s">
        <v>1020</v>
      </c>
      <c r="E3316" s="4" t="s">
        <v>2028</v>
      </c>
      <c r="F3316" s="1">
        <v>46086</v>
      </c>
      <c r="G3316" t="str">
        <f t="shared" si="110"/>
        <v>Mar -2026</v>
      </c>
    </row>
    <row r="3317" spans="1:7" x14ac:dyDescent="0.3">
      <c r="A3317" s="4">
        <v>2305083</v>
      </c>
      <c r="B3317" t="s">
        <v>2423</v>
      </c>
      <c r="C3317" s="4" t="s">
        <v>1010</v>
      </c>
      <c r="D3317" s="4" t="s">
        <v>1020</v>
      </c>
      <c r="E3317" s="4" t="s">
        <v>2310</v>
      </c>
      <c r="F3317" s="1">
        <v>46086</v>
      </c>
      <c r="G3317" t="str">
        <f t="shared" si="110"/>
        <v>Mar -2026</v>
      </c>
    </row>
    <row r="3318" spans="1:7" x14ac:dyDescent="0.3">
      <c r="A3318" s="4">
        <v>2305053</v>
      </c>
      <c r="B3318" t="s">
        <v>2424</v>
      </c>
      <c r="C3318" s="4" t="s">
        <v>1010</v>
      </c>
      <c r="D3318" s="4" t="s">
        <v>209</v>
      </c>
      <c r="E3318" s="4" t="s">
        <v>210</v>
      </c>
      <c r="F3318" s="1">
        <v>46086</v>
      </c>
      <c r="G3318" t="str">
        <f t="shared" si="110"/>
        <v>Mar -2026</v>
      </c>
    </row>
    <row r="3319" spans="1:7" x14ac:dyDescent="0.3">
      <c r="A3319" s="4">
        <v>2305056</v>
      </c>
      <c r="B3319" t="s">
        <v>2425</v>
      </c>
      <c r="C3319" s="4" t="s">
        <v>1010</v>
      </c>
      <c r="D3319" s="4" t="s">
        <v>209</v>
      </c>
      <c r="E3319" s="4" t="s">
        <v>291</v>
      </c>
      <c r="F3319" s="1">
        <v>46086</v>
      </c>
      <c r="G3319" t="str">
        <f t="shared" si="110"/>
        <v>Mar -2026</v>
      </c>
    </row>
    <row r="3320" spans="1:7" x14ac:dyDescent="0.3">
      <c r="A3320" s="4">
        <v>2302009</v>
      </c>
      <c r="B3320" t="s">
        <v>2426</v>
      </c>
      <c r="C3320" s="4" t="s">
        <v>1010</v>
      </c>
      <c r="D3320" s="4" t="s">
        <v>1020</v>
      </c>
      <c r="E3320" s="4" t="s">
        <v>2310</v>
      </c>
      <c r="F3320" s="1">
        <v>46086</v>
      </c>
      <c r="G3320" t="str">
        <f t="shared" si="110"/>
        <v>Mar -2026</v>
      </c>
    </row>
    <row r="3321" spans="1:7" x14ac:dyDescent="0.3">
      <c r="A3321" s="4">
        <v>2302010</v>
      </c>
      <c r="B3321" t="s">
        <v>2427</v>
      </c>
      <c r="C3321" s="4" t="s">
        <v>1010</v>
      </c>
      <c r="D3321" s="4" t="s">
        <v>1020</v>
      </c>
      <c r="E3321" s="4" t="s">
        <v>2310</v>
      </c>
      <c r="F3321" s="1">
        <v>46086</v>
      </c>
      <c r="G3321" t="str">
        <f t="shared" si="110"/>
        <v>Mar -2026</v>
      </c>
    </row>
    <row r="3322" spans="1:7" x14ac:dyDescent="0.3">
      <c r="A3322" s="4">
        <v>2302208</v>
      </c>
      <c r="B3322" t="s">
        <v>2428</v>
      </c>
      <c r="C3322" s="4" t="s">
        <v>1010</v>
      </c>
      <c r="D3322" s="4" t="s">
        <v>1020</v>
      </c>
      <c r="E3322" s="4" t="s">
        <v>2310</v>
      </c>
      <c r="F3322" s="1">
        <v>46086</v>
      </c>
      <c r="G3322" t="str">
        <f t="shared" si="110"/>
        <v>Mar -2026</v>
      </c>
    </row>
    <row r="3323" spans="1:7" x14ac:dyDescent="0.3">
      <c r="A3323" s="4">
        <v>2302336</v>
      </c>
      <c r="B3323" t="s">
        <v>2429</v>
      </c>
      <c r="C3323" s="4" t="s">
        <v>1010</v>
      </c>
      <c r="D3323" s="4" t="s">
        <v>1020</v>
      </c>
      <c r="E3323" s="4" t="s">
        <v>2310</v>
      </c>
      <c r="F3323" s="1">
        <v>46086</v>
      </c>
      <c r="G3323" t="str">
        <f t="shared" si="110"/>
        <v>Mar -2026</v>
      </c>
    </row>
    <row r="3324" spans="1:7" x14ac:dyDescent="0.3">
      <c r="A3324" s="4">
        <v>2302337</v>
      </c>
      <c r="B3324" t="s">
        <v>2430</v>
      </c>
      <c r="C3324" s="4" t="s">
        <v>1010</v>
      </c>
      <c r="D3324" s="4" t="s">
        <v>1020</v>
      </c>
      <c r="E3324" s="4" t="s">
        <v>2310</v>
      </c>
      <c r="F3324" s="1">
        <v>46086</v>
      </c>
      <c r="G3324" t="str">
        <f t="shared" si="110"/>
        <v>Mar -2026</v>
      </c>
    </row>
    <row r="3325" spans="1:7" x14ac:dyDescent="0.3">
      <c r="A3325" s="4">
        <v>2302338</v>
      </c>
      <c r="B3325" t="s">
        <v>2431</v>
      </c>
      <c r="C3325" s="4" t="s">
        <v>1010</v>
      </c>
      <c r="D3325" s="4" t="s">
        <v>1020</v>
      </c>
      <c r="E3325" s="4" t="s">
        <v>2310</v>
      </c>
      <c r="F3325" s="1">
        <v>46086</v>
      </c>
      <c r="G3325" t="str">
        <f t="shared" si="110"/>
        <v>Mar -2026</v>
      </c>
    </row>
    <row r="3326" spans="1:7" x14ac:dyDescent="0.3">
      <c r="A3326" s="4">
        <v>2305363</v>
      </c>
      <c r="B3326" t="s">
        <v>2432</v>
      </c>
      <c r="C3326" s="4" t="s">
        <v>1010</v>
      </c>
      <c r="D3326" s="4" t="s">
        <v>1020</v>
      </c>
      <c r="E3326" s="4" t="s">
        <v>2310</v>
      </c>
      <c r="F3326" s="1">
        <v>46086</v>
      </c>
      <c r="G3326" t="str">
        <f t="shared" si="110"/>
        <v>Mar -2026</v>
      </c>
    </row>
    <row r="3327" spans="1:7" x14ac:dyDescent="0.3">
      <c r="A3327" s="4">
        <v>2302010</v>
      </c>
      <c r="B3327" t="s">
        <v>2427</v>
      </c>
      <c r="C3327" s="4" t="s">
        <v>1010</v>
      </c>
      <c r="D3327" s="4" t="s">
        <v>1020</v>
      </c>
      <c r="E3327" s="4" t="s">
        <v>2310</v>
      </c>
      <c r="F3327" s="1">
        <v>46086</v>
      </c>
      <c r="G3327" t="str">
        <f t="shared" si="110"/>
        <v>Mar -2026</v>
      </c>
    </row>
    <row r="3328" spans="1:7" x14ac:dyDescent="0.3">
      <c r="A3328" s="4">
        <v>2302372</v>
      </c>
      <c r="B3328" t="s">
        <v>2433</v>
      </c>
      <c r="C3328" s="4" t="s">
        <v>1010</v>
      </c>
      <c r="D3328" s="4" t="s">
        <v>1020</v>
      </c>
      <c r="E3328" s="4" t="s">
        <v>2310</v>
      </c>
      <c r="F3328" s="1">
        <v>46086</v>
      </c>
      <c r="G3328" t="str">
        <f t="shared" si="110"/>
        <v>Mar -2026</v>
      </c>
    </row>
    <row r="3329" spans="1:7" x14ac:dyDescent="0.3">
      <c r="A3329" s="4">
        <v>2304437</v>
      </c>
      <c r="B3329" t="s">
        <v>2434</v>
      </c>
      <c r="C3329" s="4" t="s">
        <v>1010</v>
      </c>
      <c r="D3329" s="4" t="s">
        <v>1020</v>
      </c>
      <c r="E3329" s="4" t="s">
        <v>2310</v>
      </c>
      <c r="F3329" s="1">
        <v>46086</v>
      </c>
      <c r="G3329" t="str">
        <f t="shared" si="110"/>
        <v>Mar -2026</v>
      </c>
    </row>
    <row r="3330" spans="1:7" x14ac:dyDescent="0.3">
      <c r="A3330" s="4">
        <v>2304408</v>
      </c>
      <c r="B3330" t="s">
        <v>2435</v>
      </c>
      <c r="C3330" s="4" t="s">
        <v>1010</v>
      </c>
      <c r="D3330" s="4" t="s">
        <v>1020</v>
      </c>
      <c r="E3330" s="4" t="s">
        <v>2310</v>
      </c>
      <c r="F3330" s="1">
        <v>46086</v>
      </c>
      <c r="G3330" t="str">
        <f t="shared" si="110"/>
        <v>Mar -2026</v>
      </c>
    </row>
    <row r="3331" spans="1:7" x14ac:dyDescent="0.3">
      <c r="A3331" s="4">
        <v>2304438</v>
      </c>
      <c r="B3331" t="s">
        <v>2436</v>
      </c>
      <c r="C3331" s="4" t="s">
        <v>1010</v>
      </c>
      <c r="D3331" s="4" t="s">
        <v>1020</v>
      </c>
      <c r="E3331" s="4" t="s">
        <v>2310</v>
      </c>
      <c r="F3331" s="1">
        <v>46086</v>
      </c>
      <c r="G3331" t="str">
        <f t="shared" si="110"/>
        <v>Mar -2026</v>
      </c>
    </row>
    <row r="3332" spans="1:7" x14ac:dyDescent="0.3">
      <c r="A3332" s="4">
        <v>2302386</v>
      </c>
      <c r="B3332" t="s">
        <v>2437</v>
      </c>
      <c r="C3332" s="4" t="s">
        <v>1010</v>
      </c>
      <c r="D3332" s="4" t="s">
        <v>1259</v>
      </c>
      <c r="E3332" s="4" t="s">
        <v>228</v>
      </c>
      <c r="F3332" s="1">
        <v>46086</v>
      </c>
      <c r="G3332" t="str">
        <f t="shared" si="110"/>
        <v>Mar -2026</v>
      </c>
    </row>
    <row r="3333" spans="1:7" x14ac:dyDescent="0.3">
      <c r="A3333" s="4">
        <v>900006576</v>
      </c>
      <c r="B3333" t="s">
        <v>2438</v>
      </c>
      <c r="C3333" s="4" t="s">
        <v>1010</v>
      </c>
      <c r="D3333" s="4" t="s">
        <v>1551</v>
      </c>
      <c r="E3333" s="4" t="s">
        <v>1877</v>
      </c>
      <c r="F3333" s="1">
        <v>46086</v>
      </c>
      <c r="G3333" t="str">
        <f t="shared" si="110"/>
        <v>Mar -2026</v>
      </c>
    </row>
    <row r="3334" spans="1:7" x14ac:dyDescent="0.3">
      <c r="A3334" s="4">
        <v>2256682</v>
      </c>
      <c r="B3334" t="s">
        <v>2418</v>
      </c>
      <c r="C3334" s="3" t="s">
        <v>1604</v>
      </c>
      <c r="D3334" s="4" t="s">
        <v>2031</v>
      </c>
      <c r="E3334" s="4" t="s">
        <v>2310</v>
      </c>
      <c r="F3334" s="1">
        <v>46086</v>
      </c>
      <c r="G3334" t="str">
        <f t="shared" si="110"/>
        <v>Mar -2026</v>
      </c>
    </row>
    <row r="3335" spans="1:7" x14ac:dyDescent="0.3">
      <c r="A3335" s="4">
        <v>900006640</v>
      </c>
      <c r="B3335" t="s">
        <v>2439</v>
      </c>
      <c r="C3335" s="3" t="s">
        <v>1604</v>
      </c>
      <c r="D3335" s="4" t="s">
        <v>2018</v>
      </c>
      <c r="E3335" s="4" t="s">
        <v>1877</v>
      </c>
      <c r="F3335" s="1">
        <v>46086</v>
      </c>
      <c r="G3335" t="str">
        <f t="shared" si="110"/>
        <v>Mar -2026</v>
      </c>
    </row>
    <row r="3336" spans="1:7" x14ac:dyDescent="0.3">
      <c r="A3336" s="4">
        <v>100005593</v>
      </c>
      <c r="B3336" t="s">
        <v>1940</v>
      </c>
      <c r="C3336" s="3" t="s">
        <v>1011</v>
      </c>
      <c r="D3336" s="4" t="s">
        <v>2015</v>
      </c>
      <c r="E3336" s="4" t="s">
        <v>976</v>
      </c>
      <c r="F3336" s="1">
        <v>46086</v>
      </c>
      <c r="G3336" t="str">
        <f t="shared" si="110"/>
        <v>Mar -2026</v>
      </c>
    </row>
    <row r="3337" spans="1:7" x14ac:dyDescent="0.3">
      <c r="A3337" s="4">
        <v>100005602</v>
      </c>
      <c r="B3337" t="s">
        <v>2440</v>
      </c>
      <c r="C3337" s="3" t="s">
        <v>1011</v>
      </c>
      <c r="D3337" s="4" t="s">
        <v>2015</v>
      </c>
      <c r="E3337" s="4" t="s">
        <v>984</v>
      </c>
      <c r="F3337" s="1">
        <v>46086</v>
      </c>
      <c r="G3337" t="str">
        <f t="shared" si="110"/>
        <v>Mar -2026</v>
      </c>
    </row>
    <row r="3338" spans="1:7" x14ac:dyDescent="0.3">
      <c r="A3338" s="4">
        <v>2298039</v>
      </c>
      <c r="B3338" t="s">
        <v>2441</v>
      </c>
      <c r="C3338" s="4" t="s">
        <v>1010</v>
      </c>
      <c r="D3338" s="4" t="s">
        <v>1020</v>
      </c>
      <c r="E3338" s="4" t="s">
        <v>2028</v>
      </c>
      <c r="F3338" s="1">
        <v>46086</v>
      </c>
      <c r="G3338" t="str">
        <f t="shared" si="110"/>
        <v>Mar -2026</v>
      </c>
    </row>
    <row r="3339" spans="1:7" x14ac:dyDescent="0.3">
      <c r="A3339" s="4">
        <v>2305795</v>
      </c>
      <c r="B3339" t="s">
        <v>2442</v>
      </c>
      <c r="C3339" s="4" t="s">
        <v>1010</v>
      </c>
      <c r="D3339" s="4" t="s">
        <v>1020</v>
      </c>
      <c r="E3339" s="4" t="s">
        <v>2310</v>
      </c>
      <c r="F3339" s="1">
        <v>46086</v>
      </c>
      <c r="G3339" t="str">
        <f t="shared" si="110"/>
        <v>Mar -2026</v>
      </c>
    </row>
    <row r="3340" spans="1:7" x14ac:dyDescent="0.3">
      <c r="A3340" s="4">
        <v>2305795</v>
      </c>
      <c r="B3340" t="s">
        <v>2442</v>
      </c>
      <c r="C3340" s="3" t="s">
        <v>1604</v>
      </c>
      <c r="D3340" s="4" t="s">
        <v>2031</v>
      </c>
      <c r="E3340" s="4" t="s">
        <v>2310</v>
      </c>
      <c r="F3340" s="1">
        <v>46086</v>
      </c>
      <c r="G3340" t="str">
        <f t="shared" si="110"/>
        <v>Mar -2026</v>
      </c>
    </row>
    <row r="3341" spans="1:7" x14ac:dyDescent="0.3">
      <c r="A3341" s="4">
        <v>2309019</v>
      </c>
      <c r="B3341" t="s">
        <v>2443</v>
      </c>
      <c r="C3341" s="4" t="s">
        <v>1010</v>
      </c>
      <c r="D3341" s="4" t="s">
        <v>1020</v>
      </c>
      <c r="E3341" s="4" t="s">
        <v>2310</v>
      </c>
      <c r="F3341" s="1">
        <v>46090</v>
      </c>
      <c r="G3341" t="str">
        <f t="shared" si="110"/>
        <v>Mar -2026</v>
      </c>
    </row>
    <row r="3342" spans="1:7" x14ac:dyDescent="0.3">
      <c r="A3342" s="4">
        <v>2309028</v>
      </c>
      <c r="B3342" t="s">
        <v>2444</v>
      </c>
      <c r="C3342" s="4" t="s">
        <v>1010</v>
      </c>
      <c r="D3342" s="4" t="s">
        <v>1020</v>
      </c>
      <c r="E3342" s="4" t="s">
        <v>2310</v>
      </c>
      <c r="F3342" s="1">
        <v>46090</v>
      </c>
      <c r="G3342" t="str">
        <f t="shared" si="110"/>
        <v>Mar -2026</v>
      </c>
    </row>
    <row r="3343" spans="1:7" x14ac:dyDescent="0.3">
      <c r="A3343" s="4">
        <v>2308917</v>
      </c>
      <c r="B3343" t="s">
        <v>2445</v>
      </c>
      <c r="C3343" s="4" t="s">
        <v>1010</v>
      </c>
      <c r="D3343" s="4" t="s">
        <v>1020</v>
      </c>
      <c r="E3343" s="4" t="s">
        <v>2310</v>
      </c>
      <c r="F3343" s="1">
        <v>46090</v>
      </c>
      <c r="G3343" t="str">
        <f t="shared" si="110"/>
        <v>Mar -2026</v>
      </c>
    </row>
    <row r="3344" spans="1:7" x14ac:dyDescent="0.3">
      <c r="A3344" s="4">
        <v>2315931</v>
      </c>
      <c r="B3344" t="s">
        <v>2122</v>
      </c>
      <c r="C3344" s="4" t="s">
        <v>1010</v>
      </c>
      <c r="D3344" s="4" t="s">
        <v>209</v>
      </c>
      <c r="E3344" s="4" t="s">
        <v>228</v>
      </c>
      <c r="F3344" s="1">
        <v>46090</v>
      </c>
      <c r="G3344" t="str">
        <f t="shared" si="110"/>
        <v>Mar -2026</v>
      </c>
    </row>
    <row r="3345" spans="1:7" x14ac:dyDescent="0.3">
      <c r="A3345" s="4">
        <v>2315708</v>
      </c>
      <c r="B3345" t="s">
        <v>1452</v>
      </c>
      <c r="C3345" s="4" t="s">
        <v>1010</v>
      </c>
      <c r="D3345" s="4" t="s">
        <v>209</v>
      </c>
      <c r="E3345" s="4" t="s">
        <v>225</v>
      </c>
      <c r="F3345" s="1">
        <v>46090</v>
      </c>
      <c r="G3345" t="str">
        <f t="shared" si="110"/>
        <v>Mar -2026</v>
      </c>
    </row>
    <row r="3346" spans="1:7" x14ac:dyDescent="0.3">
      <c r="A3346" s="4">
        <v>2315725</v>
      </c>
      <c r="B3346" t="s">
        <v>2446</v>
      </c>
      <c r="C3346" s="4" t="s">
        <v>1010</v>
      </c>
      <c r="D3346" s="4" t="s">
        <v>209</v>
      </c>
      <c r="E3346" s="4" t="s">
        <v>225</v>
      </c>
      <c r="F3346" s="1">
        <v>46090</v>
      </c>
      <c r="G3346" t="str">
        <f t="shared" si="110"/>
        <v>Mar -2026</v>
      </c>
    </row>
    <row r="3347" spans="1:7" x14ac:dyDescent="0.3">
      <c r="A3347" s="4">
        <v>2315709</v>
      </c>
      <c r="B3347" t="s">
        <v>2446</v>
      </c>
      <c r="C3347" s="4" t="s">
        <v>1010</v>
      </c>
      <c r="D3347" s="4" t="s">
        <v>209</v>
      </c>
      <c r="E3347" s="4" t="s">
        <v>225</v>
      </c>
      <c r="F3347" s="1">
        <v>46090</v>
      </c>
      <c r="G3347" t="str">
        <f t="shared" ref="G3347:G3405" si="111">TEXT(F3347,"mmm -YYYY")</f>
        <v>Mar -2026</v>
      </c>
    </row>
    <row r="3348" spans="1:7" x14ac:dyDescent="0.3">
      <c r="A3348" s="4">
        <v>2307833</v>
      </c>
      <c r="B3348" t="s">
        <v>2447</v>
      </c>
      <c r="C3348" s="4" t="s">
        <v>1010</v>
      </c>
      <c r="D3348" s="4" t="s">
        <v>364</v>
      </c>
      <c r="E3348" s="4" t="s">
        <v>15</v>
      </c>
      <c r="F3348" s="1">
        <v>46090</v>
      </c>
      <c r="G3348" t="str">
        <f t="shared" si="111"/>
        <v>Mar -2026</v>
      </c>
    </row>
    <row r="3349" spans="1:7" x14ac:dyDescent="0.3">
      <c r="A3349" s="4">
        <v>2307881</v>
      </c>
      <c r="B3349" t="s">
        <v>2448</v>
      </c>
      <c r="C3349" s="4" t="s">
        <v>1010</v>
      </c>
      <c r="D3349" s="4" t="s">
        <v>364</v>
      </c>
      <c r="E3349" s="4" t="s">
        <v>15</v>
      </c>
      <c r="F3349" s="1">
        <v>46090</v>
      </c>
      <c r="G3349" t="str">
        <f t="shared" si="111"/>
        <v>Mar -2026</v>
      </c>
    </row>
    <row r="3350" spans="1:7" x14ac:dyDescent="0.3">
      <c r="A3350" s="4">
        <v>2307868</v>
      </c>
      <c r="B3350" t="s">
        <v>2449</v>
      </c>
      <c r="C3350" s="4" t="s">
        <v>1010</v>
      </c>
      <c r="D3350" s="4" t="s">
        <v>364</v>
      </c>
      <c r="E3350" s="4" t="s">
        <v>15</v>
      </c>
      <c r="F3350" s="1">
        <v>46090</v>
      </c>
      <c r="G3350" t="str">
        <f t="shared" si="111"/>
        <v>Mar -2026</v>
      </c>
    </row>
    <row r="3351" spans="1:7" x14ac:dyDescent="0.3">
      <c r="A3351" s="4">
        <v>900006685</v>
      </c>
      <c r="B3351" t="s">
        <v>2450</v>
      </c>
      <c r="C3351" s="4" t="s">
        <v>1010</v>
      </c>
      <c r="D3351" s="4" t="s">
        <v>209</v>
      </c>
      <c r="E3351" s="4" t="s">
        <v>1877</v>
      </c>
      <c r="F3351" s="1">
        <v>46090</v>
      </c>
      <c r="G3351" t="str">
        <f t="shared" si="111"/>
        <v>Mar -2026</v>
      </c>
    </row>
    <row r="3352" spans="1:7" x14ac:dyDescent="0.3">
      <c r="A3352" s="4">
        <v>2308459</v>
      </c>
      <c r="B3352" t="s">
        <v>2451</v>
      </c>
      <c r="C3352" s="4" t="s">
        <v>1010</v>
      </c>
      <c r="D3352" s="4" t="s">
        <v>209</v>
      </c>
      <c r="E3352" s="4" t="s">
        <v>435</v>
      </c>
      <c r="F3352" s="1">
        <v>46090</v>
      </c>
      <c r="G3352" t="str">
        <f t="shared" si="111"/>
        <v>Mar -2026</v>
      </c>
    </row>
    <row r="3353" spans="1:7" x14ac:dyDescent="0.3">
      <c r="A3353" s="4">
        <v>2308581</v>
      </c>
      <c r="B3353" t="s">
        <v>301</v>
      </c>
      <c r="C3353" s="4" t="s">
        <v>1010</v>
      </c>
      <c r="D3353" s="4" t="s">
        <v>1020</v>
      </c>
      <c r="E3353" s="4" t="s">
        <v>268</v>
      </c>
      <c r="F3353" s="1">
        <v>46090</v>
      </c>
      <c r="G3353" t="str">
        <f t="shared" si="111"/>
        <v>Mar -2026</v>
      </c>
    </row>
    <row r="3354" spans="1:7" x14ac:dyDescent="0.3">
      <c r="A3354" s="4">
        <v>2308415</v>
      </c>
      <c r="B3354" t="s">
        <v>2452</v>
      </c>
      <c r="C3354" s="4" t="s">
        <v>1010</v>
      </c>
      <c r="D3354" s="4" t="s">
        <v>1020</v>
      </c>
      <c r="E3354" s="4" t="s">
        <v>2028</v>
      </c>
      <c r="F3354" s="1">
        <v>46090</v>
      </c>
      <c r="G3354" t="str">
        <f t="shared" si="111"/>
        <v>Mar -2026</v>
      </c>
    </row>
    <row r="3355" spans="1:7" x14ac:dyDescent="0.3">
      <c r="A3355" s="4">
        <v>2308320</v>
      </c>
      <c r="B3355" t="s">
        <v>2453</v>
      </c>
      <c r="C3355" s="4" t="s">
        <v>1010</v>
      </c>
      <c r="D3355" s="4" t="s">
        <v>1020</v>
      </c>
      <c r="E3355" s="4" t="s">
        <v>2028</v>
      </c>
      <c r="F3355" s="1">
        <v>46090</v>
      </c>
      <c r="G3355" t="str">
        <f t="shared" si="111"/>
        <v>Mar -2026</v>
      </c>
    </row>
    <row r="3356" spans="1:7" x14ac:dyDescent="0.3">
      <c r="A3356" s="4">
        <v>2316734</v>
      </c>
      <c r="B3356" t="s">
        <v>2454</v>
      </c>
      <c r="C3356" s="4" t="s">
        <v>1010</v>
      </c>
      <c r="D3356" s="4" t="s">
        <v>1020</v>
      </c>
      <c r="E3356" s="4" t="s">
        <v>2310</v>
      </c>
      <c r="F3356" s="1">
        <v>46090</v>
      </c>
      <c r="G3356" t="str">
        <f t="shared" si="111"/>
        <v>Mar -2026</v>
      </c>
    </row>
    <row r="3357" spans="1:7" x14ac:dyDescent="0.3">
      <c r="A3357" s="4">
        <v>2316745</v>
      </c>
      <c r="B3357" t="s">
        <v>2455</v>
      </c>
      <c r="C3357" s="4" t="s">
        <v>1010</v>
      </c>
      <c r="D3357" s="4" t="s">
        <v>1020</v>
      </c>
      <c r="E3357" s="4" t="s">
        <v>2310</v>
      </c>
      <c r="F3357" s="1">
        <v>46090</v>
      </c>
      <c r="G3357" t="str">
        <f t="shared" si="111"/>
        <v>Mar -2026</v>
      </c>
    </row>
    <row r="3358" spans="1:7" x14ac:dyDescent="0.3">
      <c r="A3358" s="4">
        <v>100005625</v>
      </c>
      <c r="B3358" t="s">
        <v>2456</v>
      </c>
      <c r="C3358" s="3" t="s">
        <v>1011</v>
      </c>
      <c r="D3358" s="4" t="s">
        <v>2015</v>
      </c>
      <c r="E3358" s="4" t="s">
        <v>967</v>
      </c>
      <c r="F3358" s="1">
        <v>46090</v>
      </c>
      <c r="G3358" t="str">
        <f t="shared" si="111"/>
        <v>Mar -2026</v>
      </c>
    </row>
    <row r="3359" spans="1:7" x14ac:dyDescent="0.3">
      <c r="A3359" s="4">
        <v>100005633</v>
      </c>
      <c r="B3359" t="s">
        <v>2457</v>
      </c>
      <c r="C3359" s="3" t="s">
        <v>1011</v>
      </c>
      <c r="D3359" s="4" t="s">
        <v>2015</v>
      </c>
      <c r="E3359" s="4" t="s">
        <v>967</v>
      </c>
      <c r="F3359" s="1">
        <v>46090</v>
      </c>
      <c r="G3359" t="str">
        <f t="shared" si="111"/>
        <v>Mar -2026</v>
      </c>
    </row>
    <row r="3360" spans="1:7" x14ac:dyDescent="0.3">
      <c r="A3360" s="4">
        <v>2315768</v>
      </c>
      <c r="B3360" t="s">
        <v>2458</v>
      </c>
      <c r="C3360" s="4" t="s">
        <v>1010</v>
      </c>
      <c r="D3360" s="4" t="s">
        <v>1259</v>
      </c>
      <c r="E3360" s="4" t="s">
        <v>228</v>
      </c>
      <c r="F3360" s="1">
        <v>46091</v>
      </c>
      <c r="G3360" t="str">
        <f t="shared" si="111"/>
        <v>Mar -2026</v>
      </c>
    </row>
    <row r="3361" spans="1:7" x14ac:dyDescent="0.3">
      <c r="A3361" s="4">
        <v>2317182</v>
      </c>
      <c r="B3361" t="s">
        <v>2459</v>
      </c>
      <c r="C3361" s="4" t="s">
        <v>1010</v>
      </c>
      <c r="D3361" s="4" t="s">
        <v>209</v>
      </c>
      <c r="E3361" s="4" t="s">
        <v>375</v>
      </c>
      <c r="F3361" s="1">
        <v>46091</v>
      </c>
      <c r="G3361" t="str">
        <f t="shared" si="111"/>
        <v>Mar -2026</v>
      </c>
    </row>
    <row r="3362" spans="1:7" x14ac:dyDescent="0.3">
      <c r="A3362" s="4">
        <v>2317231</v>
      </c>
      <c r="B3362" t="s">
        <v>2459</v>
      </c>
      <c r="C3362" s="4" t="s">
        <v>1010</v>
      </c>
      <c r="D3362" s="4" t="s">
        <v>209</v>
      </c>
      <c r="E3362" s="4" t="s">
        <v>375</v>
      </c>
      <c r="F3362" s="1">
        <v>46091</v>
      </c>
      <c r="G3362" t="str">
        <f t="shared" si="111"/>
        <v>Mar -2026</v>
      </c>
    </row>
    <row r="3363" spans="1:7" x14ac:dyDescent="0.3">
      <c r="A3363" s="4">
        <v>2318404</v>
      </c>
      <c r="B3363" t="s">
        <v>2460</v>
      </c>
      <c r="C3363" s="4" t="s">
        <v>1010</v>
      </c>
      <c r="D3363" s="4" t="s">
        <v>209</v>
      </c>
      <c r="E3363" s="4" t="s">
        <v>375</v>
      </c>
      <c r="F3363" s="1">
        <v>46091</v>
      </c>
      <c r="G3363" t="str">
        <f t="shared" si="111"/>
        <v>Mar -2026</v>
      </c>
    </row>
    <row r="3364" spans="1:7" x14ac:dyDescent="0.3">
      <c r="A3364" s="4">
        <v>2318310</v>
      </c>
      <c r="B3364" t="s">
        <v>2461</v>
      </c>
      <c r="C3364" s="4" t="s">
        <v>1010</v>
      </c>
      <c r="D3364" s="4" t="s">
        <v>209</v>
      </c>
      <c r="E3364" s="4" t="s">
        <v>375</v>
      </c>
      <c r="F3364" s="1">
        <v>46091</v>
      </c>
      <c r="G3364" t="str">
        <f t="shared" si="111"/>
        <v>Mar -2026</v>
      </c>
    </row>
    <row r="3365" spans="1:7" x14ac:dyDescent="0.3">
      <c r="A3365" s="4">
        <v>2318437</v>
      </c>
      <c r="B3365" t="s">
        <v>2462</v>
      </c>
      <c r="C3365" s="4" t="s">
        <v>1010</v>
      </c>
      <c r="D3365" s="4" t="s">
        <v>209</v>
      </c>
      <c r="E3365" s="4" t="s">
        <v>196</v>
      </c>
      <c r="F3365" s="1">
        <v>46091</v>
      </c>
      <c r="G3365" t="str">
        <f t="shared" si="111"/>
        <v>Mar -2026</v>
      </c>
    </row>
    <row r="3366" spans="1:7" x14ac:dyDescent="0.3">
      <c r="A3366" s="4">
        <v>2318511</v>
      </c>
      <c r="B3366" t="s">
        <v>2463</v>
      </c>
      <c r="C3366" s="4" t="s">
        <v>1010</v>
      </c>
      <c r="D3366" s="4" t="s">
        <v>209</v>
      </c>
      <c r="E3366" s="4" t="s">
        <v>196</v>
      </c>
      <c r="F3366" s="1">
        <v>46091</v>
      </c>
      <c r="G3366" t="str">
        <f t="shared" si="111"/>
        <v>Mar -2026</v>
      </c>
    </row>
    <row r="3367" spans="1:7" x14ac:dyDescent="0.3">
      <c r="A3367" s="4">
        <v>2318510</v>
      </c>
      <c r="B3367" t="s">
        <v>2464</v>
      </c>
      <c r="C3367" s="4" t="s">
        <v>1010</v>
      </c>
      <c r="D3367" s="4" t="s">
        <v>209</v>
      </c>
      <c r="E3367" s="4" t="s">
        <v>375</v>
      </c>
      <c r="F3367" s="1">
        <v>46091</v>
      </c>
      <c r="G3367" t="str">
        <f t="shared" si="111"/>
        <v>Mar -2026</v>
      </c>
    </row>
    <row r="3368" spans="1:7" x14ac:dyDescent="0.3">
      <c r="A3368" s="4">
        <v>2318438</v>
      </c>
      <c r="B3368" t="s">
        <v>2465</v>
      </c>
      <c r="C3368" s="4" t="s">
        <v>1010</v>
      </c>
      <c r="D3368" s="4" t="s">
        <v>209</v>
      </c>
      <c r="E3368" s="4" t="s">
        <v>196</v>
      </c>
      <c r="F3368" s="1">
        <v>46091</v>
      </c>
      <c r="G3368" t="str">
        <f t="shared" si="111"/>
        <v>Mar -2026</v>
      </c>
    </row>
    <row r="3369" spans="1:7" x14ac:dyDescent="0.3">
      <c r="A3369" s="4">
        <v>2318522</v>
      </c>
      <c r="B3369" t="s">
        <v>2466</v>
      </c>
      <c r="C3369" s="4" t="s">
        <v>1010</v>
      </c>
      <c r="D3369" s="4" t="s">
        <v>209</v>
      </c>
      <c r="E3369" s="4" t="s">
        <v>375</v>
      </c>
      <c r="F3369" s="1">
        <v>46091</v>
      </c>
      <c r="G3369" t="str">
        <f t="shared" si="111"/>
        <v>Mar -2026</v>
      </c>
    </row>
    <row r="3370" spans="1:7" x14ac:dyDescent="0.3">
      <c r="A3370" s="4">
        <v>2318497</v>
      </c>
      <c r="B3370" t="s">
        <v>2467</v>
      </c>
      <c r="C3370" s="4" t="s">
        <v>1010</v>
      </c>
      <c r="D3370" s="4" t="s">
        <v>209</v>
      </c>
      <c r="E3370" s="4" t="s">
        <v>375</v>
      </c>
      <c r="F3370" s="1">
        <v>46091</v>
      </c>
      <c r="G3370" t="str">
        <f t="shared" si="111"/>
        <v>Mar -2026</v>
      </c>
    </row>
    <row r="3371" spans="1:7" x14ac:dyDescent="0.3">
      <c r="A3371" s="4">
        <v>2318547</v>
      </c>
      <c r="B3371" t="s">
        <v>2468</v>
      </c>
      <c r="C3371" s="4" t="s">
        <v>1010</v>
      </c>
      <c r="D3371" s="4" t="s">
        <v>209</v>
      </c>
      <c r="E3371" s="4" t="s">
        <v>375</v>
      </c>
      <c r="F3371" s="1">
        <v>46091</v>
      </c>
      <c r="G3371" t="str">
        <f t="shared" si="111"/>
        <v>Mar -2026</v>
      </c>
    </row>
    <row r="3372" spans="1:7" x14ac:dyDescent="0.3">
      <c r="A3372" s="4">
        <v>2318498</v>
      </c>
      <c r="B3372" t="s">
        <v>2469</v>
      </c>
      <c r="C3372" s="4" t="s">
        <v>1010</v>
      </c>
      <c r="D3372" s="4" t="s">
        <v>209</v>
      </c>
      <c r="E3372" s="4" t="s">
        <v>375</v>
      </c>
      <c r="F3372" s="1">
        <v>46091</v>
      </c>
      <c r="G3372" t="str">
        <f t="shared" si="111"/>
        <v>Mar -2026</v>
      </c>
    </row>
    <row r="3373" spans="1:7" x14ac:dyDescent="0.3">
      <c r="A3373" s="4">
        <v>2316529</v>
      </c>
      <c r="B3373" t="s">
        <v>2470</v>
      </c>
      <c r="C3373" s="4" t="s">
        <v>1010</v>
      </c>
      <c r="D3373" s="4" t="s">
        <v>1020</v>
      </c>
      <c r="E3373" s="4" t="s">
        <v>2310</v>
      </c>
      <c r="F3373" s="1">
        <v>46091</v>
      </c>
      <c r="G3373" t="str">
        <f t="shared" si="111"/>
        <v>Mar -2026</v>
      </c>
    </row>
    <row r="3374" spans="1:7" x14ac:dyDescent="0.3">
      <c r="A3374" s="4">
        <v>2316798</v>
      </c>
      <c r="B3374" t="s">
        <v>2471</v>
      </c>
      <c r="C3374" s="4" t="s">
        <v>1010</v>
      </c>
      <c r="D3374" s="4" t="s">
        <v>1020</v>
      </c>
      <c r="E3374" s="4" t="s">
        <v>2310</v>
      </c>
      <c r="F3374" s="1">
        <v>46091</v>
      </c>
      <c r="G3374" t="str">
        <f t="shared" si="111"/>
        <v>Mar -2026</v>
      </c>
    </row>
    <row r="3375" spans="1:7" x14ac:dyDescent="0.3">
      <c r="A3375" s="4">
        <v>2309034</v>
      </c>
      <c r="B3375" t="s">
        <v>2472</v>
      </c>
      <c r="C3375" s="4" t="s">
        <v>1010</v>
      </c>
      <c r="D3375" s="4" t="s">
        <v>1020</v>
      </c>
      <c r="E3375" s="4" t="s">
        <v>2310</v>
      </c>
      <c r="F3375" s="1">
        <v>46091</v>
      </c>
      <c r="G3375" t="str">
        <f t="shared" si="111"/>
        <v>Mar -2026</v>
      </c>
    </row>
    <row r="3376" spans="1:7" x14ac:dyDescent="0.3">
      <c r="A3376" s="4">
        <v>2318996</v>
      </c>
      <c r="B3376" t="s">
        <v>2473</v>
      </c>
      <c r="C3376" s="4" t="s">
        <v>1010</v>
      </c>
      <c r="D3376" s="4" t="s">
        <v>209</v>
      </c>
      <c r="E3376" s="4" t="s">
        <v>225</v>
      </c>
      <c r="F3376" s="1">
        <v>46091</v>
      </c>
      <c r="G3376" t="str">
        <f t="shared" si="111"/>
        <v>Mar -2026</v>
      </c>
    </row>
    <row r="3377" spans="1:7" x14ac:dyDescent="0.3">
      <c r="A3377" s="4">
        <v>2319792</v>
      </c>
      <c r="B3377" t="s">
        <v>2474</v>
      </c>
      <c r="C3377" s="4" t="s">
        <v>1010</v>
      </c>
      <c r="D3377" s="4" t="s">
        <v>209</v>
      </c>
      <c r="E3377" s="4" t="s">
        <v>196</v>
      </c>
      <c r="F3377" s="1">
        <v>46091</v>
      </c>
      <c r="G3377" t="str">
        <f t="shared" si="111"/>
        <v>Mar -2026</v>
      </c>
    </row>
    <row r="3378" spans="1:7" x14ac:dyDescent="0.3">
      <c r="A3378" s="4">
        <v>2319803</v>
      </c>
      <c r="B3378" t="s">
        <v>2474</v>
      </c>
      <c r="C3378" s="4" t="s">
        <v>1010</v>
      </c>
      <c r="D3378" s="4" t="s">
        <v>209</v>
      </c>
      <c r="E3378" s="4" t="s">
        <v>196</v>
      </c>
      <c r="F3378" s="1">
        <v>46091</v>
      </c>
      <c r="G3378" t="str">
        <f t="shared" si="111"/>
        <v>Mar -2026</v>
      </c>
    </row>
    <row r="3379" spans="1:7" x14ac:dyDescent="0.3">
      <c r="A3379" s="4">
        <v>2308052</v>
      </c>
      <c r="B3379" t="s">
        <v>2475</v>
      </c>
      <c r="C3379" s="4" t="s">
        <v>1010</v>
      </c>
      <c r="D3379" s="4" t="s">
        <v>1020</v>
      </c>
      <c r="E3379" s="4" t="s">
        <v>2028</v>
      </c>
      <c r="F3379" s="1">
        <v>46091</v>
      </c>
      <c r="G3379" t="str">
        <f t="shared" si="111"/>
        <v>Mar -2026</v>
      </c>
    </row>
    <row r="3380" spans="1:7" x14ac:dyDescent="0.3">
      <c r="A3380" s="4">
        <v>2320089</v>
      </c>
      <c r="B3380" t="s">
        <v>2476</v>
      </c>
      <c r="C3380" s="4" t="s">
        <v>1010</v>
      </c>
      <c r="D3380" s="4" t="s">
        <v>1020</v>
      </c>
      <c r="E3380" s="4" t="s">
        <v>2310</v>
      </c>
      <c r="F3380" s="1">
        <v>46091</v>
      </c>
      <c r="G3380" t="str">
        <f t="shared" si="111"/>
        <v>Mar -2026</v>
      </c>
    </row>
    <row r="3381" spans="1:7" x14ac:dyDescent="0.3">
      <c r="A3381" s="4">
        <v>2309789</v>
      </c>
      <c r="B3381" t="s">
        <v>2477</v>
      </c>
      <c r="C3381" s="4" t="s">
        <v>1010</v>
      </c>
      <c r="D3381" s="4" t="s">
        <v>1020</v>
      </c>
      <c r="E3381" s="4" t="s">
        <v>2028</v>
      </c>
      <c r="F3381" s="1">
        <v>46091</v>
      </c>
      <c r="G3381" t="str">
        <f t="shared" si="111"/>
        <v>Mar -2026</v>
      </c>
    </row>
    <row r="3382" spans="1:7" x14ac:dyDescent="0.3">
      <c r="A3382" s="4">
        <v>2316798</v>
      </c>
      <c r="B3382" t="s">
        <v>2471</v>
      </c>
      <c r="C3382" s="4" t="s">
        <v>1010</v>
      </c>
      <c r="D3382" s="4" t="s">
        <v>1020</v>
      </c>
      <c r="E3382" s="4" t="s">
        <v>2310</v>
      </c>
      <c r="F3382" s="1">
        <v>46091</v>
      </c>
      <c r="G3382" t="str">
        <f t="shared" si="111"/>
        <v>Mar -2026</v>
      </c>
    </row>
    <row r="3383" spans="1:7" x14ac:dyDescent="0.3">
      <c r="A3383" s="4">
        <v>2320469</v>
      </c>
      <c r="B3383" t="s">
        <v>2369</v>
      </c>
      <c r="C3383" s="4" t="s">
        <v>1010</v>
      </c>
      <c r="D3383" s="4" t="s">
        <v>209</v>
      </c>
      <c r="E3383" s="4" t="s">
        <v>291</v>
      </c>
      <c r="F3383" s="1">
        <v>46091</v>
      </c>
      <c r="G3383" t="str">
        <f t="shared" si="111"/>
        <v>Mar -2026</v>
      </c>
    </row>
    <row r="3384" spans="1:7" x14ac:dyDescent="0.3">
      <c r="A3384" s="4">
        <v>2320236</v>
      </c>
      <c r="B3384" t="s">
        <v>2478</v>
      </c>
      <c r="C3384" s="4" t="s">
        <v>1010</v>
      </c>
      <c r="D3384" s="4" t="s">
        <v>209</v>
      </c>
      <c r="E3384" s="4" t="s">
        <v>196</v>
      </c>
      <c r="F3384" s="1">
        <v>46091</v>
      </c>
      <c r="G3384" t="str">
        <f t="shared" si="111"/>
        <v>Mar -2026</v>
      </c>
    </row>
    <row r="3385" spans="1:7" x14ac:dyDescent="0.3">
      <c r="A3385" s="4">
        <v>900006731</v>
      </c>
      <c r="B3385" t="s">
        <v>2479</v>
      </c>
      <c r="C3385" s="4" t="s">
        <v>1010</v>
      </c>
      <c r="D3385" s="4" t="s">
        <v>1551</v>
      </c>
      <c r="E3385" s="4" t="s">
        <v>1877</v>
      </c>
      <c r="F3385" s="1">
        <v>46091</v>
      </c>
      <c r="G3385" t="str">
        <f t="shared" si="111"/>
        <v>Mar -2026</v>
      </c>
    </row>
    <row r="3386" spans="1:7" x14ac:dyDescent="0.3">
      <c r="A3386" s="4">
        <v>2316529</v>
      </c>
      <c r="B3386" t="s">
        <v>2470</v>
      </c>
      <c r="C3386" s="3" t="s">
        <v>1604</v>
      </c>
      <c r="D3386" s="4" t="s">
        <v>2031</v>
      </c>
      <c r="E3386" s="4" t="s">
        <v>2310</v>
      </c>
      <c r="F3386" s="1">
        <v>46091</v>
      </c>
      <c r="G3386" t="str">
        <f t="shared" si="111"/>
        <v>Mar -2026</v>
      </c>
    </row>
    <row r="3387" spans="1:7" x14ac:dyDescent="0.3">
      <c r="A3387" s="4">
        <v>900006650</v>
      </c>
      <c r="B3387" t="s">
        <v>2480</v>
      </c>
      <c r="C3387" s="3" t="s">
        <v>1604</v>
      </c>
      <c r="D3387" s="4" t="s">
        <v>2018</v>
      </c>
      <c r="E3387" s="4" t="s">
        <v>1877</v>
      </c>
      <c r="F3387" s="1">
        <v>46091</v>
      </c>
      <c r="G3387" t="str">
        <f t="shared" si="111"/>
        <v>Mar -2026</v>
      </c>
    </row>
    <row r="3388" spans="1:7" x14ac:dyDescent="0.3">
      <c r="A3388" s="4">
        <v>2305653</v>
      </c>
      <c r="B3388" t="s">
        <v>2481</v>
      </c>
      <c r="C3388" s="3" t="s">
        <v>1604</v>
      </c>
      <c r="D3388" s="4" t="s">
        <v>2031</v>
      </c>
      <c r="E3388" s="4" t="s">
        <v>228</v>
      </c>
      <c r="F3388" s="1">
        <v>46091</v>
      </c>
      <c r="G3388" t="str">
        <f t="shared" si="111"/>
        <v>Mar -2026</v>
      </c>
    </row>
    <row r="3389" spans="1:7" x14ac:dyDescent="0.3">
      <c r="A3389" s="4">
        <v>900006596</v>
      </c>
      <c r="B3389" t="s">
        <v>2482</v>
      </c>
      <c r="C3389" s="3" t="s">
        <v>1604</v>
      </c>
      <c r="D3389" s="4" t="s">
        <v>2018</v>
      </c>
      <c r="E3389" s="4" t="s">
        <v>1877</v>
      </c>
      <c r="F3389" s="1">
        <v>46091</v>
      </c>
      <c r="G3389" t="str">
        <f t="shared" si="111"/>
        <v>Mar -2026</v>
      </c>
    </row>
    <row r="3390" spans="1:7" x14ac:dyDescent="0.3">
      <c r="A3390" s="4">
        <v>900006710</v>
      </c>
      <c r="B3390" t="s">
        <v>2483</v>
      </c>
      <c r="C3390" s="3" t="s">
        <v>1604</v>
      </c>
      <c r="D3390" s="4" t="s">
        <v>2031</v>
      </c>
      <c r="E3390" s="4" t="s">
        <v>1877</v>
      </c>
      <c r="F3390" s="1">
        <v>46091</v>
      </c>
      <c r="G3390" t="str">
        <f t="shared" si="111"/>
        <v>Mar -2026</v>
      </c>
    </row>
    <row r="3391" spans="1:7" x14ac:dyDescent="0.3">
      <c r="A3391" s="4">
        <v>900006703</v>
      </c>
      <c r="B3391" t="s">
        <v>2484</v>
      </c>
      <c r="C3391" s="3" t="s">
        <v>1011</v>
      </c>
      <c r="D3391" s="4" t="s">
        <v>973</v>
      </c>
      <c r="E3391" s="4" t="s">
        <v>1877</v>
      </c>
      <c r="F3391" s="1">
        <v>46091</v>
      </c>
      <c r="G3391" t="str">
        <f t="shared" si="111"/>
        <v>Mar -2026</v>
      </c>
    </row>
    <row r="3392" spans="1:7" x14ac:dyDescent="0.3">
      <c r="A3392" s="4">
        <v>2322797</v>
      </c>
      <c r="B3392" t="s">
        <v>2485</v>
      </c>
      <c r="C3392" s="4" t="s">
        <v>1010</v>
      </c>
      <c r="D3392" s="4" t="s">
        <v>209</v>
      </c>
      <c r="E3392" s="4" t="s">
        <v>210</v>
      </c>
      <c r="F3392" s="1">
        <v>46092</v>
      </c>
      <c r="G3392" t="str">
        <f t="shared" si="111"/>
        <v>Mar -2026</v>
      </c>
    </row>
    <row r="3393" spans="1:7" x14ac:dyDescent="0.3">
      <c r="A3393" s="4">
        <v>2322589</v>
      </c>
      <c r="B3393" t="s">
        <v>2486</v>
      </c>
      <c r="C3393" s="4" t="s">
        <v>1010</v>
      </c>
      <c r="D3393" s="4" t="s">
        <v>209</v>
      </c>
      <c r="E3393" s="4" t="s">
        <v>210</v>
      </c>
      <c r="F3393" s="1">
        <v>46092</v>
      </c>
      <c r="G3393" t="str">
        <f t="shared" si="111"/>
        <v>Mar -2026</v>
      </c>
    </row>
    <row r="3394" spans="1:7" x14ac:dyDescent="0.3">
      <c r="A3394" s="4">
        <v>2320727</v>
      </c>
      <c r="B3394" t="s">
        <v>2304</v>
      </c>
      <c r="C3394" s="4" t="s">
        <v>1010</v>
      </c>
      <c r="D3394" s="4" t="s">
        <v>209</v>
      </c>
      <c r="E3394" s="4" t="s">
        <v>2305</v>
      </c>
      <c r="F3394" s="1">
        <v>46092</v>
      </c>
      <c r="G3394" t="str">
        <f t="shared" si="111"/>
        <v>Mar -2026</v>
      </c>
    </row>
    <row r="3395" spans="1:7" x14ac:dyDescent="0.3">
      <c r="A3395" s="4">
        <v>2322666</v>
      </c>
      <c r="B3395" t="s">
        <v>2486</v>
      </c>
      <c r="C3395" s="4" t="s">
        <v>1010</v>
      </c>
      <c r="D3395" s="4" t="s">
        <v>209</v>
      </c>
      <c r="E3395" s="4" t="s">
        <v>210</v>
      </c>
      <c r="F3395" s="1">
        <v>46092</v>
      </c>
      <c r="G3395" t="str">
        <f t="shared" si="111"/>
        <v>Mar -2026</v>
      </c>
    </row>
    <row r="3396" spans="1:7" x14ac:dyDescent="0.3">
      <c r="A3396" s="4">
        <v>2321602</v>
      </c>
      <c r="B3396" t="s">
        <v>2487</v>
      </c>
      <c r="C3396" s="4" t="s">
        <v>1010</v>
      </c>
      <c r="D3396" s="4" t="s">
        <v>209</v>
      </c>
      <c r="E3396" s="4" t="s">
        <v>196</v>
      </c>
      <c r="F3396" s="1">
        <v>46092</v>
      </c>
      <c r="G3396" t="str">
        <f t="shared" si="111"/>
        <v>Mar -2026</v>
      </c>
    </row>
    <row r="3397" spans="1:7" x14ac:dyDescent="0.3">
      <c r="A3397" s="4">
        <v>2320783</v>
      </c>
      <c r="B3397" t="s">
        <v>2304</v>
      </c>
      <c r="C3397" s="4" t="s">
        <v>1010</v>
      </c>
      <c r="D3397" s="4" t="s">
        <v>209</v>
      </c>
      <c r="E3397" s="4" t="s">
        <v>2305</v>
      </c>
      <c r="F3397" s="1">
        <v>46092</v>
      </c>
      <c r="G3397" t="str">
        <f t="shared" si="111"/>
        <v>Mar -2026</v>
      </c>
    </row>
    <row r="3398" spans="1:7" x14ac:dyDescent="0.3">
      <c r="A3398" s="4">
        <v>2322799</v>
      </c>
      <c r="B3398" t="s">
        <v>2369</v>
      </c>
      <c r="C3398" s="4" t="s">
        <v>1010</v>
      </c>
      <c r="D3398" s="4" t="s">
        <v>209</v>
      </c>
      <c r="E3398" s="4" t="s">
        <v>291</v>
      </c>
      <c r="F3398" s="1">
        <v>46092</v>
      </c>
      <c r="G3398" t="str">
        <f t="shared" si="111"/>
        <v>Mar -2026</v>
      </c>
    </row>
    <row r="3399" spans="1:7" x14ac:dyDescent="0.3">
      <c r="A3399" s="4">
        <v>2274592</v>
      </c>
      <c r="B3399" t="s">
        <v>2488</v>
      </c>
      <c r="C3399" s="4" t="s">
        <v>1010</v>
      </c>
      <c r="D3399" s="4" t="s">
        <v>1020</v>
      </c>
      <c r="E3399" s="4" t="s">
        <v>2310</v>
      </c>
      <c r="F3399" s="1">
        <v>46092</v>
      </c>
      <c r="G3399" t="str">
        <f t="shared" si="111"/>
        <v>Mar -2026</v>
      </c>
    </row>
    <row r="3400" spans="1:7" x14ac:dyDescent="0.3">
      <c r="A3400" s="4">
        <v>2320832</v>
      </c>
      <c r="B3400" t="s">
        <v>1390</v>
      </c>
      <c r="C3400" s="4" t="s">
        <v>1010</v>
      </c>
      <c r="D3400" s="4" t="s">
        <v>209</v>
      </c>
      <c r="E3400" s="4" t="s">
        <v>225</v>
      </c>
      <c r="F3400" s="1">
        <v>46092</v>
      </c>
      <c r="G3400" t="str">
        <f t="shared" si="111"/>
        <v>Mar -2026</v>
      </c>
    </row>
    <row r="3401" spans="1:7" x14ac:dyDescent="0.3">
      <c r="A3401" s="4">
        <v>2320843</v>
      </c>
      <c r="B3401" t="s">
        <v>1390</v>
      </c>
      <c r="C3401" s="4" t="s">
        <v>1010</v>
      </c>
      <c r="D3401" s="4" t="s">
        <v>209</v>
      </c>
      <c r="E3401" s="4" t="s">
        <v>225</v>
      </c>
      <c r="F3401" s="1">
        <v>46092</v>
      </c>
      <c r="G3401" t="str">
        <f t="shared" si="111"/>
        <v>Mar -2026</v>
      </c>
    </row>
    <row r="3402" spans="1:7" x14ac:dyDescent="0.3">
      <c r="A3402" s="4">
        <v>900006634</v>
      </c>
      <c r="B3402" t="s">
        <v>2489</v>
      </c>
      <c r="C3402" s="3" t="s">
        <v>1604</v>
      </c>
      <c r="D3402" s="4" t="s">
        <v>2018</v>
      </c>
      <c r="E3402" s="4" t="s">
        <v>1877</v>
      </c>
      <c r="F3402" s="1">
        <v>46092</v>
      </c>
      <c r="G3402" t="str">
        <f t="shared" si="111"/>
        <v>Mar -2026</v>
      </c>
    </row>
    <row r="3403" spans="1:7" x14ac:dyDescent="0.3">
      <c r="A3403" s="4">
        <v>100005579</v>
      </c>
      <c r="B3403" t="s">
        <v>2490</v>
      </c>
      <c r="C3403" s="3" t="s">
        <v>1011</v>
      </c>
      <c r="D3403" s="4" t="s">
        <v>2015</v>
      </c>
      <c r="E3403" s="4" t="s">
        <v>981</v>
      </c>
      <c r="F3403" s="1">
        <v>46092</v>
      </c>
      <c r="G3403" t="str">
        <f t="shared" si="111"/>
        <v>Mar -2026</v>
      </c>
    </row>
    <row r="3404" spans="1:7" x14ac:dyDescent="0.3">
      <c r="A3404" s="4">
        <v>100005614</v>
      </c>
      <c r="B3404" t="s">
        <v>2491</v>
      </c>
      <c r="C3404" s="3" t="s">
        <v>1011</v>
      </c>
      <c r="D3404" s="4" t="s">
        <v>2015</v>
      </c>
      <c r="E3404" s="4" t="s">
        <v>981</v>
      </c>
      <c r="F3404" s="1">
        <v>46092</v>
      </c>
      <c r="G3404" t="str">
        <f t="shared" si="111"/>
        <v>Mar -2026</v>
      </c>
    </row>
    <row r="3405" spans="1:7" x14ac:dyDescent="0.3">
      <c r="A3405" s="4">
        <v>900006710</v>
      </c>
      <c r="B3405" t="s">
        <v>2483</v>
      </c>
      <c r="C3405" s="3" t="s">
        <v>1604</v>
      </c>
      <c r="D3405" s="4" t="s">
        <v>2031</v>
      </c>
      <c r="E3405" s="4" t="s">
        <v>1877</v>
      </c>
      <c r="F3405" s="1">
        <v>46092</v>
      </c>
      <c r="G3405" t="str">
        <f t="shared" si="111"/>
        <v>Mar -2026</v>
      </c>
    </row>
    <row r="3406" spans="1:7" x14ac:dyDescent="0.3">
      <c r="A3406" s="4">
        <v>100004577</v>
      </c>
      <c r="B3406" t="s">
        <v>2492</v>
      </c>
      <c r="C3406" s="3" t="s">
        <v>1011</v>
      </c>
      <c r="D3406" s="4" t="s">
        <v>2015</v>
      </c>
      <c r="E3406" s="4" t="s">
        <v>2106</v>
      </c>
      <c r="F3406" s="1">
        <v>46092</v>
      </c>
      <c r="G3406" t="str">
        <f t="shared" ref="G3406:G3469" si="112">TEXT(F3406,"mmm -YYYY")</f>
        <v>Mar -2026</v>
      </c>
    </row>
    <row r="3407" spans="1:7" x14ac:dyDescent="0.3">
      <c r="A3407" s="4">
        <v>100004519</v>
      </c>
      <c r="B3407" t="s">
        <v>2492</v>
      </c>
      <c r="C3407" s="3" t="s">
        <v>1011</v>
      </c>
      <c r="D3407" s="4" t="s">
        <v>2015</v>
      </c>
      <c r="E3407" s="4" t="s">
        <v>2106</v>
      </c>
      <c r="F3407" s="1">
        <v>46092</v>
      </c>
      <c r="G3407" t="str">
        <f t="shared" si="112"/>
        <v>Mar -2026</v>
      </c>
    </row>
    <row r="3408" spans="1:7" x14ac:dyDescent="0.3">
      <c r="A3408" s="4">
        <v>2324051</v>
      </c>
      <c r="B3408" t="s">
        <v>2493</v>
      </c>
      <c r="C3408" s="4" t="s">
        <v>1010</v>
      </c>
      <c r="D3408" s="4" t="s">
        <v>209</v>
      </c>
      <c r="E3408" s="4" t="s">
        <v>375</v>
      </c>
      <c r="F3408" s="1">
        <v>46093</v>
      </c>
      <c r="G3408" t="str">
        <f t="shared" si="112"/>
        <v>Mar -2026</v>
      </c>
    </row>
    <row r="3409" spans="1:7" x14ac:dyDescent="0.3">
      <c r="A3409" s="4">
        <v>2323959</v>
      </c>
      <c r="B3409" t="s">
        <v>2494</v>
      </c>
      <c r="C3409" s="4" t="s">
        <v>1010</v>
      </c>
      <c r="D3409" s="4" t="s">
        <v>209</v>
      </c>
      <c r="E3409" s="4" t="s">
        <v>375</v>
      </c>
      <c r="F3409" s="1">
        <v>46093</v>
      </c>
      <c r="G3409" t="str">
        <f t="shared" si="112"/>
        <v>Mar -2026</v>
      </c>
    </row>
    <row r="3410" spans="1:7" x14ac:dyDescent="0.3">
      <c r="A3410" s="4">
        <v>2323905</v>
      </c>
      <c r="B3410" t="s">
        <v>2495</v>
      </c>
      <c r="C3410" s="4" t="s">
        <v>1010</v>
      </c>
      <c r="D3410" s="4" t="s">
        <v>209</v>
      </c>
      <c r="E3410" s="4" t="s">
        <v>375</v>
      </c>
      <c r="F3410" s="1">
        <v>46093</v>
      </c>
      <c r="G3410" t="str">
        <f t="shared" si="112"/>
        <v>Mar -2026</v>
      </c>
    </row>
    <row r="3411" spans="1:7" x14ac:dyDescent="0.3">
      <c r="A3411" s="4">
        <v>2324002</v>
      </c>
      <c r="B3411" t="s">
        <v>2496</v>
      </c>
      <c r="C3411" s="4" t="s">
        <v>1010</v>
      </c>
      <c r="D3411" s="4" t="s">
        <v>209</v>
      </c>
      <c r="E3411" s="4" t="s">
        <v>375</v>
      </c>
      <c r="F3411" s="1">
        <v>46093</v>
      </c>
      <c r="G3411" t="str">
        <f t="shared" si="112"/>
        <v>Mar -2026</v>
      </c>
    </row>
    <row r="3412" spans="1:7" x14ac:dyDescent="0.3">
      <c r="A3412" s="4">
        <v>200001583</v>
      </c>
      <c r="B3412" t="s">
        <v>2497</v>
      </c>
      <c r="C3412" s="4" t="s">
        <v>1010</v>
      </c>
      <c r="D3412" s="4" t="s">
        <v>1229</v>
      </c>
      <c r="E3412" s="4" t="s">
        <v>7</v>
      </c>
      <c r="F3412" s="1">
        <v>46093</v>
      </c>
      <c r="G3412" t="str">
        <f t="shared" si="112"/>
        <v>Mar -2026</v>
      </c>
    </row>
    <row r="3413" spans="1:7" x14ac:dyDescent="0.3">
      <c r="A3413" s="4">
        <v>200001584</v>
      </c>
      <c r="B3413" t="s">
        <v>2498</v>
      </c>
      <c r="C3413" s="4" t="s">
        <v>1010</v>
      </c>
      <c r="D3413" s="4" t="s">
        <v>1229</v>
      </c>
      <c r="E3413" s="4" t="s">
        <v>7</v>
      </c>
      <c r="F3413" s="1">
        <v>46093</v>
      </c>
      <c r="G3413" t="str">
        <f t="shared" si="112"/>
        <v>Mar -2026</v>
      </c>
    </row>
    <row r="3414" spans="1:7" x14ac:dyDescent="0.3">
      <c r="A3414" s="4">
        <v>900006689</v>
      </c>
      <c r="B3414" t="s">
        <v>2499</v>
      </c>
      <c r="C3414" s="4" t="s">
        <v>1010</v>
      </c>
      <c r="D3414" s="4" t="s">
        <v>1551</v>
      </c>
      <c r="E3414" s="4" t="s">
        <v>1877</v>
      </c>
      <c r="F3414" s="1">
        <v>46093</v>
      </c>
      <c r="G3414" t="str">
        <f t="shared" si="112"/>
        <v>Mar -2026</v>
      </c>
    </row>
    <row r="3415" spans="1:7" x14ac:dyDescent="0.3">
      <c r="A3415" s="4">
        <v>900006759</v>
      </c>
      <c r="B3415" t="s">
        <v>2500</v>
      </c>
      <c r="C3415" s="4" t="s">
        <v>1010</v>
      </c>
      <c r="D3415" s="4" t="s">
        <v>1551</v>
      </c>
      <c r="E3415" s="4" t="s">
        <v>1877</v>
      </c>
      <c r="F3415" s="1">
        <v>46093</v>
      </c>
      <c r="G3415" t="str">
        <f t="shared" si="112"/>
        <v>Mar -2026</v>
      </c>
    </row>
    <row r="3416" spans="1:7" x14ac:dyDescent="0.3">
      <c r="A3416" s="4">
        <v>900006714</v>
      </c>
      <c r="B3416" t="s">
        <v>2501</v>
      </c>
      <c r="C3416" s="4" t="s">
        <v>1010</v>
      </c>
      <c r="D3416" s="4" t="s">
        <v>1551</v>
      </c>
      <c r="E3416" s="4" t="s">
        <v>1877</v>
      </c>
      <c r="F3416" s="1">
        <v>46093</v>
      </c>
      <c r="G3416" t="str">
        <f t="shared" si="112"/>
        <v>Mar -2026</v>
      </c>
    </row>
    <row r="3417" spans="1:7" x14ac:dyDescent="0.3">
      <c r="A3417" s="4">
        <v>100005643</v>
      </c>
      <c r="B3417" t="s">
        <v>2502</v>
      </c>
      <c r="C3417" s="3" t="s">
        <v>1011</v>
      </c>
      <c r="D3417" s="4" t="s">
        <v>2015</v>
      </c>
      <c r="E3417" s="4" t="s">
        <v>1877</v>
      </c>
      <c r="F3417" s="1">
        <v>46093</v>
      </c>
      <c r="G3417" t="str">
        <f t="shared" si="112"/>
        <v>Mar -2026</v>
      </c>
    </row>
    <row r="3418" spans="1:7" x14ac:dyDescent="0.3">
      <c r="A3418" s="4">
        <v>900006756</v>
      </c>
      <c r="B3418" t="s">
        <v>2503</v>
      </c>
      <c r="C3418" s="3" t="s">
        <v>1604</v>
      </c>
      <c r="D3418" s="4" t="s">
        <v>2031</v>
      </c>
      <c r="E3418" s="4" t="s">
        <v>1877</v>
      </c>
      <c r="F3418" s="1">
        <v>46093</v>
      </c>
      <c r="G3418" t="str">
        <f t="shared" si="112"/>
        <v>Mar -2026</v>
      </c>
    </row>
    <row r="3419" spans="1:7" x14ac:dyDescent="0.3">
      <c r="A3419" s="4">
        <v>900006752</v>
      </c>
      <c r="B3419" t="s">
        <v>2504</v>
      </c>
      <c r="C3419" s="3" t="s">
        <v>1604</v>
      </c>
      <c r="D3419" s="4" t="s">
        <v>2031</v>
      </c>
      <c r="E3419" s="4" t="s">
        <v>1877</v>
      </c>
      <c r="F3419" s="1">
        <v>46093</v>
      </c>
      <c r="G3419" t="str">
        <f t="shared" si="112"/>
        <v>Mar -2026</v>
      </c>
    </row>
    <row r="3420" spans="1:7" x14ac:dyDescent="0.3">
      <c r="A3420" s="4">
        <v>900006736</v>
      </c>
      <c r="B3420" t="s">
        <v>2505</v>
      </c>
      <c r="C3420" s="3" t="s">
        <v>1604</v>
      </c>
      <c r="D3420" s="4" t="s">
        <v>2018</v>
      </c>
      <c r="E3420" s="4" t="s">
        <v>1877</v>
      </c>
      <c r="F3420" s="1">
        <v>46093</v>
      </c>
      <c r="G3420" t="str">
        <f t="shared" si="112"/>
        <v>Mar -2026</v>
      </c>
    </row>
    <row r="3421" spans="1:7" x14ac:dyDescent="0.3">
      <c r="A3421" s="4">
        <v>100005644</v>
      </c>
      <c r="B3421" t="s">
        <v>2506</v>
      </c>
      <c r="C3421" s="3" t="s">
        <v>1011</v>
      </c>
      <c r="D3421" s="4" t="s">
        <v>2015</v>
      </c>
      <c r="E3421" s="4" t="s">
        <v>981</v>
      </c>
      <c r="F3421" s="1">
        <v>46093</v>
      </c>
      <c r="G3421" t="str">
        <f t="shared" si="112"/>
        <v>Mar -2026</v>
      </c>
    </row>
    <row r="3422" spans="1:7" x14ac:dyDescent="0.3">
      <c r="A3422" s="4">
        <v>900006679</v>
      </c>
      <c r="B3422" t="s">
        <v>2507</v>
      </c>
      <c r="C3422" s="3" t="s">
        <v>1604</v>
      </c>
      <c r="D3422" s="4" t="s">
        <v>2018</v>
      </c>
      <c r="E3422" s="4" t="s">
        <v>1877</v>
      </c>
      <c r="F3422" s="1">
        <v>46093</v>
      </c>
      <c r="G3422" t="str">
        <f t="shared" si="112"/>
        <v>Mar -2026</v>
      </c>
    </row>
    <row r="3423" spans="1:7" x14ac:dyDescent="0.3">
      <c r="A3423" s="4">
        <v>900006740</v>
      </c>
      <c r="B3423" t="s">
        <v>2508</v>
      </c>
      <c r="C3423" s="3" t="s">
        <v>1604</v>
      </c>
      <c r="D3423" s="4" t="s">
        <v>2018</v>
      </c>
      <c r="E3423" s="4" t="s">
        <v>1877</v>
      </c>
      <c r="F3423" s="1">
        <v>46093</v>
      </c>
      <c r="G3423" t="str">
        <f t="shared" si="112"/>
        <v>Mar -2026</v>
      </c>
    </row>
    <row r="3424" spans="1:7" x14ac:dyDescent="0.3">
      <c r="A3424" s="4">
        <v>2327772</v>
      </c>
      <c r="B3424" t="s">
        <v>2509</v>
      </c>
      <c r="C3424" s="4" t="s">
        <v>1010</v>
      </c>
      <c r="D3424" s="4" t="s">
        <v>1020</v>
      </c>
      <c r="E3424" s="4" t="s">
        <v>435</v>
      </c>
      <c r="F3424" s="1">
        <v>46094</v>
      </c>
      <c r="G3424" t="str">
        <f t="shared" si="112"/>
        <v>Mar -2026</v>
      </c>
    </row>
    <row r="3425" spans="1:7" x14ac:dyDescent="0.3">
      <c r="A3425" s="4">
        <v>2326573</v>
      </c>
      <c r="B3425" t="s">
        <v>2407</v>
      </c>
      <c r="C3425" s="4" t="s">
        <v>1010</v>
      </c>
      <c r="D3425" s="4" t="s">
        <v>1020</v>
      </c>
      <c r="E3425" s="4" t="s">
        <v>2028</v>
      </c>
      <c r="F3425" s="1">
        <v>46094</v>
      </c>
      <c r="G3425" t="str">
        <f t="shared" si="112"/>
        <v>Mar -2026</v>
      </c>
    </row>
    <row r="3426" spans="1:7" x14ac:dyDescent="0.3">
      <c r="A3426" s="4">
        <v>2323676</v>
      </c>
      <c r="B3426" t="s">
        <v>1673</v>
      </c>
      <c r="C3426" s="4" t="s">
        <v>1010</v>
      </c>
      <c r="D3426" s="4" t="s">
        <v>1020</v>
      </c>
      <c r="E3426" s="4" t="s">
        <v>338</v>
      </c>
      <c r="F3426" s="1">
        <v>46094</v>
      </c>
      <c r="G3426" t="str">
        <f t="shared" si="112"/>
        <v>Mar -2026</v>
      </c>
    </row>
    <row r="3427" spans="1:7" x14ac:dyDescent="0.3">
      <c r="A3427" s="4">
        <v>2331449</v>
      </c>
      <c r="B3427" t="s">
        <v>2510</v>
      </c>
      <c r="C3427" s="4" t="s">
        <v>1010</v>
      </c>
      <c r="D3427" s="4" t="s">
        <v>209</v>
      </c>
      <c r="E3427" s="4" t="s">
        <v>375</v>
      </c>
      <c r="F3427" s="1">
        <v>46094</v>
      </c>
      <c r="G3427" t="str">
        <f t="shared" si="112"/>
        <v>Mar -2026</v>
      </c>
    </row>
    <row r="3428" spans="1:7" x14ac:dyDescent="0.3">
      <c r="A3428" s="4">
        <v>2326390</v>
      </c>
      <c r="B3428" t="s">
        <v>2511</v>
      </c>
      <c r="C3428" s="4" t="s">
        <v>1010</v>
      </c>
      <c r="D3428" s="4" t="s">
        <v>1020</v>
      </c>
      <c r="E3428" s="4" t="s">
        <v>2028</v>
      </c>
      <c r="F3428" s="1">
        <v>46094</v>
      </c>
      <c r="G3428" t="str">
        <f t="shared" si="112"/>
        <v>Mar -2026</v>
      </c>
    </row>
    <row r="3429" spans="1:7" x14ac:dyDescent="0.3">
      <c r="A3429" s="4">
        <v>2332192</v>
      </c>
      <c r="B3429" t="s">
        <v>2512</v>
      </c>
      <c r="C3429" s="4" t="s">
        <v>1010</v>
      </c>
      <c r="D3429" s="4" t="s">
        <v>1020</v>
      </c>
      <c r="E3429" s="4" t="s">
        <v>2310</v>
      </c>
      <c r="F3429" s="1">
        <v>46094</v>
      </c>
      <c r="G3429" t="str">
        <f t="shared" si="112"/>
        <v>Mar -2026</v>
      </c>
    </row>
    <row r="3430" spans="1:7" x14ac:dyDescent="0.3">
      <c r="A3430" s="4">
        <v>2331914</v>
      </c>
      <c r="B3430" t="s">
        <v>2513</v>
      </c>
      <c r="C3430" s="4" t="s">
        <v>1010</v>
      </c>
      <c r="D3430" s="4" t="s">
        <v>1020</v>
      </c>
      <c r="E3430" s="4" t="s">
        <v>2310</v>
      </c>
      <c r="F3430" s="1">
        <v>46094</v>
      </c>
      <c r="G3430" t="str">
        <f t="shared" si="112"/>
        <v>Mar -2026</v>
      </c>
    </row>
    <row r="3431" spans="1:7" x14ac:dyDescent="0.3">
      <c r="A3431" s="4">
        <v>2331477</v>
      </c>
      <c r="B3431" t="s">
        <v>2514</v>
      </c>
      <c r="C3431" s="4" t="s">
        <v>1010</v>
      </c>
      <c r="D3431" s="4" t="s">
        <v>209</v>
      </c>
      <c r="E3431" s="4" t="s">
        <v>196</v>
      </c>
      <c r="F3431" s="1">
        <v>46094</v>
      </c>
      <c r="G3431" t="str">
        <f t="shared" si="112"/>
        <v>Mar -2026</v>
      </c>
    </row>
    <row r="3432" spans="1:7" x14ac:dyDescent="0.3">
      <c r="A3432" s="4">
        <v>2332751</v>
      </c>
      <c r="B3432" t="s">
        <v>2515</v>
      </c>
      <c r="C3432" s="4" t="s">
        <v>1010</v>
      </c>
      <c r="D3432" s="4" t="s">
        <v>209</v>
      </c>
      <c r="E3432" s="4" t="s">
        <v>375</v>
      </c>
      <c r="F3432" s="1">
        <v>46094</v>
      </c>
      <c r="G3432" t="str">
        <f t="shared" si="112"/>
        <v>Mar -2026</v>
      </c>
    </row>
    <row r="3433" spans="1:7" x14ac:dyDescent="0.3">
      <c r="A3433" s="4">
        <v>900006772</v>
      </c>
      <c r="B3433" t="s">
        <v>2516</v>
      </c>
      <c r="C3433" s="3" t="s">
        <v>1011</v>
      </c>
      <c r="D3433" s="4" t="s">
        <v>973</v>
      </c>
      <c r="E3433" s="4" t="s">
        <v>1877</v>
      </c>
      <c r="F3433" s="1">
        <v>46094</v>
      </c>
      <c r="G3433" t="str">
        <f t="shared" si="112"/>
        <v>Mar -2026</v>
      </c>
    </row>
    <row r="3434" spans="1:7" x14ac:dyDescent="0.3">
      <c r="A3434" s="4">
        <v>900006738</v>
      </c>
      <c r="B3434" t="s">
        <v>2517</v>
      </c>
      <c r="C3434" s="3" t="s">
        <v>1604</v>
      </c>
      <c r="D3434" s="4" t="s">
        <v>2031</v>
      </c>
      <c r="E3434" s="4" t="s">
        <v>1877</v>
      </c>
      <c r="F3434" s="1">
        <v>46094</v>
      </c>
      <c r="G3434" t="str">
        <f t="shared" si="112"/>
        <v>Mar -2026</v>
      </c>
    </row>
    <row r="3435" spans="1:7" x14ac:dyDescent="0.3">
      <c r="A3435" s="4">
        <v>900006740</v>
      </c>
      <c r="B3435" t="s">
        <v>2508</v>
      </c>
      <c r="C3435" s="3" t="s">
        <v>1604</v>
      </c>
      <c r="D3435" s="4" t="s">
        <v>2018</v>
      </c>
      <c r="E3435" s="4" t="s">
        <v>1877</v>
      </c>
      <c r="F3435" s="1">
        <v>46094</v>
      </c>
      <c r="G3435" t="str">
        <f t="shared" si="112"/>
        <v>Mar -2026</v>
      </c>
    </row>
    <row r="3436" spans="1:7" x14ac:dyDescent="0.3">
      <c r="A3436" s="4">
        <v>100005672</v>
      </c>
      <c r="B3436" t="s">
        <v>2518</v>
      </c>
      <c r="C3436" s="3" t="s">
        <v>1011</v>
      </c>
      <c r="D3436" s="4" t="s">
        <v>2015</v>
      </c>
      <c r="E3436" s="4" t="s">
        <v>967</v>
      </c>
      <c r="F3436" s="1">
        <v>46094</v>
      </c>
      <c r="G3436" t="str">
        <f t="shared" si="112"/>
        <v>Mar -2026</v>
      </c>
    </row>
    <row r="3437" spans="1:7" x14ac:dyDescent="0.3">
      <c r="A3437" s="4">
        <v>100005619</v>
      </c>
      <c r="B3437" t="s">
        <v>2519</v>
      </c>
      <c r="C3437" s="3" t="s">
        <v>1011</v>
      </c>
      <c r="D3437" s="4" t="s">
        <v>2015</v>
      </c>
      <c r="E3437" s="4" t="s">
        <v>967</v>
      </c>
      <c r="F3437" s="1">
        <v>46094</v>
      </c>
      <c r="G3437" t="str">
        <f t="shared" si="112"/>
        <v>Mar -2026</v>
      </c>
    </row>
    <row r="3438" spans="1:7" x14ac:dyDescent="0.3">
      <c r="A3438" s="4">
        <v>2331914</v>
      </c>
      <c r="B3438" t="s">
        <v>2513</v>
      </c>
      <c r="C3438" s="4" t="s">
        <v>1010</v>
      </c>
      <c r="D3438" s="4" t="s">
        <v>1020</v>
      </c>
      <c r="E3438" s="4" t="s">
        <v>2310</v>
      </c>
      <c r="F3438" s="1">
        <v>46097</v>
      </c>
      <c r="G3438" t="str">
        <f t="shared" si="112"/>
        <v>Mar -2026</v>
      </c>
    </row>
    <row r="3439" spans="1:7" x14ac:dyDescent="0.3">
      <c r="A3439" s="4">
        <v>2329275</v>
      </c>
      <c r="B3439" t="s">
        <v>2520</v>
      </c>
      <c r="C3439" s="4" t="s">
        <v>1010</v>
      </c>
      <c r="D3439" s="4" t="s">
        <v>1020</v>
      </c>
      <c r="E3439" s="4" t="s">
        <v>2028</v>
      </c>
      <c r="F3439" s="1">
        <v>46097</v>
      </c>
      <c r="G3439" t="str">
        <f t="shared" si="112"/>
        <v>Mar -2026</v>
      </c>
    </row>
    <row r="3440" spans="1:7" x14ac:dyDescent="0.3">
      <c r="A3440" s="4">
        <v>2329287</v>
      </c>
      <c r="B3440" t="s">
        <v>2521</v>
      </c>
      <c r="C3440" s="4" t="s">
        <v>1010</v>
      </c>
      <c r="D3440" s="4" t="s">
        <v>1020</v>
      </c>
      <c r="E3440" s="4" t="s">
        <v>2028</v>
      </c>
      <c r="F3440" s="1">
        <v>46097</v>
      </c>
      <c r="G3440" t="str">
        <f t="shared" si="112"/>
        <v>Mar -2026</v>
      </c>
    </row>
    <row r="3441" spans="1:7" x14ac:dyDescent="0.3">
      <c r="A3441" s="4">
        <v>2334069</v>
      </c>
      <c r="B3441" t="s">
        <v>2522</v>
      </c>
      <c r="C3441" s="4" t="s">
        <v>1010</v>
      </c>
      <c r="D3441" s="4" t="s">
        <v>1020</v>
      </c>
      <c r="E3441" s="4" t="s">
        <v>435</v>
      </c>
      <c r="F3441" s="1">
        <v>46097</v>
      </c>
      <c r="G3441" t="str">
        <f t="shared" si="112"/>
        <v>Mar -2026</v>
      </c>
    </row>
    <row r="3442" spans="1:7" x14ac:dyDescent="0.3">
      <c r="A3442" s="4">
        <v>2335004</v>
      </c>
      <c r="B3442" t="s">
        <v>2523</v>
      </c>
      <c r="C3442" s="4" t="s">
        <v>1010</v>
      </c>
      <c r="D3442" s="4" t="s">
        <v>1020</v>
      </c>
      <c r="E3442" s="4" t="s">
        <v>435</v>
      </c>
      <c r="F3442" s="1">
        <v>46097</v>
      </c>
      <c r="G3442" t="str">
        <f t="shared" si="112"/>
        <v>Mar -2026</v>
      </c>
    </row>
    <row r="3443" spans="1:7" x14ac:dyDescent="0.3">
      <c r="A3443" s="4">
        <v>2334863</v>
      </c>
      <c r="B3443" t="s">
        <v>2524</v>
      </c>
      <c r="C3443" s="4" t="s">
        <v>1010</v>
      </c>
      <c r="D3443" s="4" t="s">
        <v>1020</v>
      </c>
      <c r="E3443" s="4" t="s">
        <v>435</v>
      </c>
      <c r="F3443" s="1">
        <v>46097</v>
      </c>
      <c r="G3443" t="str">
        <f t="shared" si="112"/>
        <v>Mar -2026</v>
      </c>
    </row>
    <row r="3444" spans="1:7" x14ac:dyDescent="0.3">
      <c r="A3444" s="4">
        <v>2334862</v>
      </c>
      <c r="B3444" t="s">
        <v>2525</v>
      </c>
      <c r="C3444" s="4" t="s">
        <v>1010</v>
      </c>
      <c r="D3444" s="4" t="s">
        <v>1020</v>
      </c>
      <c r="E3444" s="4" t="s">
        <v>435</v>
      </c>
      <c r="F3444" s="1">
        <v>46097</v>
      </c>
      <c r="G3444" t="str">
        <f t="shared" si="112"/>
        <v>Mar -2026</v>
      </c>
    </row>
    <row r="3445" spans="1:7" x14ac:dyDescent="0.3">
      <c r="A3445" s="4">
        <v>2329237</v>
      </c>
      <c r="B3445" t="s">
        <v>2526</v>
      </c>
      <c r="C3445" s="4" t="s">
        <v>1010</v>
      </c>
      <c r="D3445" s="4" t="s">
        <v>1020</v>
      </c>
      <c r="E3445" s="4" t="s">
        <v>435</v>
      </c>
      <c r="F3445" s="1">
        <v>46097</v>
      </c>
      <c r="G3445" t="str">
        <f t="shared" si="112"/>
        <v>Mar -2026</v>
      </c>
    </row>
    <row r="3446" spans="1:7" x14ac:dyDescent="0.3">
      <c r="A3446" s="4">
        <v>2329716</v>
      </c>
      <c r="B3446" t="s">
        <v>2527</v>
      </c>
      <c r="C3446" s="4" t="s">
        <v>1010</v>
      </c>
      <c r="D3446" s="4" t="s">
        <v>1020</v>
      </c>
      <c r="E3446" s="4" t="s">
        <v>435</v>
      </c>
      <c r="F3446" s="1">
        <v>46097</v>
      </c>
      <c r="G3446" t="str">
        <f t="shared" si="112"/>
        <v>Mar -2026</v>
      </c>
    </row>
    <row r="3447" spans="1:7" x14ac:dyDescent="0.3">
      <c r="A3447" s="4">
        <v>2334292</v>
      </c>
      <c r="B3447" t="s">
        <v>2528</v>
      </c>
      <c r="C3447" s="4" t="s">
        <v>1010</v>
      </c>
      <c r="D3447" s="4" t="s">
        <v>1020</v>
      </c>
      <c r="E3447" s="4" t="s">
        <v>2028</v>
      </c>
      <c r="F3447" s="1">
        <v>46097</v>
      </c>
      <c r="G3447" t="str">
        <f t="shared" si="112"/>
        <v>Mar -2026</v>
      </c>
    </row>
    <row r="3448" spans="1:7" x14ac:dyDescent="0.3">
      <c r="A3448" s="4">
        <v>2342779</v>
      </c>
      <c r="B3448" t="s">
        <v>2529</v>
      </c>
      <c r="C3448" s="4" t="s">
        <v>1010</v>
      </c>
      <c r="D3448" s="4" t="s">
        <v>1020</v>
      </c>
      <c r="E3448" s="4" t="s">
        <v>2310</v>
      </c>
      <c r="F3448" s="1">
        <v>46097</v>
      </c>
      <c r="G3448" t="str">
        <f t="shared" si="112"/>
        <v>Mar -2026</v>
      </c>
    </row>
    <row r="3449" spans="1:7" x14ac:dyDescent="0.3">
      <c r="A3449" s="4">
        <v>200001593</v>
      </c>
      <c r="B3449" t="s">
        <v>2530</v>
      </c>
      <c r="C3449" s="4" t="s">
        <v>1010</v>
      </c>
      <c r="D3449" s="4" t="s">
        <v>2531</v>
      </c>
      <c r="E3449" s="4" t="s">
        <v>7</v>
      </c>
      <c r="F3449" s="1">
        <v>46097</v>
      </c>
      <c r="G3449" t="str">
        <f t="shared" si="112"/>
        <v>Mar -2026</v>
      </c>
    </row>
    <row r="3450" spans="1:7" x14ac:dyDescent="0.3">
      <c r="A3450" s="4">
        <v>900006832</v>
      </c>
      <c r="B3450" t="s">
        <v>2532</v>
      </c>
      <c r="C3450" s="3" t="s">
        <v>1604</v>
      </c>
      <c r="D3450" s="4" t="s">
        <v>2031</v>
      </c>
      <c r="E3450" s="4" t="s">
        <v>1877</v>
      </c>
      <c r="F3450" s="1">
        <v>46097</v>
      </c>
      <c r="G3450" t="str">
        <f t="shared" si="112"/>
        <v>Mar -2026</v>
      </c>
    </row>
    <row r="3451" spans="1:7" x14ac:dyDescent="0.3">
      <c r="A3451" s="4">
        <v>100005682</v>
      </c>
      <c r="B3451" t="s">
        <v>2533</v>
      </c>
      <c r="C3451" s="3" t="s">
        <v>1011</v>
      </c>
      <c r="D3451" s="4" t="s">
        <v>2015</v>
      </c>
      <c r="E3451" s="4" t="s">
        <v>967</v>
      </c>
      <c r="F3451" s="1">
        <v>46097</v>
      </c>
      <c r="G3451" t="str">
        <f t="shared" si="112"/>
        <v>Mar -2026</v>
      </c>
    </row>
    <row r="3452" spans="1:7" x14ac:dyDescent="0.3">
      <c r="A3452" s="4">
        <v>900006720</v>
      </c>
      <c r="B3452" t="s">
        <v>2534</v>
      </c>
      <c r="C3452" s="3" t="s">
        <v>1604</v>
      </c>
      <c r="D3452" s="4" t="s">
        <v>2018</v>
      </c>
      <c r="E3452" s="4" t="s">
        <v>1877</v>
      </c>
      <c r="F3452" s="1">
        <v>46097</v>
      </c>
      <c r="G3452" t="str">
        <f t="shared" si="112"/>
        <v>Mar -2026</v>
      </c>
    </row>
    <row r="3453" spans="1:7" x14ac:dyDescent="0.3">
      <c r="A3453" s="4">
        <v>100005666</v>
      </c>
      <c r="B3453" t="s">
        <v>2535</v>
      </c>
      <c r="C3453" s="3" t="s">
        <v>1011</v>
      </c>
      <c r="D3453" s="4" t="s">
        <v>2015</v>
      </c>
      <c r="E3453" s="4" t="s">
        <v>967</v>
      </c>
      <c r="F3453" s="1">
        <v>46097</v>
      </c>
      <c r="G3453" t="str">
        <f t="shared" si="112"/>
        <v>Mar -2026</v>
      </c>
    </row>
    <row r="3454" spans="1:7" x14ac:dyDescent="0.3">
      <c r="A3454" s="4">
        <v>900006804</v>
      </c>
      <c r="B3454" t="s">
        <v>2536</v>
      </c>
      <c r="C3454" s="3" t="s">
        <v>1604</v>
      </c>
      <c r="D3454" s="4" t="s">
        <v>2031</v>
      </c>
      <c r="E3454" s="4" t="s">
        <v>1877</v>
      </c>
      <c r="F3454" s="1">
        <v>46097</v>
      </c>
      <c r="G3454" t="str">
        <f t="shared" si="112"/>
        <v>Mar -2026</v>
      </c>
    </row>
    <row r="3455" spans="1:7" x14ac:dyDescent="0.3">
      <c r="A3455" s="4">
        <v>900006769</v>
      </c>
      <c r="B3455" t="s">
        <v>2537</v>
      </c>
      <c r="C3455" s="3" t="s">
        <v>1604</v>
      </c>
      <c r="D3455" s="4" t="s">
        <v>2018</v>
      </c>
      <c r="E3455" s="4" t="s">
        <v>1877</v>
      </c>
      <c r="F3455" s="1">
        <v>46097</v>
      </c>
      <c r="G3455" t="str">
        <f t="shared" si="112"/>
        <v>Mar -2026</v>
      </c>
    </row>
    <row r="3456" spans="1:7" x14ac:dyDescent="0.3">
      <c r="A3456" s="4">
        <v>2315711</v>
      </c>
      <c r="B3456" t="s">
        <v>41</v>
      </c>
      <c r="C3456" s="4" t="s">
        <v>1010</v>
      </c>
      <c r="D3456" s="4" t="s">
        <v>1020</v>
      </c>
      <c r="E3456" s="4" t="s">
        <v>211</v>
      </c>
      <c r="F3456" s="1">
        <v>46098</v>
      </c>
      <c r="G3456" t="str">
        <f t="shared" si="112"/>
        <v>Mar -2026</v>
      </c>
    </row>
    <row r="3457" spans="1:7" x14ac:dyDescent="0.3">
      <c r="A3457" s="4">
        <v>2331847</v>
      </c>
      <c r="B3457" t="s">
        <v>2538</v>
      </c>
      <c r="C3457" s="4" t="s">
        <v>1010</v>
      </c>
      <c r="D3457" s="4" t="s">
        <v>1020</v>
      </c>
      <c r="E3457" s="4" t="s">
        <v>2310</v>
      </c>
      <c r="F3457" s="1">
        <v>46098</v>
      </c>
      <c r="G3457" t="str">
        <f t="shared" si="112"/>
        <v>Mar -2026</v>
      </c>
    </row>
    <row r="3458" spans="1:7" x14ac:dyDescent="0.3">
      <c r="A3458" s="4">
        <v>2342996</v>
      </c>
      <c r="B3458" t="s">
        <v>2539</v>
      </c>
      <c r="C3458" s="4" t="s">
        <v>1010</v>
      </c>
      <c r="D3458" s="4" t="s">
        <v>1020</v>
      </c>
      <c r="E3458" s="4" t="s">
        <v>435</v>
      </c>
      <c r="F3458" s="1">
        <v>46098</v>
      </c>
      <c r="G3458" t="str">
        <f t="shared" si="112"/>
        <v>Mar -2026</v>
      </c>
    </row>
    <row r="3459" spans="1:7" x14ac:dyDescent="0.3">
      <c r="A3459" s="4">
        <v>2331418</v>
      </c>
      <c r="B3459" t="s">
        <v>47</v>
      </c>
      <c r="C3459" s="4" t="s">
        <v>1010</v>
      </c>
      <c r="D3459" s="4" t="s">
        <v>1020</v>
      </c>
      <c r="E3459" s="4" t="s">
        <v>211</v>
      </c>
      <c r="F3459" s="1">
        <v>46098</v>
      </c>
      <c r="G3459" t="str">
        <f t="shared" si="112"/>
        <v>Mar -2026</v>
      </c>
    </row>
    <row r="3460" spans="1:7" x14ac:dyDescent="0.3">
      <c r="A3460" s="4">
        <v>2343175</v>
      </c>
      <c r="B3460" t="s">
        <v>2540</v>
      </c>
      <c r="C3460" s="4" t="s">
        <v>1010</v>
      </c>
      <c r="D3460" s="4" t="s">
        <v>1020</v>
      </c>
      <c r="E3460" s="4" t="s">
        <v>2028</v>
      </c>
      <c r="F3460" s="1">
        <v>46098</v>
      </c>
      <c r="G3460" t="str">
        <f t="shared" si="112"/>
        <v>Mar -2026</v>
      </c>
    </row>
    <row r="3461" spans="1:7" x14ac:dyDescent="0.3">
      <c r="A3461" s="4">
        <v>2346247</v>
      </c>
      <c r="B3461" t="s">
        <v>2541</v>
      </c>
      <c r="C3461" s="4" t="s">
        <v>1010</v>
      </c>
      <c r="D3461" s="4" t="s">
        <v>209</v>
      </c>
      <c r="E3461" s="4" t="s">
        <v>375</v>
      </c>
      <c r="F3461" s="1">
        <v>46098</v>
      </c>
      <c r="G3461" t="str">
        <f t="shared" si="112"/>
        <v>Mar -2026</v>
      </c>
    </row>
    <row r="3462" spans="1:7" x14ac:dyDescent="0.3">
      <c r="A3462" s="4">
        <v>2346294</v>
      </c>
      <c r="B3462" t="s">
        <v>2542</v>
      </c>
      <c r="C3462" s="4" t="s">
        <v>1010</v>
      </c>
      <c r="D3462" s="4" t="s">
        <v>209</v>
      </c>
      <c r="E3462" s="4" t="s">
        <v>210</v>
      </c>
      <c r="F3462" s="1">
        <v>46098</v>
      </c>
      <c r="G3462" t="str">
        <f t="shared" si="112"/>
        <v>Mar -2026</v>
      </c>
    </row>
    <row r="3463" spans="1:7" x14ac:dyDescent="0.3">
      <c r="A3463" s="4">
        <v>100005713</v>
      </c>
      <c r="B3463" t="s">
        <v>2543</v>
      </c>
      <c r="C3463" s="3" t="s">
        <v>1011</v>
      </c>
      <c r="D3463" s="4" t="s">
        <v>2015</v>
      </c>
      <c r="E3463" s="4" t="s">
        <v>967</v>
      </c>
      <c r="F3463" s="1">
        <v>46098</v>
      </c>
      <c r="G3463" t="str">
        <f t="shared" si="112"/>
        <v>Mar -2026</v>
      </c>
    </row>
    <row r="3464" spans="1:7" x14ac:dyDescent="0.3">
      <c r="A3464" s="4">
        <v>100005696</v>
      </c>
      <c r="B3464" t="s">
        <v>2544</v>
      </c>
      <c r="C3464" s="3" t="s">
        <v>1011</v>
      </c>
      <c r="D3464" s="4" t="s">
        <v>2015</v>
      </c>
      <c r="E3464" s="4" t="s">
        <v>1536</v>
      </c>
      <c r="F3464" s="1">
        <v>46098</v>
      </c>
      <c r="G3464" t="str">
        <f t="shared" si="112"/>
        <v>Mar -2026</v>
      </c>
    </row>
    <row r="3465" spans="1:7" x14ac:dyDescent="0.3">
      <c r="A3465" s="4">
        <v>900006717</v>
      </c>
      <c r="B3465" t="s">
        <v>2545</v>
      </c>
      <c r="C3465" s="3" t="s">
        <v>1604</v>
      </c>
      <c r="D3465" s="4" t="s">
        <v>2031</v>
      </c>
      <c r="E3465" s="4" t="s">
        <v>1877</v>
      </c>
      <c r="F3465" s="1">
        <v>46098</v>
      </c>
      <c r="G3465" t="str">
        <f t="shared" si="112"/>
        <v>Mar -2026</v>
      </c>
    </row>
    <row r="3466" spans="1:7" x14ac:dyDescent="0.3">
      <c r="A3466" s="4">
        <v>100005694</v>
      </c>
      <c r="B3466" t="s">
        <v>2546</v>
      </c>
      <c r="C3466" s="3" t="s">
        <v>1011</v>
      </c>
      <c r="D3466" s="4" t="s">
        <v>2015</v>
      </c>
      <c r="E3466" s="4" t="s">
        <v>967</v>
      </c>
      <c r="F3466" s="1">
        <v>46098</v>
      </c>
      <c r="G3466" t="str">
        <f t="shared" si="112"/>
        <v>Mar -2026</v>
      </c>
    </row>
    <row r="3467" spans="1:7" x14ac:dyDescent="0.3">
      <c r="A3467" s="4">
        <v>900006707</v>
      </c>
      <c r="B3467" t="s">
        <v>2547</v>
      </c>
      <c r="C3467" s="3" t="s">
        <v>1604</v>
      </c>
      <c r="D3467" s="4" t="s">
        <v>2018</v>
      </c>
      <c r="E3467" s="4" t="s">
        <v>1877</v>
      </c>
      <c r="F3467" s="1">
        <v>46098</v>
      </c>
      <c r="G3467" t="str">
        <f t="shared" si="112"/>
        <v>Mar -2026</v>
      </c>
    </row>
    <row r="3468" spans="1:7" x14ac:dyDescent="0.3">
      <c r="A3468" s="4">
        <v>900006835</v>
      </c>
      <c r="B3468" t="s">
        <v>2548</v>
      </c>
      <c r="C3468" s="3" t="s">
        <v>1604</v>
      </c>
      <c r="D3468" s="4" t="s">
        <v>2031</v>
      </c>
      <c r="E3468" s="4" t="s">
        <v>1877</v>
      </c>
      <c r="F3468" s="1">
        <v>46098</v>
      </c>
      <c r="G3468" t="str">
        <f t="shared" si="112"/>
        <v>Mar -2026</v>
      </c>
    </row>
    <row r="3469" spans="1:7" x14ac:dyDescent="0.3">
      <c r="A3469" s="4">
        <v>900006730</v>
      </c>
      <c r="B3469" t="s">
        <v>2549</v>
      </c>
      <c r="C3469" s="3" t="s">
        <v>1604</v>
      </c>
      <c r="D3469" s="4" t="s">
        <v>2018</v>
      </c>
      <c r="E3469" s="4" t="s">
        <v>1877</v>
      </c>
      <c r="F3469" s="1">
        <v>46098</v>
      </c>
      <c r="G3469" t="str">
        <f t="shared" si="112"/>
        <v>Mar -2026</v>
      </c>
    </row>
    <row r="3470" spans="1:7" x14ac:dyDescent="0.3">
      <c r="A3470" s="4">
        <v>900006737</v>
      </c>
      <c r="B3470" t="s">
        <v>2550</v>
      </c>
      <c r="C3470" s="3" t="s">
        <v>1604</v>
      </c>
      <c r="D3470" s="4" t="s">
        <v>2018</v>
      </c>
      <c r="E3470" s="4" t="s">
        <v>1877</v>
      </c>
      <c r="F3470" s="1">
        <v>46098</v>
      </c>
      <c r="G3470" t="str">
        <f t="shared" ref="G3470:G3533" si="113">TEXT(F3470,"mmm -YYYY")</f>
        <v>Mar -2026</v>
      </c>
    </row>
    <row r="3471" spans="1:7" x14ac:dyDescent="0.3">
      <c r="A3471" s="4">
        <v>100005712</v>
      </c>
      <c r="B3471" t="s">
        <v>2551</v>
      </c>
      <c r="C3471" s="3" t="s">
        <v>1011</v>
      </c>
      <c r="D3471" s="4" t="s">
        <v>2015</v>
      </c>
      <c r="E3471" s="4" t="s">
        <v>1569</v>
      </c>
      <c r="F3471" s="1">
        <v>46098</v>
      </c>
      <c r="G3471" t="str">
        <f t="shared" si="113"/>
        <v>Mar -2026</v>
      </c>
    </row>
    <row r="3472" spans="1:7" x14ac:dyDescent="0.3">
      <c r="A3472" s="4">
        <v>100005698</v>
      </c>
      <c r="B3472" t="s">
        <v>2552</v>
      </c>
      <c r="C3472" s="3" t="s">
        <v>1011</v>
      </c>
      <c r="D3472" s="4" t="s">
        <v>2015</v>
      </c>
      <c r="E3472" s="4" t="s">
        <v>976</v>
      </c>
      <c r="F3472" s="1">
        <v>46098</v>
      </c>
      <c r="G3472" t="str">
        <f t="shared" si="113"/>
        <v>Mar -2026</v>
      </c>
    </row>
    <row r="3473" spans="1:7" x14ac:dyDescent="0.3">
      <c r="A3473" s="4">
        <v>900006644</v>
      </c>
      <c r="B3473" t="s">
        <v>2553</v>
      </c>
      <c r="C3473" s="3" t="s">
        <v>1604</v>
      </c>
      <c r="D3473" s="4" t="s">
        <v>2031</v>
      </c>
      <c r="E3473" s="4" t="s">
        <v>1877</v>
      </c>
      <c r="F3473" s="1">
        <v>46098</v>
      </c>
      <c r="G3473" t="str">
        <f t="shared" si="113"/>
        <v>Mar -2026</v>
      </c>
    </row>
    <row r="3474" spans="1:7" x14ac:dyDescent="0.3">
      <c r="A3474" s="4">
        <v>100005712</v>
      </c>
      <c r="B3474" t="s">
        <v>2551</v>
      </c>
      <c r="C3474" s="3" t="s">
        <v>1011</v>
      </c>
      <c r="D3474" s="4" t="s">
        <v>2015</v>
      </c>
      <c r="E3474" s="4" t="s">
        <v>1569</v>
      </c>
      <c r="F3474" s="1">
        <v>46099</v>
      </c>
      <c r="G3474" t="str">
        <f t="shared" si="113"/>
        <v>Mar -2026</v>
      </c>
    </row>
    <row r="3475" spans="1:7" x14ac:dyDescent="0.3">
      <c r="A3475" s="4">
        <v>100005714</v>
      </c>
      <c r="B3475" t="s">
        <v>2554</v>
      </c>
      <c r="C3475" s="3" t="s">
        <v>1011</v>
      </c>
      <c r="D3475" s="4" t="s">
        <v>2015</v>
      </c>
      <c r="E3475" s="4" t="s">
        <v>982</v>
      </c>
      <c r="F3475" s="1">
        <v>46099</v>
      </c>
      <c r="G3475" t="str">
        <f t="shared" si="113"/>
        <v>Mar -2026</v>
      </c>
    </row>
    <row r="3476" spans="1:7" x14ac:dyDescent="0.3">
      <c r="A3476" s="4">
        <v>100005733</v>
      </c>
      <c r="B3476" t="s">
        <v>2555</v>
      </c>
      <c r="C3476" s="3" t="s">
        <v>1011</v>
      </c>
      <c r="D3476" s="4" t="s">
        <v>2015</v>
      </c>
      <c r="E3476" s="4" t="s">
        <v>1569</v>
      </c>
      <c r="F3476" s="1">
        <v>46099</v>
      </c>
      <c r="G3476" t="str">
        <f t="shared" si="113"/>
        <v>Mar -2026</v>
      </c>
    </row>
    <row r="3477" spans="1:7" x14ac:dyDescent="0.3">
      <c r="A3477" s="4">
        <v>100005684</v>
      </c>
      <c r="B3477" t="s">
        <v>2556</v>
      </c>
      <c r="C3477" s="3" t="s">
        <v>1011</v>
      </c>
      <c r="D3477" s="4" t="s">
        <v>2015</v>
      </c>
      <c r="E3477" s="4" t="s">
        <v>1569</v>
      </c>
      <c r="F3477" s="1">
        <v>46099</v>
      </c>
      <c r="G3477" t="str">
        <f t="shared" si="113"/>
        <v>Mar -2026</v>
      </c>
    </row>
    <row r="3478" spans="1:7" x14ac:dyDescent="0.3">
      <c r="A3478" s="4">
        <v>900006862</v>
      </c>
      <c r="B3478" t="s">
        <v>2557</v>
      </c>
      <c r="C3478" s="3" t="s">
        <v>1604</v>
      </c>
      <c r="D3478" s="4" t="s">
        <v>2031</v>
      </c>
      <c r="E3478" s="4" t="s">
        <v>1877</v>
      </c>
      <c r="F3478" s="1">
        <v>46099</v>
      </c>
      <c r="G3478" t="str">
        <f t="shared" si="113"/>
        <v>Mar -2026</v>
      </c>
    </row>
    <row r="3479" spans="1:7" x14ac:dyDescent="0.3">
      <c r="A3479" s="4">
        <v>100005733</v>
      </c>
      <c r="B3479" t="s">
        <v>2558</v>
      </c>
      <c r="C3479" s="3" t="s">
        <v>1604</v>
      </c>
      <c r="D3479" s="4" t="s">
        <v>2031</v>
      </c>
      <c r="E3479" s="4" t="s">
        <v>968</v>
      </c>
      <c r="F3479" s="1">
        <v>46099</v>
      </c>
      <c r="G3479" t="str">
        <f t="shared" si="113"/>
        <v>Mar -2026</v>
      </c>
    </row>
    <row r="3480" spans="1:7" x14ac:dyDescent="0.3">
      <c r="A3480" s="4">
        <v>900006822</v>
      </c>
      <c r="B3480" t="s">
        <v>2559</v>
      </c>
      <c r="C3480" s="4" t="s">
        <v>1010</v>
      </c>
      <c r="D3480" s="4" t="s">
        <v>1551</v>
      </c>
      <c r="E3480" s="4" t="s">
        <v>1877</v>
      </c>
      <c r="F3480" s="1">
        <v>46099</v>
      </c>
      <c r="G3480" t="str">
        <f t="shared" si="113"/>
        <v>Mar -2026</v>
      </c>
    </row>
    <row r="3481" spans="1:7" x14ac:dyDescent="0.3">
      <c r="A3481" s="4">
        <v>900006610</v>
      </c>
      <c r="B3481" t="s">
        <v>2560</v>
      </c>
      <c r="C3481" s="4" t="s">
        <v>1010</v>
      </c>
      <c r="D3481" s="4" t="s">
        <v>1551</v>
      </c>
      <c r="E3481" s="4" t="s">
        <v>1877</v>
      </c>
      <c r="F3481" s="1">
        <v>46099</v>
      </c>
      <c r="G3481" t="str">
        <f t="shared" si="113"/>
        <v>Mar -2026</v>
      </c>
    </row>
    <row r="3482" spans="1:7" x14ac:dyDescent="0.3">
      <c r="A3482" s="4">
        <v>900006834</v>
      </c>
      <c r="B3482" t="s">
        <v>2561</v>
      </c>
      <c r="C3482" s="4" t="s">
        <v>1010</v>
      </c>
      <c r="D3482" s="4" t="s">
        <v>1551</v>
      </c>
      <c r="E3482" s="4" t="s">
        <v>1877</v>
      </c>
      <c r="F3482" s="1">
        <v>46099</v>
      </c>
      <c r="G3482" t="str">
        <f t="shared" si="113"/>
        <v>Mar -2026</v>
      </c>
    </row>
    <row r="3483" spans="1:7" x14ac:dyDescent="0.3">
      <c r="A3483" s="4">
        <v>2329107</v>
      </c>
      <c r="B3483" t="s">
        <v>2562</v>
      </c>
      <c r="C3483" s="4" t="s">
        <v>1010</v>
      </c>
      <c r="D3483" s="4" t="s">
        <v>1020</v>
      </c>
      <c r="E3483" s="4" t="s">
        <v>435</v>
      </c>
      <c r="F3483" s="1">
        <v>46099</v>
      </c>
      <c r="G3483" t="str">
        <f t="shared" si="113"/>
        <v>Mar -2026</v>
      </c>
    </row>
    <row r="3484" spans="1:7" x14ac:dyDescent="0.3">
      <c r="A3484" s="4">
        <v>2341748</v>
      </c>
      <c r="B3484" t="s">
        <v>2563</v>
      </c>
      <c r="C3484" s="4" t="s">
        <v>1010</v>
      </c>
      <c r="D3484" s="4" t="s">
        <v>1020</v>
      </c>
      <c r="E3484" s="4" t="s">
        <v>2310</v>
      </c>
      <c r="F3484" s="1">
        <v>46099</v>
      </c>
      <c r="G3484" t="str">
        <f t="shared" si="113"/>
        <v>Mar -2026</v>
      </c>
    </row>
    <row r="3485" spans="1:7" x14ac:dyDescent="0.3">
      <c r="A3485" s="4">
        <v>2342313</v>
      </c>
      <c r="B3485" t="s">
        <v>2564</v>
      </c>
      <c r="C3485" s="4" t="s">
        <v>1010</v>
      </c>
      <c r="D3485" s="4" t="s">
        <v>1020</v>
      </c>
      <c r="E3485" s="4" t="s">
        <v>2310</v>
      </c>
      <c r="F3485" s="1">
        <v>46099</v>
      </c>
      <c r="G3485" t="str">
        <f t="shared" si="113"/>
        <v>Mar -2026</v>
      </c>
    </row>
    <row r="3486" spans="1:7" x14ac:dyDescent="0.3">
      <c r="A3486" s="4">
        <v>2350203</v>
      </c>
      <c r="B3486" t="s">
        <v>2565</v>
      </c>
      <c r="C3486" s="4" t="s">
        <v>1010</v>
      </c>
      <c r="D3486" s="4" t="s">
        <v>1020</v>
      </c>
      <c r="E3486" s="4" t="s">
        <v>2310</v>
      </c>
      <c r="F3486" s="1">
        <v>46099</v>
      </c>
      <c r="G3486" t="str">
        <f t="shared" si="113"/>
        <v>Mar -2026</v>
      </c>
    </row>
    <row r="3487" spans="1:7" x14ac:dyDescent="0.3">
      <c r="A3487" s="4">
        <v>2343033</v>
      </c>
      <c r="B3487" t="s">
        <v>1916</v>
      </c>
      <c r="C3487" s="4" t="s">
        <v>1010</v>
      </c>
      <c r="D3487" s="4" t="s">
        <v>1020</v>
      </c>
      <c r="E3487" s="4" t="s">
        <v>338</v>
      </c>
      <c r="F3487" s="1">
        <v>46099</v>
      </c>
      <c r="G3487" t="str">
        <f t="shared" si="113"/>
        <v>Mar -2026</v>
      </c>
    </row>
    <row r="3488" spans="1:7" x14ac:dyDescent="0.3">
      <c r="A3488" s="4">
        <v>2343027</v>
      </c>
      <c r="B3488" t="s">
        <v>337</v>
      </c>
      <c r="C3488" s="4" t="s">
        <v>1010</v>
      </c>
      <c r="D3488" s="4" t="s">
        <v>1020</v>
      </c>
      <c r="E3488" s="4" t="s">
        <v>338</v>
      </c>
      <c r="F3488" s="1">
        <v>46099</v>
      </c>
      <c r="G3488" t="str">
        <f t="shared" si="113"/>
        <v>Mar -2026</v>
      </c>
    </row>
    <row r="3489" spans="1:7" x14ac:dyDescent="0.3">
      <c r="A3489" s="4">
        <v>2343032</v>
      </c>
      <c r="B3489" t="s">
        <v>511</v>
      </c>
      <c r="C3489" s="4" t="s">
        <v>1010</v>
      </c>
      <c r="D3489" s="4" t="s">
        <v>1020</v>
      </c>
      <c r="E3489" s="4" t="s">
        <v>338</v>
      </c>
      <c r="F3489" s="1">
        <v>46099</v>
      </c>
      <c r="G3489" t="str">
        <f t="shared" si="113"/>
        <v>Mar -2026</v>
      </c>
    </row>
    <row r="3490" spans="1:7" x14ac:dyDescent="0.3">
      <c r="A3490" s="4">
        <v>2350512</v>
      </c>
      <c r="B3490" t="s">
        <v>2566</v>
      </c>
      <c r="C3490" s="4" t="s">
        <v>1010</v>
      </c>
      <c r="D3490" s="4" t="s">
        <v>209</v>
      </c>
      <c r="E3490" s="4" t="s">
        <v>210</v>
      </c>
      <c r="F3490" s="1">
        <v>46099</v>
      </c>
      <c r="G3490" t="str">
        <f t="shared" si="113"/>
        <v>Mar -2026</v>
      </c>
    </row>
    <row r="3491" spans="1:7" x14ac:dyDescent="0.3">
      <c r="A3491" s="4">
        <v>2341248</v>
      </c>
      <c r="B3491" t="s">
        <v>2567</v>
      </c>
      <c r="C3491" s="4" t="s">
        <v>1010</v>
      </c>
      <c r="D3491" s="4" t="s">
        <v>209</v>
      </c>
      <c r="E3491" s="4" t="s">
        <v>375</v>
      </c>
      <c r="F3491" s="1">
        <v>46099</v>
      </c>
      <c r="G3491" t="str">
        <f t="shared" si="113"/>
        <v>Mar -2026</v>
      </c>
    </row>
    <row r="3492" spans="1:7" x14ac:dyDescent="0.3">
      <c r="A3492" s="4">
        <v>2350481</v>
      </c>
      <c r="B3492" t="s">
        <v>2568</v>
      </c>
      <c r="C3492" s="4" t="s">
        <v>1010</v>
      </c>
      <c r="D3492" s="4" t="s">
        <v>209</v>
      </c>
      <c r="E3492" s="4" t="s">
        <v>375</v>
      </c>
      <c r="F3492" s="1">
        <v>46099</v>
      </c>
      <c r="G3492" t="str">
        <f t="shared" si="113"/>
        <v>Mar -2026</v>
      </c>
    </row>
    <row r="3493" spans="1:7" x14ac:dyDescent="0.3">
      <c r="A3493" s="4">
        <v>2350330</v>
      </c>
      <c r="B3493" t="s">
        <v>2568</v>
      </c>
      <c r="C3493" s="4" t="s">
        <v>1010</v>
      </c>
      <c r="D3493" s="4" t="s">
        <v>209</v>
      </c>
      <c r="E3493" s="4" t="s">
        <v>375</v>
      </c>
      <c r="F3493" s="1">
        <v>46099</v>
      </c>
      <c r="G3493" t="str">
        <f t="shared" si="113"/>
        <v>Mar -2026</v>
      </c>
    </row>
    <row r="3494" spans="1:7" x14ac:dyDescent="0.3">
      <c r="A3494" s="4">
        <v>2327779</v>
      </c>
      <c r="B3494" t="s">
        <v>47</v>
      </c>
      <c r="C3494" s="4" t="s">
        <v>1010</v>
      </c>
      <c r="D3494" s="4" t="s">
        <v>1020</v>
      </c>
      <c r="E3494" s="4" t="s">
        <v>211</v>
      </c>
      <c r="F3494" s="1">
        <v>46099</v>
      </c>
      <c r="G3494" t="str">
        <f t="shared" si="113"/>
        <v>Mar -2026</v>
      </c>
    </row>
    <row r="3495" spans="1:7" x14ac:dyDescent="0.3">
      <c r="A3495" s="4">
        <v>2343050</v>
      </c>
      <c r="B3495" t="s">
        <v>2569</v>
      </c>
      <c r="C3495" s="4" t="s">
        <v>1010</v>
      </c>
      <c r="D3495" s="4" t="s">
        <v>1020</v>
      </c>
      <c r="E3495" s="4" t="s">
        <v>268</v>
      </c>
      <c r="F3495" s="1">
        <v>46099</v>
      </c>
      <c r="G3495" t="str">
        <f t="shared" si="113"/>
        <v>Mar -2026</v>
      </c>
    </row>
    <row r="3496" spans="1:7" x14ac:dyDescent="0.3">
      <c r="A3496" s="4">
        <v>200001595</v>
      </c>
      <c r="B3496" t="s">
        <v>2570</v>
      </c>
      <c r="C3496" s="4" t="s">
        <v>1010</v>
      </c>
      <c r="D3496" s="4" t="s">
        <v>1229</v>
      </c>
      <c r="E3496" s="4" t="s">
        <v>7</v>
      </c>
      <c r="F3496" s="1">
        <v>46099</v>
      </c>
      <c r="G3496" t="str">
        <f t="shared" si="113"/>
        <v>Mar -2026</v>
      </c>
    </row>
    <row r="3497" spans="1:7" x14ac:dyDescent="0.3">
      <c r="A3497" s="4">
        <v>2349939</v>
      </c>
      <c r="B3497" t="s">
        <v>2571</v>
      </c>
      <c r="C3497" s="4" t="s">
        <v>1010</v>
      </c>
      <c r="D3497" s="4" t="s">
        <v>1020</v>
      </c>
      <c r="E3497" s="4" t="s">
        <v>435</v>
      </c>
      <c r="F3497" s="1">
        <v>46099</v>
      </c>
      <c r="G3497" t="str">
        <f t="shared" si="113"/>
        <v>Mar -2026</v>
      </c>
    </row>
    <row r="3498" spans="1:7" x14ac:dyDescent="0.3">
      <c r="A3498" s="4">
        <v>2349928</v>
      </c>
      <c r="B3498" t="s">
        <v>2572</v>
      </c>
      <c r="C3498" s="4" t="s">
        <v>1010</v>
      </c>
      <c r="D3498" s="4" t="s">
        <v>1020</v>
      </c>
      <c r="E3498" s="4" t="s">
        <v>435</v>
      </c>
      <c r="F3498" s="1">
        <v>46099</v>
      </c>
      <c r="G3498" t="str">
        <f t="shared" si="113"/>
        <v>Mar -2026</v>
      </c>
    </row>
    <row r="3499" spans="1:7" x14ac:dyDescent="0.3">
      <c r="A3499" s="4">
        <v>2349334</v>
      </c>
      <c r="B3499" t="s">
        <v>2573</v>
      </c>
      <c r="C3499" s="4" t="s">
        <v>1010</v>
      </c>
      <c r="D3499" s="4" t="s">
        <v>1020</v>
      </c>
      <c r="E3499" s="4" t="s">
        <v>435</v>
      </c>
      <c r="F3499" s="1">
        <v>46099</v>
      </c>
      <c r="G3499" t="str">
        <f t="shared" si="113"/>
        <v>Mar -2026</v>
      </c>
    </row>
    <row r="3500" spans="1:7" x14ac:dyDescent="0.3">
      <c r="A3500" s="4">
        <v>2331418</v>
      </c>
      <c r="B3500" t="s">
        <v>47</v>
      </c>
      <c r="C3500" s="4" t="s">
        <v>1010</v>
      </c>
      <c r="D3500" s="4" t="s">
        <v>1020</v>
      </c>
      <c r="E3500" s="4" t="s">
        <v>211</v>
      </c>
      <c r="F3500" s="1">
        <v>46099</v>
      </c>
      <c r="G3500" t="str">
        <f t="shared" si="113"/>
        <v>Mar -2026</v>
      </c>
    </row>
    <row r="3501" spans="1:7" x14ac:dyDescent="0.3">
      <c r="A3501" s="4">
        <v>2349955</v>
      </c>
      <c r="B3501" t="s">
        <v>2572</v>
      </c>
      <c r="C3501" s="4" t="s">
        <v>1010</v>
      </c>
      <c r="D3501" s="4" t="s">
        <v>1020</v>
      </c>
      <c r="E3501" s="4" t="s">
        <v>435</v>
      </c>
      <c r="F3501" s="1">
        <v>46099</v>
      </c>
      <c r="G3501" t="str">
        <f t="shared" si="113"/>
        <v>Mar -2026</v>
      </c>
    </row>
    <row r="3502" spans="1:7" x14ac:dyDescent="0.3">
      <c r="A3502" s="4">
        <v>2349952</v>
      </c>
      <c r="B3502" t="s">
        <v>2574</v>
      </c>
      <c r="C3502" s="4" t="s">
        <v>1010</v>
      </c>
      <c r="D3502" s="4" t="s">
        <v>1020</v>
      </c>
      <c r="E3502" s="4" t="s">
        <v>435</v>
      </c>
      <c r="F3502" s="1">
        <v>46099</v>
      </c>
      <c r="G3502" t="str">
        <f t="shared" si="113"/>
        <v>Mar -2026</v>
      </c>
    </row>
    <row r="3503" spans="1:7" x14ac:dyDescent="0.3">
      <c r="A3503" s="4">
        <v>2349341</v>
      </c>
      <c r="B3503" t="s">
        <v>2575</v>
      </c>
      <c r="C3503" s="4" t="s">
        <v>1010</v>
      </c>
      <c r="D3503" s="4" t="s">
        <v>1020</v>
      </c>
      <c r="E3503" s="4" t="s">
        <v>435</v>
      </c>
      <c r="F3503" s="1">
        <v>46099</v>
      </c>
      <c r="G3503" t="str">
        <f t="shared" si="113"/>
        <v>Mar -2026</v>
      </c>
    </row>
    <row r="3504" spans="1:7" x14ac:dyDescent="0.3">
      <c r="A3504" s="4">
        <v>2352626</v>
      </c>
      <c r="B3504" t="s">
        <v>2576</v>
      </c>
      <c r="C3504" s="4" t="s">
        <v>1010</v>
      </c>
      <c r="D3504" s="4" t="s">
        <v>209</v>
      </c>
      <c r="E3504" s="4" t="s">
        <v>375</v>
      </c>
      <c r="F3504" s="1">
        <v>46100</v>
      </c>
      <c r="G3504" t="str">
        <f t="shared" si="113"/>
        <v>Mar -2026</v>
      </c>
    </row>
    <row r="3505" spans="1:7" x14ac:dyDescent="0.3">
      <c r="A3505" s="4">
        <v>2352784</v>
      </c>
      <c r="B3505" t="s">
        <v>2577</v>
      </c>
      <c r="C3505" s="4" t="s">
        <v>1010</v>
      </c>
      <c r="D3505" s="4" t="s">
        <v>209</v>
      </c>
      <c r="E3505" s="4" t="s">
        <v>375</v>
      </c>
      <c r="F3505" s="1">
        <v>46100</v>
      </c>
      <c r="G3505" t="str">
        <f t="shared" si="113"/>
        <v>Mar -2026</v>
      </c>
    </row>
    <row r="3506" spans="1:7" x14ac:dyDescent="0.3">
      <c r="A3506" s="4">
        <v>2352882</v>
      </c>
      <c r="B3506" t="s">
        <v>2578</v>
      </c>
      <c r="C3506" s="4" t="s">
        <v>1010</v>
      </c>
      <c r="D3506" s="4" t="s">
        <v>209</v>
      </c>
      <c r="E3506" s="4" t="s">
        <v>375</v>
      </c>
      <c r="F3506" s="1">
        <v>46100</v>
      </c>
      <c r="G3506" t="str">
        <f t="shared" si="113"/>
        <v>Mar -2026</v>
      </c>
    </row>
    <row r="3507" spans="1:7" x14ac:dyDescent="0.3">
      <c r="A3507" s="4">
        <v>2352837</v>
      </c>
      <c r="B3507" t="s">
        <v>2579</v>
      </c>
      <c r="C3507" s="4" t="s">
        <v>1010</v>
      </c>
      <c r="D3507" s="4" t="s">
        <v>209</v>
      </c>
      <c r="E3507" s="4" t="s">
        <v>375</v>
      </c>
      <c r="F3507" s="1">
        <v>46100</v>
      </c>
      <c r="G3507" t="str">
        <f t="shared" si="113"/>
        <v>Mar -2026</v>
      </c>
    </row>
    <row r="3508" spans="1:7" x14ac:dyDescent="0.3">
      <c r="A3508" s="4">
        <v>2349346</v>
      </c>
      <c r="B3508" t="s">
        <v>455</v>
      </c>
      <c r="C3508" s="4" t="s">
        <v>1010</v>
      </c>
      <c r="D3508" s="4" t="s">
        <v>209</v>
      </c>
      <c r="E3508" s="4" t="s">
        <v>228</v>
      </c>
      <c r="F3508" s="1">
        <v>46100</v>
      </c>
      <c r="G3508" t="str">
        <f t="shared" si="113"/>
        <v>Mar -2026</v>
      </c>
    </row>
    <row r="3509" spans="1:7" x14ac:dyDescent="0.3">
      <c r="A3509" s="4">
        <v>2349347</v>
      </c>
      <c r="B3509" t="s">
        <v>455</v>
      </c>
      <c r="C3509" s="4" t="s">
        <v>1010</v>
      </c>
      <c r="D3509" s="4" t="s">
        <v>209</v>
      </c>
      <c r="E3509" s="4" t="s">
        <v>228</v>
      </c>
      <c r="F3509" s="1">
        <v>46100</v>
      </c>
      <c r="G3509" t="str">
        <f t="shared" si="113"/>
        <v>Mar -2026</v>
      </c>
    </row>
    <row r="3510" spans="1:7" x14ac:dyDescent="0.3">
      <c r="A3510" s="4">
        <v>2351045</v>
      </c>
      <c r="B3510" t="s">
        <v>2580</v>
      </c>
      <c r="C3510" s="4" t="s">
        <v>1010</v>
      </c>
      <c r="D3510" s="4" t="s">
        <v>1020</v>
      </c>
      <c r="E3510" s="4" t="s">
        <v>2310</v>
      </c>
      <c r="F3510" s="1">
        <v>46100</v>
      </c>
      <c r="G3510" t="str">
        <f t="shared" si="113"/>
        <v>Mar -2026</v>
      </c>
    </row>
    <row r="3511" spans="1:7" x14ac:dyDescent="0.3">
      <c r="A3511" s="4">
        <v>2346854</v>
      </c>
      <c r="B3511" t="s">
        <v>2407</v>
      </c>
      <c r="C3511" s="4" t="s">
        <v>1010</v>
      </c>
      <c r="D3511" s="4" t="s">
        <v>1020</v>
      </c>
      <c r="E3511" s="4" t="s">
        <v>2028</v>
      </c>
      <c r="F3511" s="1">
        <v>46100</v>
      </c>
      <c r="G3511" t="str">
        <f t="shared" si="113"/>
        <v>Mar -2026</v>
      </c>
    </row>
    <row r="3512" spans="1:7" x14ac:dyDescent="0.3">
      <c r="A3512" s="4">
        <v>2353051</v>
      </c>
      <c r="B3512" t="s">
        <v>2581</v>
      </c>
      <c r="C3512" s="4" t="s">
        <v>1010</v>
      </c>
      <c r="D3512" s="4" t="s">
        <v>1020</v>
      </c>
      <c r="E3512" s="4" t="s">
        <v>2310</v>
      </c>
      <c r="F3512" s="1">
        <v>46100</v>
      </c>
      <c r="G3512" t="str">
        <f t="shared" si="113"/>
        <v>Mar -2026</v>
      </c>
    </row>
    <row r="3513" spans="1:7" x14ac:dyDescent="0.3">
      <c r="A3513" s="4">
        <v>2305624</v>
      </c>
      <c r="B3513" t="s">
        <v>2582</v>
      </c>
      <c r="C3513" s="4" t="s">
        <v>1010</v>
      </c>
      <c r="D3513" s="4" t="s">
        <v>1020</v>
      </c>
      <c r="E3513" s="4" t="s">
        <v>2028</v>
      </c>
      <c r="F3513" s="1">
        <v>46100</v>
      </c>
      <c r="G3513" t="str">
        <f t="shared" si="113"/>
        <v>Mar -2026</v>
      </c>
    </row>
    <row r="3514" spans="1:7" x14ac:dyDescent="0.3">
      <c r="A3514" s="4">
        <v>2329082</v>
      </c>
      <c r="B3514" t="s">
        <v>2583</v>
      </c>
      <c r="C3514" s="4" t="s">
        <v>1010</v>
      </c>
      <c r="D3514" s="4" t="s">
        <v>1020</v>
      </c>
      <c r="E3514" s="4" t="s">
        <v>2028</v>
      </c>
      <c r="F3514" s="1">
        <v>46100</v>
      </c>
      <c r="G3514" t="str">
        <f t="shared" si="113"/>
        <v>Mar -2026</v>
      </c>
    </row>
    <row r="3515" spans="1:7" x14ac:dyDescent="0.3">
      <c r="A3515" s="4">
        <v>2343747</v>
      </c>
      <c r="B3515" t="s">
        <v>2584</v>
      </c>
      <c r="C3515" s="4" t="s">
        <v>1010</v>
      </c>
      <c r="D3515" s="4" t="s">
        <v>364</v>
      </c>
      <c r="E3515" s="4" t="s">
        <v>15</v>
      </c>
      <c r="F3515" s="1">
        <v>46100</v>
      </c>
      <c r="G3515" t="str">
        <f t="shared" si="113"/>
        <v>Mar -2026</v>
      </c>
    </row>
    <row r="3516" spans="1:7" x14ac:dyDescent="0.3">
      <c r="A3516" s="4">
        <v>2353415</v>
      </c>
      <c r="B3516" t="s">
        <v>2585</v>
      </c>
      <c r="C3516" s="4" t="s">
        <v>1010</v>
      </c>
      <c r="D3516" s="4" t="s">
        <v>209</v>
      </c>
      <c r="E3516" s="4" t="s">
        <v>225</v>
      </c>
      <c r="F3516" s="1">
        <v>46100</v>
      </c>
      <c r="G3516" t="str">
        <f t="shared" si="113"/>
        <v>Mar -2026</v>
      </c>
    </row>
    <row r="3517" spans="1:7" x14ac:dyDescent="0.3">
      <c r="A3517" s="4">
        <v>900006897</v>
      </c>
      <c r="B3517" t="s">
        <v>2586</v>
      </c>
      <c r="C3517" s="4" t="s">
        <v>1010</v>
      </c>
      <c r="D3517" s="4" t="s">
        <v>209</v>
      </c>
      <c r="E3517" s="4" t="s">
        <v>1877</v>
      </c>
      <c r="F3517" s="1">
        <v>46100</v>
      </c>
      <c r="G3517" t="str">
        <f t="shared" si="113"/>
        <v>Mar -2026</v>
      </c>
    </row>
    <row r="3518" spans="1:7" x14ac:dyDescent="0.3">
      <c r="A3518" s="4">
        <v>2346721</v>
      </c>
      <c r="B3518" t="s">
        <v>2587</v>
      </c>
      <c r="C3518" s="4" t="s">
        <v>1010</v>
      </c>
      <c r="D3518" s="4" t="s">
        <v>1020</v>
      </c>
      <c r="E3518" s="4" t="s">
        <v>2310</v>
      </c>
      <c r="F3518" s="1">
        <v>46100</v>
      </c>
      <c r="G3518" t="str">
        <f t="shared" si="113"/>
        <v>Mar -2026</v>
      </c>
    </row>
    <row r="3519" spans="1:7" x14ac:dyDescent="0.3">
      <c r="A3519" s="4">
        <v>2353687</v>
      </c>
      <c r="B3519" t="s">
        <v>2588</v>
      </c>
      <c r="C3519" s="4" t="s">
        <v>1010</v>
      </c>
      <c r="D3519" s="4" t="s">
        <v>1020</v>
      </c>
      <c r="E3519" s="4" t="s">
        <v>2310</v>
      </c>
      <c r="F3519" s="1">
        <v>46100</v>
      </c>
      <c r="G3519" t="str">
        <f t="shared" si="113"/>
        <v>Mar -2026</v>
      </c>
    </row>
    <row r="3520" spans="1:7" x14ac:dyDescent="0.3">
      <c r="A3520" s="4">
        <v>900006838</v>
      </c>
      <c r="B3520" t="s">
        <v>2589</v>
      </c>
      <c r="C3520" s="4" t="s">
        <v>1010</v>
      </c>
      <c r="D3520" s="4" t="s">
        <v>1020</v>
      </c>
      <c r="E3520" s="4" t="s">
        <v>1877</v>
      </c>
      <c r="F3520" s="1">
        <v>46100</v>
      </c>
      <c r="G3520" t="str">
        <f t="shared" si="113"/>
        <v>Mar -2026</v>
      </c>
    </row>
    <row r="3521" spans="1:7" x14ac:dyDescent="0.3">
      <c r="A3521" s="4">
        <v>900006825</v>
      </c>
      <c r="B3521" t="s">
        <v>2590</v>
      </c>
      <c r="C3521" s="4" t="s">
        <v>1010</v>
      </c>
      <c r="D3521" s="4" t="s">
        <v>1551</v>
      </c>
      <c r="E3521" s="4" t="s">
        <v>1877</v>
      </c>
      <c r="F3521" s="1">
        <v>46100</v>
      </c>
      <c r="G3521" t="str">
        <f t="shared" si="113"/>
        <v>Mar -2026</v>
      </c>
    </row>
    <row r="3522" spans="1:7" x14ac:dyDescent="0.3">
      <c r="A3522" s="4">
        <v>2353749</v>
      </c>
      <c r="B3522" t="s">
        <v>2591</v>
      </c>
      <c r="C3522" s="4" t="s">
        <v>1010</v>
      </c>
      <c r="D3522" s="4" t="s">
        <v>209</v>
      </c>
      <c r="E3522" s="4" t="s">
        <v>1092</v>
      </c>
      <c r="F3522" s="1">
        <v>46100</v>
      </c>
      <c r="G3522" t="str">
        <f t="shared" si="113"/>
        <v>Mar -2026</v>
      </c>
    </row>
    <row r="3523" spans="1:7" x14ac:dyDescent="0.3">
      <c r="A3523" s="4">
        <v>2354092</v>
      </c>
      <c r="B3523" t="s">
        <v>2592</v>
      </c>
      <c r="C3523" s="4" t="s">
        <v>1010</v>
      </c>
      <c r="D3523" s="4" t="s">
        <v>1020</v>
      </c>
      <c r="E3523" s="4" t="s">
        <v>2310</v>
      </c>
      <c r="F3523" s="1">
        <v>46100</v>
      </c>
      <c r="G3523" t="str">
        <f t="shared" si="113"/>
        <v>Mar -2026</v>
      </c>
    </row>
    <row r="3524" spans="1:7" x14ac:dyDescent="0.3">
      <c r="A3524" s="4">
        <v>900006921</v>
      </c>
      <c r="B3524" t="s">
        <v>2593</v>
      </c>
      <c r="C3524" s="4" t="s">
        <v>1010</v>
      </c>
      <c r="D3524" s="4" t="s">
        <v>209</v>
      </c>
      <c r="E3524" s="4" t="s">
        <v>1877</v>
      </c>
      <c r="F3524" s="1">
        <v>46100</v>
      </c>
      <c r="G3524" t="str">
        <f t="shared" si="113"/>
        <v>Mar -2026</v>
      </c>
    </row>
    <row r="3525" spans="1:7" x14ac:dyDescent="0.3">
      <c r="A3525" s="4">
        <v>100005738</v>
      </c>
      <c r="B3525" t="s">
        <v>2594</v>
      </c>
      <c r="C3525" s="3" t="s">
        <v>1011</v>
      </c>
      <c r="D3525" s="4" t="s">
        <v>2015</v>
      </c>
      <c r="E3525" s="4" t="s">
        <v>976</v>
      </c>
      <c r="F3525" s="1">
        <v>46100</v>
      </c>
      <c r="G3525" t="str">
        <f t="shared" si="113"/>
        <v>Mar -2026</v>
      </c>
    </row>
    <row r="3526" spans="1:7" x14ac:dyDescent="0.3">
      <c r="A3526" s="4">
        <v>100005740</v>
      </c>
      <c r="B3526" t="s">
        <v>2595</v>
      </c>
      <c r="C3526" s="3" t="s">
        <v>1011</v>
      </c>
      <c r="D3526" s="4" t="s">
        <v>2015</v>
      </c>
      <c r="E3526" s="4" t="s">
        <v>967</v>
      </c>
      <c r="F3526" s="1">
        <v>46100</v>
      </c>
      <c r="G3526" t="str">
        <f t="shared" si="113"/>
        <v>Mar -2026</v>
      </c>
    </row>
    <row r="3527" spans="1:7" x14ac:dyDescent="0.3">
      <c r="A3527" s="4">
        <v>100005715</v>
      </c>
      <c r="B3527" t="s">
        <v>2596</v>
      </c>
      <c r="C3527" s="3" t="s">
        <v>1011</v>
      </c>
      <c r="D3527" s="4" t="s">
        <v>2015</v>
      </c>
      <c r="E3527" s="4" t="s">
        <v>987</v>
      </c>
      <c r="F3527" s="1">
        <v>46100</v>
      </c>
      <c r="G3527" t="str">
        <f t="shared" si="113"/>
        <v>Mar -2026</v>
      </c>
    </row>
    <row r="3528" spans="1:7" x14ac:dyDescent="0.3">
      <c r="A3528" s="4">
        <v>100005705</v>
      </c>
      <c r="B3528" t="s">
        <v>2597</v>
      </c>
      <c r="C3528" s="3" t="s">
        <v>1011</v>
      </c>
      <c r="D3528" s="4" t="s">
        <v>2015</v>
      </c>
      <c r="E3528" s="4" t="s">
        <v>982</v>
      </c>
      <c r="F3528" s="1">
        <v>46100</v>
      </c>
      <c r="G3528" t="str">
        <f t="shared" si="113"/>
        <v>Mar -2026</v>
      </c>
    </row>
    <row r="3529" spans="1:7" x14ac:dyDescent="0.3">
      <c r="A3529" s="4">
        <v>100005752</v>
      </c>
      <c r="B3529" t="s">
        <v>2598</v>
      </c>
      <c r="C3529" s="3" t="s">
        <v>1011</v>
      </c>
      <c r="D3529" s="4" t="s">
        <v>2015</v>
      </c>
      <c r="E3529" s="4" t="s">
        <v>982</v>
      </c>
      <c r="F3529" s="1">
        <v>46101</v>
      </c>
      <c r="G3529" t="str">
        <f t="shared" si="113"/>
        <v>Mar -2026</v>
      </c>
    </row>
    <row r="3530" spans="1:7" x14ac:dyDescent="0.3">
      <c r="A3530" s="4">
        <v>900006647</v>
      </c>
      <c r="B3530" t="s">
        <v>2422</v>
      </c>
      <c r="C3530" s="3" t="s">
        <v>1604</v>
      </c>
      <c r="D3530" s="4" t="s">
        <v>2018</v>
      </c>
      <c r="E3530" s="4" t="s">
        <v>1877</v>
      </c>
      <c r="F3530" s="1">
        <v>46101</v>
      </c>
      <c r="G3530" t="str">
        <f t="shared" si="113"/>
        <v>Mar -2026</v>
      </c>
    </row>
    <row r="3531" spans="1:7" x14ac:dyDescent="0.3">
      <c r="A3531" s="4">
        <v>900006932</v>
      </c>
      <c r="B3531" t="s">
        <v>2599</v>
      </c>
      <c r="C3531" s="3" t="s">
        <v>1604</v>
      </c>
      <c r="D3531" s="4" t="s">
        <v>2018</v>
      </c>
      <c r="E3531" s="4" t="s">
        <v>1877</v>
      </c>
      <c r="F3531" s="1">
        <v>46101</v>
      </c>
      <c r="G3531" t="str">
        <f t="shared" si="113"/>
        <v>Mar -2026</v>
      </c>
    </row>
    <row r="3532" spans="1:7" x14ac:dyDescent="0.3">
      <c r="A3532" s="4">
        <v>900006803</v>
      </c>
      <c r="B3532" t="s">
        <v>2600</v>
      </c>
      <c r="C3532" s="3" t="s">
        <v>1604</v>
      </c>
      <c r="D3532" s="4" t="s">
        <v>2018</v>
      </c>
      <c r="E3532" s="4" t="s">
        <v>1877</v>
      </c>
      <c r="F3532" s="1">
        <v>46101</v>
      </c>
      <c r="G3532" t="str">
        <f t="shared" si="113"/>
        <v>Mar -2026</v>
      </c>
    </row>
    <row r="3533" spans="1:7" x14ac:dyDescent="0.3">
      <c r="A3533" s="4">
        <v>900006931</v>
      </c>
      <c r="B3533" t="s">
        <v>2601</v>
      </c>
      <c r="C3533" s="3" t="s">
        <v>1604</v>
      </c>
      <c r="D3533" s="4" t="s">
        <v>2031</v>
      </c>
      <c r="E3533" s="4" t="s">
        <v>1877</v>
      </c>
      <c r="F3533" s="1">
        <v>46101</v>
      </c>
      <c r="G3533" t="str">
        <f t="shared" si="113"/>
        <v>Mar -2026</v>
      </c>
    </row>
    <row r="3534" spans="1:7" x14ac:dyDescent="0.3">
      <c r="A3534" s="4">
        <v>100005731</v>
      </c>
      <c r="B3534" t="s">
        <v>2558</v>
      </c>
      <c r="C3534" s="3" t="s">
        <v>1604</v>
      </c>
      <c r="D3534" s="4" t="s">
        <v>2031</v>
      </c>
      <c r="E3534" s="4" t="s">
        <v>968</v>
      </c>
      <c r="F3534" s="1">
        <v>46101</v>
      </c>
      <c r="G3534" t="str">
        <f t="shared" ref="G3534:G3597" si="114">TEXT(F3534,"mmm -YYYY")</f>
        <v>Mar -2026</v>
      </c>
    </row>
    <row r="3535" spans="1:7" x14ac:dyDescent="0.3">
      <c r="A3535" s="4">
        <v>100005754</v>
      </c>
      <c r="B3535" t="s">
        <v>2602</v>
      </c>
      <c r="C3535" s="3" t="s">
        <v>1011</v>
      </c>
      <c r="D3535" s="4" t="s">
        <v>2015</v>
      </c>
      <c r="E3535" s="4" t="s">
        <v>1569</v>
      </c>
      <c r="F3535" s="1">
        <v>46101</v>
      </c>
      <c r="G3535" t="str">
        <f t="shared" si="114"/>
        <v>Mar -2026</v>
      </c>
    </row>
    <row r="3536" spans="1:7" x14ac:dyDescent="0.3">
      <c r="A3536" s="4">
        <v>2346721</v>
      </c>
      <c r="B3536" t="s">
        <v>2587</v>
      </c>
      <c r="C3536" s="4" t="s">
        <v>1010</v>
      </c>
      <c r="D3536" s="4" t="s">
        <v>1020</v>
      </c>
      <c r="E3536" s="4" t="s">
        <v>2310</v>
      </c>
      <c r="F3536" s="1">
        <v>46101</v>
      </c>
      <c r="G3536" t="str">
        <f t="shared" si="114"/>
        <v>Mar -2026</v>
      </c>
    </row>
    <row r="3537" spans="1:7" x14ac:dyDescent="0.3">
      <c r="A3537" s="4">
        <v>2350686</v>
      </c>
      <c r="B3537" t="s">
        <v>2603</v>
      </c>
      <c r="C3537" s="4" t="s">
        <v>1010</v>
      </c>
      <c r="D3537" s="4" t="s">
        <v>1020</v>
      </c>
      <c r="E3537" s="4" t="s">
        <v>2028</v>
      </c>
      <c r="F3537" s="1">
        <v>46101</v>
      </c>
      <c r="G3537" t="str">
        <f t="shared" si="114"/>
        <v>Mar -2026</v>
      </c>
    </row>
    <row r="3538" spans="1:7" x14ac:dyDescent="0.3">
      <c r="A3538" s="4">
        <v>2350685</v>
      </c>
      <c r="B3538" t="s">
        <v>2604</v>
      </c>
      <c r="C3538" s="4" t="s">
        <v>1010</v>
      </c>
      <c r="D3538" s="4" t="s">
        <v>1020</v>
      </c>
      <c r="E3538" s="4" t="s">
        <v>2028</v>
      </c>
      <c r="F3538" s="1">
        <v>46101</v>
      </c>
      <c r="G3538" t="str">
        <f t="shared" si="114"/>
        <v>Mar -2026</v>
      </c>
    </row>
    <row r="3539" spans="1:7" x14ac:dyDescent="0.3">
      <c r="A3539" s="4">
        <v>2354092</v>
      </c>
      <c r="B3539" t="s">
        <v>2592</v>
      </c>
      <c r="C3539" s="4" t="s">
        <v>1010</v>
      </c>
      <c r="D3539" s="4" t="s">
        <v>1020</v>
      </c>
      <c r="E3539" s="4" t="s">
        <v>2310</v>
      </c>
      <c r="F3539" s="1">
        <v>46101</v>
      </c>
      <c r="G3539" t="str">
        <f t="shared" si="114"/>
        <v>Mar -2026</v>
      </c>
    </row>
    <row r="3540" spans="1:7" x14ac:dyDescent="0.3">
      <c r="A3540" s="4">
        <v>2351043</v>
      </c>
      <c r="B3540" t="s">
        <v>2407</v>
      </c>
      <c r="C3540" s="4" t="s">
        <v>1010</v>
      </c>
      <c r="D3540" s="4" t="s">
        <v>1020</v>
      </c>
      <c r="E3540" s="4" t="s">
        <v>2028</v>
      </c>
      <c r="F3540" s="1">
        <v>46101</v>
      </c>
      <c r="G3540" t="str">
        <f t="shared" si="114"/>
        <v>Mar -2026</v>
      </c>
    </row>
    <row r="3541" spans="1:7" x14ac:dyDescent="0.3">
      <c r="A3541" s="4">
        <v>900006932</v>
      </c>
      <c r="B3541" t="s">
        <v>2599</v>
      </c>
      <c r="C3541" s="4" t="s">
        <v>1010</v>
      </c>
      <c r="D3541" s="4" t="s">
        <v>209</v>
      </c>
      <c r="E3541" s="4" t="s">
        <v>1877</v>
      </c>
      <c r="F3541" s="1">
        <v>46101</v>
      </c>
      <c r="G3541" t="str">
        <f t="shared" si="114"/>
        <v>Mar -2026</v>
      </c>
    </row>
    <row r="3542" spans="1:7" x14ac:dyDescent="0.3">
      <c r="A3542" s="4">
        <v>2356453</v>
      </c>
      <c r="B3542" t="s">
        <v>2605</v>
      </c>
      <c r="C3542" s="4" t="s">
        <v>1010</v>
      </c>
      <c r="D3542" s="4" t="s">
        <v>209</v>
      </c>
      <c r="E3542" s="4" t="s">
        <v>375</v>
      </c>
      <c r="F3542" s="1">
        <v>46101</v>
      </c>
      <c r="G3542" t="str">
        <f t="shared" si="114"/>
        <v>Mar -2026</v>
      </c>
    </row>
    <row r="3543" spans="1:7" x14ac:dyDescent="0.3">
      <c r="A3543" s="4">
        <v>2356455</v>
      </c>
      <c r="B3543" t="s">
        <v>2606</v>
      </c>
      <c r="C3543" s="4" t="s">
        <v>1010</v>
      </c>
      <c r="D3543" s="4" t="s">
        <v>1020</v>
      </c>
      <c r="E3543" s="4" t="s">
        <v>2310</v>
      </c>
      <c r="F3543" s="1">
        <v>46101</v>
      </c>
      <c r="G3543" t="str">
        <f t="shared" si="114"/>
        <v>Mar -2026</v>
      </c>
    </row>
    <row r="3544" spans="1:7" x14ac:dyDescent="0.3">
      <c r="A3544" s="4">
        <v>2356536</v>
      </c>
      <c r="B3544" t="s">
        <v>2607</v>
      </c>
      <c r="C3544" s="4" t="s">
        <v>1010</v>
      </c>
      <c r="D3544" s="4" t="s">
        <v>1020</v>
      </c>
      <c r="E3544" s="4" t="s">
        <v>2310</v>
      </c>
      <c r="F3544" s="1">
        <v>46101</v>
      </c>
      <c r="G3544" t="str">
        <f t="shared" si="114"/>
        <v>Mar -2026</v>
      </c>
    </row>
    <row r="3545" spans="1:7" x14ac:dyDescent="0.3">
      <c r="A3545" s="4">
        <v>2356541</v>
      </c>
      <c r="B3545" t="s">
        <v>2608</v>
      </c>
      <c r="C3545" s="4" t="s">
        <v>1010</v>
      </c>
      <c r="D3545" s="4" t="s">
        <v>209</v>
      </c>
      <c r="E3545" s="4" t="s">
        <v>225</v>
      </c>
      <c r="F3545" s="1">
        <v>46101</v>
      </c>
      <c r="G3545" t="str">
        <f t="shared" si="114"/>
        <v>Mar -2026</v>
      </c>
    </row>
    <row r="3546" spans="1:7" x14ac:dyDescent="0.3">
      <c r="A3546" s="4">
        <v>2356602</v>
      </c>
      <c r="B3546" t="s">
        <v>2609</v>
      </c>
      <c r="C3546" s="4" t="s">
        <v>1010</v>
      </c>
      <c r="D3546" s="4" t="s">
        <v>1020</v>
      </c>
      <c r="E3546" s="4" t="s">
        <v>2310</v>
      </c>
      <c r="F3546" s="1">
        <v>46101</v>
      </c>
      <c r="G3546" t="str">
        <f t="shared" si="114"/>
        <v>Mar -2026</v>
      </c>
    </row>
    <row r="3547" spans="1:7" x14ac:dyDescent="0.3">
      <c r="A3547" s="4">
        <v>2356887</v>
      </c>
      <c r="B3547" t="s">
        <v>2610</v>
      </c>
      <c r="C3547" s="4" t="s">
        <v>1010</v>
      </c>
      <c r="D3547" s="4" t="s">
        <v>209</v>
      </c>
      <c r="E3547" s="4" t="s">
        <v>2611</v>
      </c>
      <c r="F3547" s="1">
        <v>46101</v>
      </c>
      <c r="G3547" t="str">
        <f t="shared" si="114"/>
        <v>Mar -2026</v>
      </c>
    </row>
    <row r="3548" spans="1:7" x14ac:dyDescent="0.3">
      <c r="A3548" s="4">
        <v>2356917</v>
      </c>
      <c r="B3548" t="s">
        <v>2610</v>
      </c>
      <c r="C3548" s="4" t="s">
        <v>1010</v>
      </c>
      <c r="D3548" s="4" t="s">
        <v>209</v>
      </c>
      <c r="E3548" s="4" t="s">
        <v>2328</v>
      </c>
      <c r="F3548" s="1">
        <v>46101</v>
      </c>
      <c r="G3548" t="str">
        <f t="shared" si="114"/>
        <v>Mar -2026</v>
      </c>
    </row>
    <row r="3549" spans="1:7" x14ac:dyDescent="0.3">
      <c r="A3549" s="4">
        <v>2345822</v>
      </c>
      <c r="B3549" t="s">
        <v>2612</v>
      </c>
      <c r="C3549" s="4" t="s">
        <v>1010</v>
      </c>
      <c r="D3549" s="4" t="s">
        <v>364</v>
      </c>
      <c r="E3549" s="4" t="s">
        <v>15</v>
      </c>
      <c r="F3549" s="1">
        <v>46101</v>
      </c>
      <c r="G3549" t="str">
        <f t="shared" si="114"/>
        <v>Mar -2026</v>
      </c>
    </row>
    <row r="3550" spans="1:7" x14ac:dyDescent="0.3">
      <c r="A3550" s="4">
        <v>2345669</v>
      </c>
      <c r="B3550" t="s">
        <v>2613</v>
      </c>
      <c r="C3550" s="4" t="s">
        <v>1010</v>
      </c>
      <c r="D3550" s="4" t="s">
        <v>364</v>
      </c>
      <c r="E3550" s="4" t="s">
        <v>15</v>
      </c>
      <c r="F3550" s="1">
        <v>46101</v>
      </c>
      <c r="G3550" t="str">
        <f t="shared" si="114"/>
        <v>Mar -2026</v>
      </c>
    </row>
    <row r="3551" spans="1:7" x14ac:dyDescent="0.3">
      <c r="A3551" s="4">
        <v>2345819</v>
      </c>
      <c r="B3551" t="s">
        <v>2614</v>
      </c>
      <c r="C3551" s="4" t="s">
        <v>1010</v>
      </c>
      <c r="D3551" s="4" t="s">
        <v>364</v>
      </c>
      <c r="E3551" s="4" t="s">
        <v>15</v>
      </c>
      <c r="F3551" s="1">
        <v>46101</v>
      </c>
      <c r="G3551" t="str">
        <f t="shared" si="114"/>
        <v>Mar -2026</v>
      </c>
    </row>
    <row r="3552" spans="1:7" x14ac:dyDescent="0.3">
      <c r="A3552" s="4">
        <v>2357043</v>
      </c>
      <c r="B3552" t="s">
        <v>2615</v>
      </c>
      <c r="C3552" s="4" t="s">
        <v>1010</v>
      </c>
      <c r="D3552" s="4" t="s">
        <v>209</v>
      </c>
      <c r="E3552" s="4" t="s">
        <v>375</v>
      </c>
      <c r="F3552" s="1">
        <v>46101</v>
      </c>
      <c r="G3552" t="str">
        <f t="shared" si="114"/>
        <v>Mar -2026</v>
      </c>
    </row>
    <row r="3553" spans="1:7" x14ac:dyDescent="0.3">
      <c r="A3553" s="4">
        <v>2357072</v>
      </c>
      <c r="B3553" t="s">
        <v>2616</v>
      </c>
      <c r="C3553" s="4" t="s">
        <v>1010</v>
      </c>
      <c r="D3553" s="4" t="s">
        <v>209</v>
      </c>
      <c r="E3553" s="4" t="s">
        <v>375</v>
      </c>
      <c r="F3553" s="1">
        <v>46101</v>
      </c>
      <c r="G3553" t="str">
        <f t="shared" si="114"/>
        <v>Mar -2026</v>
      </c>
    </row>
    <row r="3554" spans="1:7" x14ac:dyDescent="0.3">
      <c r="A3554" s="4">
        <v>2357192</v>
      </c>
      <c r="B3554" t="s">
        <v>2617</v>
      </c>
      <c r="C3554" s="4" t="s">
        <v>1010</v>
      </c>
      <c r="D3554" s="4" t="s">
        <v>209</v>
      </c>
      <c r="E3554" s="4" t="s">
        <v>228</v>
      </c>
      <c r="F3554" s="1">
        <v>46101</v>
      </c>
      <c r="G3554" t="str">
        <f t="shared" si="114"/>
        <v>Mar -2026</v>
      </c>
    </row>
    <row r="3555" spans="1:7" x14ac:dyDescent="0.3">
      <c r="A3555" s="4">
        <v>2357206</v>
      </c>
      <c r="B3555" t="s">
        <v>2618</v>
      </c>
      <c r="C3555" s="4" t="s">
        <v>1010</v>
      </c>
      <c r="D3555" s="4" t="s">
        <v>1020</v>
      </c>
      <c r="E3555" s="4" t="s">
        <v>2310</v>
      </c>
      <c r="F3555" s="1">
        <v>46104</v>
      </c>
      <c r="G3555" t="str">
        <f t="shared" si="114"/>
        <v>Mar -2026</v>
      </c>
    </row>
    <row r="3556" spans="1:7" x14ac:dyDescent="0.3">
      <c r="A3556" s="4">
        <v>2357234</v>
      </c>
      <c r="B3556" t="s">
        <v>2619</v>
      </c>
      <c r="C3556" s="4" t="s">
        <v>1010</v>
      </c>
      <c r="D3556" s="4" t="s">
        <v>1020</v>
      </c>
      <c r="E3556" s="4" t="s">
        <v>2310</v>
      </c>
      <c r="F3556" s="1">
        <v>46104</v>
      </c>
      <c r="G3556" t="str">
        <f t="shared" si="114"/>
        <v>Mar -2026</v>
      </c>
    </row>
    <row r="3557" spans="1:7" x14ac:dyDescent="0.3">
      <c r="A3557" s="4">
        <v>2357127</v>
      </c>
      <c r="B3557" t="s">
        <v>2620</v>
      </c>
      <c r="C3557" s="4" t="s">
        <v>1010</v>
      </c>
      <c r="D3557" s="4" t="s">
        <v>1020</v>
      </c>
      <c r="E3557" s="4" t="s">
        <v>2310</v>
      </c>
      <c r="F3557" s="1">
        <v>46104</v>
      </c>
      <c r="G3557" t="str">
        <f t="shared" si="114"/>
        <v>Mar -2026</v>
      </c>
    </row>
    <row r="3558" spans="1:7" x14ac:dyDescent="0.3">
      <c r="A3558" s="4">
        <v>2357208</v>
      </c>
      <c r="B3558" t="s">
        <v>2621</v>
      </c>
      <c r="C3558" s="4" t="s">
        <v>1010</v>
      </c>
      <c r="D3558" s="4" t="s">
        <v>1020</v>
      </c>
      <c r="E3558" s="4" t="s">
        <v>2310</v>
      </c>
      <c r="F3558" s="1">
        <v>46104</v>
      </c>
      <c r="G3558" t="str">
        <f t="shared" si="114"/>
        <v>Mar -2026</v>
      </c>
    </row>
    <row r="3559" spans="1:7" x14ac:dyDescent="0.3">
      <c r="A3559" s="4">
        <v>2357129</v>
      </c>
      <c r="B3559" t="s">
        <v>2622</v>
      </c>
      <c r="C3559" s="4" t="s">
        <v>1010</v>
      </c>
      <c r="D3559" s="4" t="s">
        <v>1020</v>
      </c>
      <c r="E3559" s="4" t="s">
        <v>2310</v>
      </c>
      <c r="F3559" s="1">
        <v>46104</v>
      </c>
      <c r="G3559" t="str">
        <f t="shared" si="114"/>
        <v>Mar -2026</v>
      </c>
    </row>
    <row r="3560" spans="1:7" x14ac:dyDescent="0.3">
      <c r="A3560" s="4">
        <v>2357312</v>
      </c>
      <c r="B3560" t="s">
        <v>2623</v>
      </c>
      <c r="C3560" s="4" t="s">
        <v>1010</v>
      </c>
      <c r="D3560" s="4" t="s">
        <v>1020</v>
      </c>
      <c r="E3560" s="4" t="s">
        <v>2310</v>
      </c>
      <c r="F3560" s="1">
        <v>46104</v>
      </c>
      <c r="G3560" t="str">
        <f t="shared" si="114"/>
        <v>Mar -2026</v>
      </c>
    </row>
    <row r="3561" spans="1:7" x14ac:dyDescent="0.3">
      <c r="A3561" s="4">
        <v>2356747</v>
      </c>
      <c r="B3561" t="s">
        <v>2624</v>
      </c>
      <c r="C3561" s="4" t="s">
        <v>1010</v>
      </c>
      <c r="D3561" s="4" t="s">
        <v>1020</v>
      </c>
      <c r="E3561" s="4" t="s">
        <v>2310</v>
      </c>
      <c r="F3561" s="1">
        <v>46104</v>
      </c>
      <c r="G3561" t="str">
        <f t="shared" si="114"/>
        <v>Mar -2026</v>
      </c>
    </row>
    <row r="3562" spans="1:7" x14ac:dyDescent="0.3">
      <c r="A3562" s="4">
        <v>2357124</v>
      </c>
      <c r="B3562" t="s">
        <v>2625</v>
      </c>
      <c r="C3562" s="4" t="s">
        <v>1010</v>
      </c>
      <c r="D3562" s="4" t="s">
        <v>1020</v>
      </c>
      <c r="E3562" s="4" t="s">
        <v>2310</v>
      </c>
      <c r="F3562" s="1">
        <v>46104</v>
      </c>
      <c r="G3562" t="str">
        <f t="shared" si="114"/>
        <v>Mar -2026</v>
      </c>
    </row>
    <row r="3563" spans="1:7" x14ac:dyDescent="0.3">
      <c r="A3563" s="4">
        <v>2357165</v>
      </c>
      <c r="B3563" t="s">
        <v>2626</v>
      </c>
      <c r="C3563" s="4" t="s">
        <v>1010</v>
      </c>
      <c r="D3563" s="4" t="s">
        <v>1020</v>
      </c>
      <c r="E3563" s="4" t="s">
        <v>2310</v>
      </c>
      <c r="F3563" s="1">
        <v>46104</v>
      </c>
      <c r="G3563" t="str">
        <f t="shared" si="114"/>
        <v>Mar -2026</v>
      </c>
    </row>
    <row r="3564" spans="1:7" x14ac:dyDescent="0.3">
      <c r="A3564" s="4">
        <v>2357202</v>
      </c>
      <c r="B3564" t="s">
        <v>2627</v>
      </c>
      <c r="C3564" s="4" t="s">
        <v>1010</v>
      </c>
      <c r="D3564" s="4" t="s">
        <v>1020</v>
      </c>
      <c r="E3564" s="4" t="s">
        <v>2310</v>
      </c>
      <c r="F3564" s="1">
        <v>46104</v>
      </c>
      <c r="G3564" t="str">
        <f t="shared" si="114"/>
        <v>Mar -2026</v>
      </c>
    </row>
    <row r="3565" spans="1:7" x14ac:dyDescent="0.3">
      <c r="A3565" s="4">
        <v>2356427</v>
      </c>
      <c r="B3565" t="s">
        <v>2628</v>
      </c>
      <c r="C3565" s="4" t="s">
        <v>1010</v>
      </c>
      <c r="D3565" s="4" t="s">
        <v>1020</v>
      </c>
      <c r="E3565" s="4" t="s">
        <v>2310</v>
      </c>
      <c r="F3565" s="1">
        <v>46104</v>
      </c>
      <c r="G3565" t="str">
        <f t="shared" si="114"/>
        <v>Mar -2026</v>
      </c>
    </row>
    <row r="3566" spans="1:7" x14ac:dyDescent="0.3">
      <c r="A3566" s="4">
        <v>2356518</v>
      </c>
      <c r="B3566" t="s">
        <v>2629</v>
      </c>
      <c r="C3566" s="4" t="s">
        <v>1010</v>
      </c>
      <c r="D3566" s="4" t="s">
        <v>1020</v>
      </c>
      <c r="E3566" s="4" t="s">
        <v>2310</v>
      </c>
      <c r="F3566" s="1">
        <v>46104</v>
      </c>
      <c r="G3566" t="str">
        <f t="shared" si="114"/>
        <v>Mar -2026</v>
      </c>
    </row>
    <row r="3567" spans="1:7" x14ac:dyDescent="0.3">
      <c r="A3567" s="4">
        <v>2357246</v>
      </c>
      <c r="B3567" t="s">
        <v>2630</v>
      </c>
      <c r="C3567" s="4" t="s">
        <v>1010</v>
      </c>
      <c r="D3567" s="4" t="s">
        <v>1020</v>
      </c>
      <c r="E3567" s="4" t="s">
        <v>2310</v>
      </c>
      <c r="F3567" s="1">
        <v>46104</v>
      </c>
      <c r="G3567" t="str">
        <f t="shared" si="114"/>
        <v>Mar -2026</v>
      </c>
    </row>
    <row r="3568" spans="1:7" x14ac:dyDescent="0.3">
      <c r="A3568" s="4">
        <v>2357342</v>
      </c>
      <c r="B3568" t="s">
        <v>2631</v>
      </c>
      <c r="C3568" s="4" t="s">
        <v>1010</v>
      </c>
      <c r="D3568" s="4" t="s">
        <v>1020</v>
      </c>
      <c r="E3568" s="4" t="s">
        <v>2310</v>
      </c>
      <c r="F3568" s="1">
        <v>46104</v>
      </c>
      <c r="G3568" t="str">
        <f t="shared" si="114"/>
        <v>Mar -2026</v>
      </c>
    </row>
    <row r="3569" spans="1:7" x14ac:dyDescent="0.3">
      <c r="A3569" s="4">
        <v>2357267</v>
      </c>
      <c r="B3569" t="s">
        <v>2632</v>
      </c>
      <c r="C3569" s="4" t="s">
        <v>1010</v>
      </c>
      <c r="D3569" s="4" t="s">
        <v>1020</v>
      </c>
      <c r="E3569" s="4" t="s">
        <v>2310</v>
      </c>
      <c r="F3569" s="1">
        <v>46104</v>
      </c>
      <c r="G3569" t="str">
        <f t="shared" si="114"/>
        <v>Mar -2026</v>
      </c>
    </row>
    <row r="3570" spans="1:7" x14ac:dyDescent="0.3">
      <c r="A3570" s="4">
        <v>2357315</v>
      </c>
      <c r="B3570" t="s">
        <v>2633</v>
      </c>
      <c r="C3570" s="4" t="s">
        <v>1010</v>
      </c>
      <c r="D3570" s="4" t="s">
        <v>1020</v>
      </c>
      <c r="E3570" s="4" t="s">
        <v>2310</v>
      </c>
      <c r="F3570" s="1">
        <v>46104</v>
      </c>
      <c r="G3570" t="str">
        <f t="shared" si="114"/>
        <v>Mar -2026</v>
      </c>
    </row>
    <row r="3571" spans="1:7" x14ac:dyDescent="0.3">
      <c r="A3571" s="4">
        <v>2357306</v>
      </c>
      <c r="B3571" t="s">
        <v>2634</v>
      </c>
      <c r="C3571" s="4" t="s">
        <v>1010</v>
      </c>
      <c r="D3571" s="4" t="s">
        <v>1020</v>
      </c>
      <c r="E3571" s="4" t="s">
        <v>2310</v>
      </c>
      <c r="F3571" s="1">
        <v>46104</v>
      </c>
      <c r="G3571" t="str">
        <f t="shared" si="114"/>
        <v>Mar -2026</v>
      </c>
    </row>
    <row r="3572" spans="1:7" x14ac:dyDescent="0.3">
      <c r="A3572" s="4">
        <v>2362099</v>
      </c>
      <c r="B3572" t="s">
        <v>2635</v>
      </c>
      <c r="C3572" s="4" t="s">
        <v>1010</v>
      </c>
      <c r="D3572" s="4" t="s">
        <v>209</v>
      </c>
      <c r="E3572" s="4" t="s">
        <v>375</v>
      </c>
      <c r="F3572" s="1">
        <v>46104</v>
      </c>
      <c r="G3572" t="str">
        <f t="shared" si="114"/>
        <v>Mar -2026</v>
      </c>
    </row>
    <row r="3573" spans="1:7" x14ac:dyDescent="0.3">
      <c r="A3573" s="4">
        <v>2362292</v>
      </c>
      <c r="B3573" t="s">
        <v>2636</v>
      </c>
      <c r="C3573" s="4" t="s">
        <v>1010</v>
      </c>
      <c r="D3573" s="4" t="s">
        <v>209</v>
      </c>
      <c r="E3573" s="4" t="s">
        <v>375</v>
      </c>
      <c r="F3573" s="1">
        <v>46104</v>
      </c>
      <c r="G3573" t="str">
        <f t="shared" si="114"/>
        <v>Mar -2026</v>
      </c>
    </row>
    <row r="3574" spans="1:7" x14ac:dyDescent="0.3">
      <c r="A3574" s="4">
        <v>100005725</v>
      </c>
      <c r="B3574" t="s">
        <v>2637</v>
      </c>
      <c r="C3574" s="3" t="s">
        <v>1011</v>
      </c>
      <c r="D3574" s="4" t="s">
        <v>2015</v>
      </c>
      <c r="E3574" s="4" t="s">
        <v>1569</v>
      </c>
      <c r="F3574" s="1">
        <v>46104</v>
      </c>
      <c r="G3574" t="str">
        <f t="shared" si="114"/>
        <v>Mar -2026</v>
      </c>
    </row>
    <row r="3575" spans="1:7" x14ac:dyDescent="0.3">
      <c r="A3575" s="4">
        <v>100005770</v>
      </c>
      <c r="B3575" t="s">
        <v>2638</v>
      </c>
      <c r="C3575" s="3" t="s">
        <v>1011</v>
      </c>
      <c r="D3575" s="4" t="s">
        <v>2015</v>
      </c>
      <c r="E3575" s="4" t="s">
        <v>1569</v>
      </c>
      <c r="F3575" s="1">
        <v>46104</v>
      </c>
      <c r="G3575" t="str">
        <f t="shared" si="114"/>
        <v>Mar -2026</v>
      </c>
    </row>
    <row r="3576" spans="1:7" x14ac:dyDescent="0.3">
      <c r="A3576" s="4">
        <v>900006932</v>
      </c>
      <c r="B3576" t="s">
        <v>2599</v>
      </c>
      <c r="C3576" s="3" t="s">
        <v>1604</v>
      </c>
      <c r="D3576" s="4" t="s">
        <v>2018</v>
      </c>
      <c r="E3576" s="4" t="s">
        <v>1877</v>
      </c>
      <c r="F3576" s="1">
        <v>46104</v>
      </c>
      <c r="G3576" t="str">
        <f t="shared" si="114"/>
        <v>Mar -2026</v>
      </c>
    </row>
    <row r="3577" spans="1:7" x14ac:dyDescent="0.3">
      <c r="A3577" s="4">
        <v>100005810</v>
      </c>
      <c r="B3577" t="s">
        <v>2639</v>
      </c>
      <c r="C3577" s="3" t="s">
        <v>1011</v>
      </c>
      <c r="D3577" s="4" t="s">
        <v>2015</v>
      </c>
      <c r="E3577" s="4" t="s">
        <v>1369</v>
      </c>
      <c r="F3577" s="1">
        <v>46104</v>
      </c>
      <c r="G3577" t="str">
        <f t="shared" si="114"/>
        <v>Mar -2026</v>
      </c>
    </row>
    <row r="3578" spans="1:7" x14ac:dyDescent="0.3">
      <c r="A3578" s="4">
        <v>900006906</v>
      </c>
      <c r="B3578" t="s">
        <v>2640</v>
      </c>
      <c r="C3578" s="3" t="s">
        <v>1604</v>
      </c>
      <c r="D3578" s="4" t="s">
        <v>2031</v>
      </c>
      <c r="E3578" s="4" t="s">
        <v>1877</v>
      </c>
      <c r="F3578" s="1">
        <v>46104</v>
      </c>
      <c r="G3578" t="str">
        <f t="shared" si="114"/>
        <v>Mar -2026</v>
      </c>
    </row>
    <row r="3579" spans="1:7" x14ac:dyDescent="0.3">
      <c r="A3579" s="4">
        <v>100005745</v>
      </c>
      <c r="B3579" t="s">
        <v>2641</v>
      </c>
      <c r="C3579" s="3" t="s">
        <v>1011</v>
      </c>
      <c r="D3579" s="4" t="s">
        <v>2015</v>
      </c>
      <c r="E3579" s="4" t="s">
        <v>1569</v>
      </c>
      <c r="F3579" s="1">
        <v>46104</v>
      </c>
      <c r="G3579" t="str">
        <f t="shared" si="114"/>
        <v>Mar -2026</v>
      </c>
    </row>
    <row r="3580" spans="1:7" x14ac:dyDescent="0.3">
      <c r="A3580" s="4">
        <v>100005689</v>
      </c>
      <c r="B3580" t="s">
        <v>2642</v>
      </c>
      <c r="C3580" s="3" t="s">
        <v>1011</v>
      </c>
      <c r="D3580" s="4" t="s">
        <v>2015</v>
      </c>
      <c r="E3580" s="4" t="s">
        <v>1569</v>
      </c>
      <c r="F3580" s="1">
        <v>46104</v>
      </c>
      <c r="G3580" t="str">
        <f t="shared" si="114"/>
        <v>Mar -2026</v>
      </c>
    </row>
    <row r="3581" spans="1:7" x14ac:dyDescent="0.3">
      <c r="A3581" s="4">
        <v>100005831</v>
      </c>
      <c r="B3581" t="s">
        <v>2643</v>
      </c>
      <c r="C3581" s="3" t="s">
        <v>1011</v>
      </c>
      <c r="D3581" s="4" t="s">
        <v>2015</v>
      </c>
      <c r="E3581" s="4" t="s">
        <v>981</v>
      </c>
      <c r="F3581" s="1">
        <v>46104</v>
      </c>
      <c r="G3581" t="str">
        <f t="shared" si="114"/>
        <v>Mar -2026</v>
      </c>
    </row>
    <row r="3582" spans="1:7" x14ac:dyDescent="0.3">
      <c r="A3582" s="4">
        <v>100005800</v>
      </c>
      <c r="B3582" t="s">
        <v>2644</v>
      </c>
      <c r="C3582" s="3" t="s">
        <v>1011</v>
      </c>
      <c r="D3582" s="4" t="s">
        <v>2015</v>
      </c>
      <c r="E3582" s="4" t="s">
        <v>2645</v>
      </c>
      <c r="F3582" s="1">
        <v>46104</v>
      </c>
      <c r="G3582" t="str">
        <f t="shared" si="114"/>
        <v>Mar -2026</v>
      </c>
    </row>
    <row r="3583" spans="1:7" x14ac:dyDescent="0.3">
      <c r="A3583" s="4">
        <v>100005862</v>
      </c>
      <c r="B3583" t="s">
        <v>2646</v>
      </c>
      <c r="C3583" s="3" t="s">
        <v>1011</v>
      </c>
      <c r="D3583" s="4" t="s">
        <v>2015</v>
      </c>
      <c r="E3583" s="4" t="s">
        <v>1526</v>
      </c>
      <c r="F3583" s="1">
        <v>46104</v>
      </c>
      <c r="G3583" t="str">
        <f t="shared" si="114"/>
        <v>Mar -2026</v>
      </c>
    </row>
    <row r="3584" spans="1:7" x14ac:dyDescent="0.3">
      <c r="A3584" s="4">
        <v>900006924</v>
      </c>
      <c r="B3584" t="s">
        <v>2647</v>
      </c>
      <c r="C3584" s="3" t="s">
        <v>1604</v>
      </c>
      <c r="D3584" s="4" t="s">
        <v>2031</v>
      </c>
      <c r="E3584" s="4" t="s">
        <v>2648</v>
      </c>
      <c r="F3584" s="1">
        <v>46105</v>
      </c>
      <c r="G3584" t="str">
        <f t="shared" si="114"/>
        <v>Mar -2026</v>
      </c>
    </row>
    <row r="3585" spans="1:7" x14ac:dyDescent="0.3">
      <c r="A3585" s="4">
        <v>100005843</v>
      </c>
      <c r="B3585" t="s">
        <v>2649</v>
      </c>
      <c r="C3585" s="3" t="s">
        <v>1011</v>
      </c>
      <c r="D3585" s="4" t="s">
        <v>2015</v>
      </c>
      <c r="E3585" s="4" t="s">
        <v>1569</v>
      </c>
      <c r="F3585" s="1">
        <v>46105</v>
      </c>
      <c r="G3585" t="str">
        <f t="shared" si="114"/>
        <v>Mar -2026</v>
      </c>
    </row>
    <row r="3586" spans="1:7" x14ac:dyDescent="0.3">
      <c r="A3586" s="4">
        <v>100005821</v>
      </c>
      <c r="B3586" t="s">
        <v>2650</v>
      </c>
      <c r="C3586" s="3" t="s">
        <v>1011</v>
      </c>
      <c r="D3586" s="4" t="s">
        <v>2015</v>
      </c>
      <c r="E3586" s="4" t="s">
        <v>2106</v>
      </c>
      <c r="F3586" s="1">
        <v>46105</v>
      </c>
      <c r="G3586" t="str">
        <f t="shared" si="114"/>
        <v>Mar -2026</v>
      </c>
    </row>
    <row r="3587" spans="1:7" x14ac:dyDescent="0.3">
      <c r="A3587" s="4">
        <v>100005801</v>
      </c>
      <c r="B3587" t="s">
        <v>2651</v>
      </c>
      <c r="C3587" s="3" t="s">
        <v>1011</v>
      </c>
      <c r="D3587" s="4" t="s">
        <v>2015</v>
      </c>
      <c r="E3587" s="4" t="s">
        <v>1681</v>
      </c>
      <c r="F3587" s="1">
        <v>46105</v>
      </c>
      <c r="G3587" t="str">
        <f t="shared" si="114"/>
        <v>Mar -2026</v>
      </c>
    </row>
    <row r="3588" spans="1:7" x14ac:dyDescent="0.3">
      <c r="A3588" s="4">
        <v>100005813</v>
      </c>
      <c r="B3588" t="s">
        <v>2652</v>
      </c>
      <c r="C3588" s="3" t="s">
        <v>1011</v>
      </c>
      <c r="D3588" s="4" t="s">
        <v>2015</v>
      </c>
      <c r="E3588" s="4" t="s">
        <v>2653</v>
      </c>
      <c r="F3588" s="1">
        <v>46105</v>
      </c>
      <c r="G3588" t="str">
        <f t="shared" si="114"/>
        <v>Mar -2026</v>
      </c>
    </row>
    <row r="3589" spans="1:7" x14ac:dyDescent="0.3">
      <c r="A3589" s="4">
        <v>100005812</v>
      </c>
      <c r="B3589" t="s">
        <v>2654</v>
      </c>
      <c r="C3589" s="3" t="s">
        <v>1011</v>
      </c>
      <c r="D3589" s="4" t="s">
        <v>975</v>
      </c>
      <c r="E3589" s="4" t="s">
        <v>1569</v>
      </c>
      <c r="F3589" s="1">
        <v>46105</v>
      </c>
      <c r="G3589" t="str">
        <f t="shared" si="114"/>
        <v>Mar -2026</v>
      </c>
    </row>
    <row r="3590" spans="1:7" x14ac:dyDescent="0.3">
      <c r="A3590" s="4">
        <v>100005864</v>
      </c>
      <c r="B3590" t="s">
        <v>2655</v>
      </c>
      <c r="C3590" s="3" t="s">
        <v>1011</v>
      </c>
      <c r="D3590" s="4" t="s">
        <v>2015</v>
      </c>
      <c r="E3590" s="4" t="s">
        <v>1569</v>
      </c>
      <c r="F3590" s="1">
        <v>46105</v>
      </c>
      <c r="G3590" t="str">
        <f t="shared" si="114"/>
        <v>Mar -2026</v>
      </c>
    </row>
    <row r="3591" spans="1:7" x14ac:dyDescent="0.3">
      <c r="A3591" s="4">
        <v>900006921</v>
      </c>
      <c r="B3591" t="s">
        <v>2593</v>
      </c>
      <c r="C3591" s="3" t="s">
        <v>1604</v>
      </c>
      <c r="D3591" s="4" t="s">
        <v>2018</v>
      </c>
      <c r="E3591" s="4" t="s">
        <v>1877</v>
      </c>
      <c r="F3591" s="1">
        <v>46105</v>
      </c>
      <c r="G3591" t="str">
        <f t="shared" si="114"/>
        <v>Mar -2026</v>
      </c>
    </row>
    <row r="3592" spans="1:7" x14ac:dyDescent="0.3">
      <c r="A3592" s="4">
        <v>900006897</v>
      </c>
      <c r="B3592" t="s">
        <v>2586</v>
      </c>
      <c r="C3592" s="3" t="s">
        <v>1604</v>
      </c>
      <c r="D3592" s="4" t="s">
        <v>2018</v>
      </c>
      <c r="E3592" s="4" t="s">
        <v>1877</v>
      </c>
      <c r="F3592" s="1">
        <v>46105</v>
      </c>
      <c r="G3592" t="str">
        <f t="shared" si="114"/>
        <v>Mar -2026</v>
      </c>
    </row>
    <row r="3593" spans="1:7" x14ac:dyDescent="0.3">
      <c r="A3593" s="4">
        <v>900006867</v>
      </c>
      <c r="B3593" t="s">
        <v>2656</v>
      </c>
      <c r="C3593" s="3" t="s">
        <v>1604</v>
      </c>
      <c r="D3593" s="4" t="s">
        <v>2031</v>
      </c>
      <c r="E3593" s="4" t="s">
        <v>1877</v>
      </c>
      <c r="F3593" s="1">
        <v>46105</v>
      </c>
      <c r="G3593" t="str">
        <f t="shared" si="114"/>
        <v>Mar -2026</v>
      </c>
    </row>
    <row r="3594" spans="1:7" x14ac:dyDescent="0.3">
      <c r="A3594" s="4">
        <v>900006644</v>
      </c>
      <c r="B3594" t="s">
        <v>2553</v>
      </c>
      <c r="C3594" s="3" t="s">
        <v>1604</v>
      </c>
      <c r="D3594" s="4" t="s">
        <v>2031</v>
      </c>
      <c r="E3594" s="4" t="s">
        <v>1877</v>
      </c>
      <c r="F3594" s="1">
        <v>46105</v>
      </c>
      <c r="G3594" t="str">
        <f t="shared" si="114"/>
        <v>Mar -2026</v>
      </c>
    </row>
    <row r="3595" spans="1:7" x14ac:dyDescent="0.3">
      <c r="A3595" s="4">
        <v>900006874</v>
      </c>
      <c r="B3595" t="s">
        <v>2657</v>
      </c>
      <c r="C3595" s="3" t="s">
        <v>1604</v>
      </c>
      <c r="D3595" s="4" t="s">
        <v>2031</v>
      </c>
      <c r="E3595" s="4" t="s">
        <v>1877</v>
      </c>
      <c r="F3595" s="1">
        <v>46105</v>
      </c>
      <c r="G3595" t="str">
        <f t="shared" si="114"/>
        <v>Mar -2026</v>
      </c>
    </row>
    <row r="3596" spans="1:7" x14ac:dyDescent="0.3">
      <c r="A3596" s="4">
        <v>2364041</v>
      </c>
      <c r="B3596" t="s">
        <v>2658</v>
      </c>
      <c r="C3596" s="4" t="s">
        <v>1010</v>
      </c>
      <c r="D3596" s="4" t="s">
        <v>1020</v>
      </c>
      <c r="E3596" s="4" t="s">
        <v>375</v>
      </c>
      <c r="F3596" s="1">
        <v>46105</v>
      </c>
      <c r="G3596" t="str">
        <f t="shared" si="114"/>
        <v>Mar -2026</v>
      </c>
    </row>
    <row r="3597" spans="1:7" x14ac:dyDescent="0.3">
      <c r="A3597" s="4">
        <v>2363996</v>
      </c>
      <c r="B3597" t="s">
        <v>2659</v>
      </c>
      <c r="C3597" s="4" t="s">
        <v>1010</v>
      </c>
      <c r="D3597" s="4" t="s">
        <v>1020</v>
      </c>
      <c r="E3597" s="4" t="s">
        <v>375</v>
      </c>
      <c r="F3597" s="1">
        <v>46105</v>
      </c>
      <c r="G3597" t="str">
        <f t="shared" si="114"/>
        <v>Mar -2026</v>
      </c>
    </row>
    <row r="3598" spans="1:7" x14ac:dyDescent="0.3">
      <c r="A3598" s="4">
        <v>2363997</v>
      </c>
      <c r="B3598" t="s">
        <v>2660</v>
      </c>
      <c r="C3598" s="4" t="s">
        <v>1010</v>
      </c>
      <c r="D3598" s="4" t="s">
        <v>1020</v>
      </c>
      <c r="E3598" s="4" t="s">
        <v>375</v>
      </c>
      <c r="F3598" s="1">
        <v>46105</v>
      </c>
      <c r="G3598" t="str">
        <f t="shared" ref="G3598:G3661" si="115">TEXT(F3598,"mmm -YYYY")</f>
        <v>Mar -2026</v>
      </c>
    </row>
    <row r="3599" spans="1:7" x14ac:dyDescent="0.3">
      <c r="A3599" s="4">
        <v>2357398</v>
      </c>
      <c r="B3599" t="s">
        <v>2661</v>
      </c>
      <c r="C3599" s="4" t="s">
        <v>1010</v>
      </c>
      <c r="D3599" s="4" t="s">
        <v>1020</v>
      </c>
      <c r="E3599" s="4" t="s">
        <v>375</v>
      </c>
      <c r="F3599" s="1">
        <v>46105</v>
      </c>
      <c r="G3599" t="str">
        <f t="shared" si="115"/>
        <v>Mar -2026</v>
      </c>
    </row>
    <row r="3600" spans="1:7" x14ac:dyDescent="0.3">
      <c r="A3600" s="4">
        <v>2357486</v>
      </c>
      <c r="B3600" t="s">
        <v>2662</v>
      </c>
      <c r="C3600" s="4" t="s">
        <v>1010</v>
      </c>
      <c r="D3600" s="4" t="s">
        <v>1020</v>
      </c>
      <c r="E3600" s="4" t="s">
        <v>375</v>
      </c>
      <c r="F3600" s="1">
        <v>46105</v>
      </c>
      <c r="G3600" t="str">
        <f t="shared" si="115"/>
        <v>Mar -2026</v>
      </c>
    </row>
    <row r="3601" spans="1:7" x14ac:dyDescent="0.3">
      <c r="A3601" s="4">
        <v>2357408</v>
      </c>
      <c r="B3601" t="s">
        <v>2663</v>
      </c>
      <c r="C3601" s="4" t="s">
        <v>1010</v>
      </c>
      <c r="D3601" s="4" t="s">
        <v>1020</v>
      </c>
      <c r="E3601" s="4" t="s">
        <v>375</v>
      </c>
      <c r="F3601" s="1">
        <v>46105</v>
      </c>
      <c r="G3601" t="str">
        <f t="shared" si="115"/>
        <v>Mar -2026</v>
      </c>
    </row>
    <row r="3602" spans="1:7" x14ac:dyDescent="0.3">
      <c r="A3602" s="4">
        <v>2357523</v>
      </c>
      <c r="B3602" t="s">
        <v>2664</v>
      </c>
      <c r="C3602" s="4" t="s">
        <v>1010</v>
      </c>
      <c r="D3602" s="4" t="s">
        <v>1020</v>
      </c>
      <c r="E3602" s="4" t="s">
        <v>375</v>
      </c>
      <c r="F3602" s="1">
        <v>46105</v>
      </c>
      <c r="G3602" t="str">
        <f t="shared" si="115"/>
        <v>Mar -2026</v>
      </c>
    </row>
    <row r="3603" spans="1:7" x14ac:dyDescent="0.3">
      <c r="A3603" s="4">
        <v>2353555</v>
      </c>
      <c r="B3603" t="s">
        <v>2665</v>
      </c>
      <c r="C3603" s="4" t="s">
        <v>1010</v>
      </c>
      <c r="D3603" s="4" t="s">
        <v>1020</v>
      </c>
      <c r="E3603" s="4" t="s">
        <v>435</v>
      </c>
      <c r="F3603" s="1">
        <v>46105</v>
      </c>
      <c r="G3603" t="str">
        <f t="shared" si="115"/>
        <v>Mar -2026</v>
      </c>
    </row>
    <row r="3604" spans="1:7" x14ac:dyDescent="0.3">
      <c r="A3604" s="4">
        <v>2353508</v>
      </c>
      <c r="B3604" t="s">
        <v>2665</v>
      </c>
      <c r="C3604" s="4" t="s">
        <v>1010</v>
      </c>
      <c r="D3604" s="4" t="s">
        <v>1020</v>
      </c>
      <c r="E3604" s="4" t="s">
        <v>435</v>
      </c>
      <c r="F3604" s="1">
        <v>46105</v>
      </c>
      <c r="G3604" t="str">
        <f t="shared" si="115"/>
        <v>Mar -2026</v>
      </c>
    </row>
    <row r="3605" spans="1:7" x14ac:dyDescent="0.3">
      <c r="A3605" s="4">
        <v>2352982</v>
      </c>
      <c r="B3605" t="s">
        <v>2666</v>
      </c>
      <c r="C3605" s="4" t="s">
        <v>1010</v>
      </c>
      <c r="D3605" s="4" t="s">
        <v>1020</v>
      </c>
      <c r="E3605" s="4" t="s">
        <v>435</v>
      </c>
      <c r="F3605" s="1">
        <v>46105</v>
      </c>
      <c r="G3605" t="str">
        <f t="shared" si="115"/>
        <v>Mar -2026</v>
      </c>
    </row>
    <row r="3606" spans="1:7" x14ac:dyDescent="0.3">
      <c r="A3606" s="4">
        <v>900006916</v>
      </c>
      <c r="B3606" t="s">
        <v>2667</v>
      </c>
      <c r="C3606" s="4" t="s">
        <v>1010</v>
      </c>
      <c r="D3606" s="4" t="s">
        <v>1551</v>
      </c>
      <c r="E3606" s="4" t="s">
        <v>1877</v>
      </c>
      <c r="F3606" s="1">
        <v>46106</v>
      </c>
      <c r="G3606" t="str">
        <f t="shared" si="115"/>
        <v>Mar -2026</v>
      </c>
    </row>
    <row r="3607" spans="1:7" x14ac:dyDescent="0.3">
      <c r="A3607" s="4">
        <v>900006849</v>
      </c>
      <c r="B3607" t="s">
        <v>2668</v>
      </c>
      <c r="C3607" s="4" t="s">
        <v>1010</v>
      </c>
      <c r="D3607" s="4" t="s">
        <v>1551</v>
      </c>
      <c r="E3607" s="4" t="s">
        <v>1877</v>
      </c>
      <c r="F3607" s="1">
        <v>46106</v>
      </c>
      <c r="G3607" t="str">
        <f t="shared" si="115"/>
        <v>Mar -2026</v>
      </c>
    </row>
    <row r="3608" spans="1:7" x14ac:dyDescent="0.3">
      <c r="A3608" s="4">
        <v>900006940</v>
      </c>
      <c r="B3608" t="s">
        <v>2669</v>
      </c>
      <c r="C3608" s="4" t="s">
        <v>1010</v>
      </c>
      <c r="D3608" s="4" t="s">
        <v>1551</v>
      </c>
      <c r="E3608" s="4" t="s">
        <v>1877</v>
      </c>
      <c r="F3608" s="1">
        <v>46106</v>
      </c>
      <c r="G3608" t="str">
        <f t="shared" si="115"/>
        <v>Mar -2026</v>
      </c>
    </row>
    <row r="3609" spans="1:7" x14ac:dyDescent="0.3">
      <c r="A3609" s="4">
        <v>900006922</v>
      </c>
      <c r="B3609" t="s">
        <v>2670</v>
      </c>
      <c r="C3609" s="4" t="s">
        <v>1010</v>
      </c>
      <c r="D3609" s="4" t="s">
        <v>1551</v>
      </c>
      <c r="E3609" s="4" t="s">
        <v>1877</v>
      </c>
      <c r="F3609" s="1">
        <v>46106</v>
      </c>
      <c r="G3609" t="str">
        <f t="shared" si="115"/>
        <v>Mar -2026</v>
      </c>
    </row>
    <row r="3610" spans="1:7" x14ac:dyDescent="0.3">
      <c r="A3610" s="4">
        <v>900006970</v>
      </c>
      <c r="B3610" t="s">
        <v>2671</v>
      </c>
      <c r="C3610" s="4" t="s">
        <v>1010</v>
      </c>
      <c r="D3610" s="4" t="s">
        <v>1551</v>
      </c>
      <c r="E3610" s="4" t="s">
        <v>1877</v>
      </c>
      <c r="F3610" s="1">
        <v>46106</v>
      </c>
      <c r="G3610" t="str">
        <f t="shared" si="115"/>
        <v>Mar -2026</v>
      </c>
    </row>
    <row r="3611" spans="1:7" x14ac:dyDescent="0.3">
      <c r="A3611" s="4">
        <v>2368038</v>
      </c>
      <c r="B3611" t="s">
        <v>2672</v>
      </c>
      <c r="C3611" s="4" t="s">
        <v>1010</v>
      </c>
      <c r="D3611" s="4" t="s">
        <v>1020</v>
      </c>
      <c r="E3611" s="4" t="s">
        <v>228</v>
      </c>
      <c r="F3611" s="1">
        <v>46106</v>
      </c>
      <c r="G3611" t="str">
        <f t="shared" si="115"/>
        <v>Mar -2026</v>
      </c>
    </row>
    <row r="3612" spans="1:7" x14ac:dyDescent="0.3">
      <c r="A3612" s="4">
        <v>2365475</v>
      </c>
      <c r="B3612" t="s">
        <v>2673</v>
      </c>
      <c r="C3612" s="4" t="s">
        <v>1010</v>
      </c>
      <c r="D3612" s="4" t="s">
        <v>209</v>
      </c>
      <c r="E3612" s="4" t="s">
        <v>375</v>
      </c>
      <c r="F3612" s="1">
        <v>46106</v>
      </c>
      <c r="G3612" t="str">
        <f t="shared" si="115"/>
        <v>Mar -2026</v>
      </c>
    </row>
    <row r="3613" spans="1:7" x14ac:dyDescent="0.3">
      <c r="A3613" s="4">
        <v>2365967</v>
      </c>
      <c r="B3613" t="s">
        <v>2674</v>
      </c>
      <c r="C3613" s="4" t="s">
        <v>1010</v>
      </c>
      <c r="D3613" s="4" t="s">
        <v>209</v>
      </c>
      <c r="E3613" s="4" t="s">
        <v>375</v>
      </c>
      <c r="F3613" s="1">
        <v>46106</v>
      </c>
      <c r="G3613" t="str">
        <f t="shared" si="115"/>
        <v>Mar -2026</v>
      </c>
    </row>
    <row r="3614" spans="1:7" x14ac:dyDescent="0.3">
      <c r="A3614" s="4">
        <v>2366534</v>
      </c>
      <c r="B3614" t="s">
        <v>2675</v>
      </c>
      <c r="C3614" s="4" t="s">
        <v>1010</v>
      </c>
      <c r="D3614" s="4" t="s">
        <v>209</v>
      </c>
      <c r="E3614" s="4" t="s">
        <v>375</v>
      </c>
      <c r="F3614" s="1">
        <v>46106</v>
      </c>
      <c r="G3614" t="str">
        <f t="shared" si="115"/>
        <v>Mar -2026</v>
      </c>
    </row>
    <row r="3615" spans="1:7" x14ac:dyDescent="0.3">
      <c r="A3615" s="4">
        <v>2367033</v>
      </c>
      <c r="B3615" t="s">
        <v>2676</v>
      </c>
      <c r="C3615" s="4" t="s">
        <v>1010</v>
      </c>
      <c r="D3615" s="4" t="s">
        <v>209</v>
      </c>
      <c r="E3615" s="4" t="s">
        <v>375</v>
      </c>
      <c r="F3615" s="1">
        <v>46106</v>
      </c>
      <c r="G3615" t="str">
        <f t="shared" si="115"/>
        <v>Mar -2026</v>
      </c>
    </row>
    <row r="3616" spans="1:7" x14ac:dyDescent="0.3">
      <c r="A3616" s="4">
        <v>2353687</v>
      </c>
      <c r="B3616" t="s">
        <v>2588</v>
      </c>
      <c r="C3616" s="4" t="s">
        <v>1010</v>
      </c>
      <c r="D3616" s="4" t="s">
        <v>1020</v>
      </c>
      <c r="E3616" s="4" t="s">
        <v>2310</v>
      </c>
      <c r="F3616" s="1">
        <v>46106</v>
      </c>
      <c r="G3616" t="str">
        <f t="shared" si="115"/>
        <v>Mar -2026</v>
      </c>
    </row>
    <row r="3617" spans="1:7" x14ac:dyDescent="0.3">
      <c r="A3617" s="4">
        <v>2361898</v>
      </c>
      <c r="B3617" t="s">
        <v>2677</v>
      </c>
      <c r="C3617" s="4" t="s">
        <v>1010</v>
      </c>
      <c r="D3617" s="4" t="s">
        <v>1020</v>
      </c>
      <c r="E3617" s="4" t="s">
        <v>2310</v>
      </c>
      <c r="F3617" s="1">
        <v>46106</v>
      </c>
      <c r="G3617" t="str">
        <f t="shared" si="115"/>
        <v>Mar -2026</v>
      </c>
    </row>
    <row r="3618" spans="1:7" x14ac:dyDescent="0.3">
      <c r="A3618" s="4">
        <v>2369120</v>
      </c>
      <c r="B3618" t="s">
        <v>2678</v>
      </c>
      <c r="C3618" s="4" t="s">
        <v>1010</v>
      </c>
      <c r="D3618" s="4" t="s">
        <v>209</v>
      </c>
      <c r="E3618" s="4" t="s">
        <v>210</v>
      </c>
      <c r="F3618" s="1">
        <v>46106</v>
      </c>
      <c r="G3618" t="str">
        <f t="shared" si="115"/>
        <v>Mar -2026</v>
      </c>
    </row>
    <row r="3619" spans="1:7" x14ac:dyDescent="0.3">
      <c r="A3619" s="4">
        <v>2369118</v>
      </c>
      <c r="B3619" t="s">
        <v>2678</v>
      </c>
      <c r="C3619" s="4" t="s">
        <v>1010</v>
      </c>
      <c r="D3619" s="4" t="s">
        <v>209</v>
      </c>
      <c r="E3619" s="4" t="s">
        <v>210</v>
      </c>
      <c r="F3619" s="1">
        <v>46106</v>
      </c>
      <c r="G3619" t="str">
        <f t="shared" si="115"/>
        <v>Mar -2026</v>
      </c>
    </row>
    <row r="3620" spans="1:7" x14ac:dyDescent="0.3">
      <c r="A3620" s="4">
        <v>2369119</v>
      </c>
      <c r="B3620" t="s">
        <v>2678</v>
      </c>
      <c r="C3620" s="4" t="s">
        <v>1010</v>
      </c>
      <c r="D3620" s="4" t="s">
        <v>209</v>
      </c>
      <c r="E3620" s="4" t="s">
        <v>210</v>
      </c>
      <c r="F3620" s="1">
        <v>46106</v>
      </c>
      <c r="G3620" t="str">
        <f t="shared" si="115"/>
        <v>Mar -2026</v>
      </c>
    </row>
    <row r="3621" spans="1:7" x14ac:dyDescent="0.3">
      <c r="A3621" s="4">
        <v>2368846</v>
      </c>
      <c r="B3621" t="s">
        <v>2679</v>
      </c>
      <c r="C3621" s="4" t="s">
        <v>1010</v>
      </c>
      <c r="D3621" s="4" t="s">
        <v>209</v>
      </c>
      <c r="E3621" s="4" t="s">
        <v>375</v>
      </c>
      <c r="F3621" s="1">
        <v>46106</v>
      </c>
      <c r="G3621" t="str">
        <f t="shared" si="115"/>
        <v>Mar -2026</v>
      </c>
    </row>
    <row r="3622" spans="1:7" x14ac:dyDescent="0.3">
      <c r="A3622" s="4">
        <v>2368847</v>
      </c>
      <c r="B3622" t="s">
        <v>2680</v>
      </c>
      <c r="C3622" s="4" t="s">
        <v>1010</v>
      </c>
      <c r="D3622" s="4" t="s">
        <v>209</v>
      </c>
      <c r="E3622" s="4" t="s">
        <v>375</v>
      </c>
      <c r="F3622" s="1">
        <v>46106</v>
      </c>
      <c r="G3622" t="str">
        <f t="shared" si="115"/>
        <v>Mar -2026</v>
      </c>
    </row>
    <row r="3623" spans="1:7" x14ac:dyDescent="0.3">
      <c r="A3623" s="4">
        <v>2368971</v>
      </c>
      <c r="B3623" t="s">
        <v>2681</v>
      </c>
      <c r="C3623" s="4" t="s">
        <v>1010</v>
      </c>
      <c r="D3623" s="4" t="s">
        <v>209</v>
      </c>
      <c r="E3623" s="4" t="s">
        <v>375</v>
      </c>
      <c r="F3623" s="1">
        <v>46106</v>
      </c>
      <c r="G3623" t="str">
        <f t="shared" si="115"/>
        <v>Mar -2026</v>
      </c>
    </row>
    <row r="3624" spans="1:7" x14ac:dyDescent="0.3">
      <c r="A3624" s="4">
        <v>100005816</v>
      </c>
      <c r="B3624" t="s">
        <v>2682</v>
      </c>
      <c r="C3624" s="3" t="s">
        <v>1011</v>
      </c>
      <c r="D3624" s="4" t="s">
        <v>2015</v>
      </c>
      <c r="E3624" s="4" t="s">
        <v>1569</v>
      </c>
      <c r="F3624" s="1">
        <v>46106</v>
      </c>
      <c r="G3624" t="str">
        <f t="shared" si="115"/>
        <v>Mar -2026</v>
      </c>
    </row>
    <row r="3625" spans="1:7" x14ac:dyDescent="0.3">
      <c r="A3625" s="4">
        <v>100005815</v>
      </c>
      <c r="B3625" t="s">
        <v>2683</v>
      </c>
      <c r="C3625" s="3" t="s">
        <v>1011</v>
      </c>
      <c r="D3625" s="4" t="s">
        <v>2015</v>
      </c>
      <c r="E3625" s="4" t="s">
        <v>968</v>
      </c>
      <c r="F3625" s="1">
        <v>46106</v>
      </c>
      <c r="G3625" t="str">
        <f t="shared" si="115"/>
        <v>Mar -2026</v>
      </c>
    </row>
    <row r="3626" spans="1:7" x14ac:dyDescent="0.3">
      <c r="A3626" s="4">
        <v>100005804</v>
      </c>
      <c r="B3626" t="s">
        <v>2684</v>
      </c>
      <c r="C3626" s="3" t="s">
        <v>1011</v>
      </c>
      <c r="D3626" s="4" t="s">
        <v>2015</v>
      </c>
      <c r="E3626" s="4" t="s">
        <v>984</v>
      </c>
      <c r="F3626" s="1">
        <v>46106</v>
      </c>
      <c r="G3626" t="str">
        <f t="shared" si="115"/>
        <v>Mar -2026</v>
      </c>
    </row>
    <row r="3627" spans="1:7" x14ac:dyDescent="0.3">
      <c r="A3627" s="4">
        <v>100005876</v>
      </c>
      <c r="B3627" t="s">
        <v>2685</v>
      </c>
      <c r="C3627" s="3" t="s">
        <v>1011</v>
      </c>
      <c r="D3627" s="4" t="s">
        <v>2015</v>
      </c>
      <c r="E3627" s="4" t="s">
        <v>967</v>
      </c>
      <c r="F3627" s="1">
        <v>46106</v>
      </c>
      <c r="G3627" t="str">
        <f t="shared" si="115"/>
        <v>Mar -2026</v>
      </c>
    </row>
    <row r="3628" spans="1:7" x14ac:dyDescent="0.3">
      <c r="A3628" s="4">
        <v>900007034</v>
      </c>
      <c r="B3628" t="s">
        <v>2686</v>
      </c>
      <c r="C3628" s="3" t="s">
        <v>1604</v>
      </c>
      <c r="D3628" s="4" t="s">
        <v>2018</v>
      </c>
      <c r="E3628" s="4" t="s">
        <v>1877</v>
      </c>
      <c r="F3628" s="1">
        <v>46106</v>
      </c>
      <c r="G3628" t="str">
        <f t="shared" si="115"/>
        <v>Mar -2026</v>
      </c>
    </row>
    <row r="3629" spans="1:7" x14ac:dyDescent="0.3">
      <c r="A3629" s="4">
        <v>200003560</v>
      </c>
      <c r="B3629" t="s">
        <v>2687</v>
      </c>
      <c r="C3629" s="3" t="s">
        <v>1604</v>
      </c>
      <c r="D3629" s="4" t="s">
        <v>2031</v>
      </c>
      <c r="E3629" s="4" t="s">
        <v>287</v>
      </c>
      <c r="F3629" s="1">
        <v>46106</v>
      </c>
      <c r="G3629" t="str">
        <f t="shared" si="115"/>
        <v>Mar -2026</v>
      </c>
    </row>
    <row r="3630" spans="1:7" x14ac:dyDescent="0.3">
      <c r="A3630" s="4">
        <v>100005800</v>
      </c>
      <c r="B3630" t="s">
        <v>2644</v>
      </c>
      <c r="C3630" s="3" t="s">
        <v>1011</v>
      </c>
      <c r="D3630" s="4" t="s">
        <v>2015</v>
      </c>
      <c r="E3630" s="4" t="s">
        <v>2645</v>
      </c>
      <c r="F3630" s="1">
        <v>46106</v>
      </c>
      <c r="G3630" t="str">
        <f t="shared" si="115"/>
        <v>Mar -2026</v>
      </c>
    </row>
    <row r="3631" spans="1:7" x14ac:dyDescent="0.3">
      <c r="A3631" s="4">
        <v>900006866</v>
      </c>
      <c r="B3631" t="s">
        <v>2688</v>
      </c>
      <c r="C3631" s="3" t="s">
        <v>1604</v>
      </c>
      <c r="D3631" s="4" t="s">
        <v>2018</v>
      </c>
      <c r="E3631" s="4" t="s">
        <v>1877</v>
      </c>
      <c r="F3631" s="1">
        <v>46106</v>
      </c>
      <c r="G3631" t="str">
        <f t="shared" si="115"/>
        <v>Mar -2026</v>
      </c>
    </row>
    <row r="3632" spans="1:7" x14ac:dyDescent="0.3">
      <c r="A3632" s="4">
        <v>900006644</v>
      </c>
      <c r="B3632" t="s">
        <v>2553</v>
      </c>
      <c r="C3632" s="3" t="s">
        <v>1604</v>
      </c>
      <c r="D3632" s="4" t="s">
        <v>2031</v>
      </c>
      <c r="E3632" s="4" t="s">
        <v>1877</v>
      </c>
      <c r="F3632" s="1">
        <v>46106</v>
      </c>
      <c r="G3632" t="str">
        <f t="shared" si="115"/>
        <v>Mar -2026</v>
      </c>
    </row>
    <row r="3633" spans="1:7" x14ac:dyDescent="0.3">
      <c r="A3633" s="4">
        <v>2369438</v>
      </c>
      <c r="B3633" t="s">
        <v>2689</v>
      </c>
      <c r="C3633" s="4" t="s">
        <v>1010</v>
      </c>
      <c r="D3633" s="4" t="s">
        <v>209</v>
      </c>
      <c r="E3633" s="4" t="s">
        <v>375</v>
      </c>
      <c r="F3633" s="1">
        <v>46107</v>
      </c>
      <c r="G3633" t="str">
        <f t="shared" si="115"/>
        <v>Mar -2026</v>
      </c>
    </row>
    <row r="3634" spans="1:7" x14ac:dyDescent="0.3">
      <c r="A3634" s="4">
        <v>2369435</v>
      </c>
      <c r="B3634" t="s">
        <v>2690</v>
      </c>
      <c r="C3634" s="4" t="s">
        <v>1010</v>
      </c>
      <c r="D3634" s="4" t="s">
        <v>209</v>
      </c>
      <c r="E3634" s="4" t="s">
        <v>375</v>
      </c>
      <c r="F3634" s="1">
        <v>46107</v>
      </c>
      <c r="G3634" t="str">
        <f t="shared" si="115"/>
        <v>Mar -2026</v>
      </c>
    </row>
    <row r="3635" spans="1:7" x14ac:dyDescent="0.3">
      <c r="A3635" s="4">
        <v>2369436</v>
      </c>
      <c r="B3635" t="s">
        <v>2691</v>
      </c>
      <c r="C3635" s="4" t="s">
        <v>1010</v>
      </c>
      <c r="D3635" s="4" t="s">
        <v>209</v>
      </c>
      <c r="E3635" s="4" t="s">
        <v>375</v>
      </c>
      <c r="F3635" s="1">
        <v>46107</v>
      </c>
      <c r="G3635" t="str">
        <f t="shared" si="115"/>
        <v>Mar -2026</v>
      </c>
    </row>
    <row r="3636" spans="1:7" x14ac:dyDescent="0.3">
      <c r="A3636" s="4">
        <v>2369363</v>
      </c>
      <c r="B3636" t="s">
        <v>2692</v>
      </c>
      <c r="C3636" s="4" t="s">
        <v>1010</v>
      </c>
      <c r="D3636" s="4" t="s">
        <v>209</v>
      </c>
      <c r="E3636" s="4" t="s">
        <v>375</v>
      </c>
      <c r="F3636" s="1">
        <v>46107</v>
      </c>
      <c r="G3636" t="str">
        <f t="shared" si="115"/>
        <v>Mar -2026</v>
      </c>
    </row>
    <row r="3637" spans="1:7" x14ac:dyDescent="0.3">
      <c r="A3637" s="4">
        <v>2369521</v>
      </c>
      <c r="B3637" t="s">
        <v>2693</v>
      </c>
      <c r="C3637" s="4" t="s">
        <v>1010</v>
      </c>
      <c r="D3637" s="4" t="s">
        <v>209</v>
      </c>
      <c r="E3637" s="4" t="s">
        <v>375</v>
      </c>
      <c r="F3637" s="1">
        <v>46107</v>
      </c>
      <c r="G3637" t="str">
        <f t="shared" si="115"/>
        <v>Mar -2026</v>
      </c>
    </row>
    <row r="3638" spans="1:7" x14ac:dyDescent="0.3">
      <c r="A3638" s="4">
        <v>2369437</v>
      </c>
      <c r="B3638" t="s">
        <v>2694</v>
      </c>
      <c r="C3638" s="4" t="s">
        <v>1010</v>
      </c>
      <c r="D3638" s="4" t="s">
        <v>209</v>
      </c>
      <c r="E3638" s="4" t="s">
        <v>375</v>
      </c>
      <c r="F3638" s="1">
        <v>46107</v>
      </c>
      <c r="G3638" t="str">
        <f t="shared" si="115"/>
        <v>Mar -2026</v>
      </c>
    </row>
    <row r="3639" spans="1:7" x14ac:dyDescent="0.3">
      <c r="A3639" s="4">
        <v>2369511</v>
      </c>
      <c r="B3639" t="s">
        <v>2695</v>
      </c>
      <c r="C3639" s="4" t="s">
        <v>1010</v>
      </c>
      <c r="D3639" s="4" t="s">
        <v>209</v>
      </c>
      <c r="E3639" s="4" t="s">
        <v>210</v>
      </c>
      <c r="F3639" s="1">
        <v>46107</v>
      </c>
      <c r="G3639" t="str">
        <f t="shared" si="115"/>
        <v>Mar -2026</v>
      </c>
    </row>
    <row r="3640" spans="1:7" x14ac:dyDescent="0.3">
      <c r="A3640" s="4">
        <v>2369216</v>
      </c>
      <c r="B3640" t="s">
        <v>2696</v>
      </c>
      <c r="C3640" s="4" t="s">
        <v>1010</v>
      </c>
      <c r="D3640" s="4" t="s">
        <v>209</v>
      </c>
      <c r="E3640" s="4" t="s">
        <v>210</v>
      </c>
      <c r="F3640" s="1">
        <v>46107</v>
      </c>
      <c r="G3640" t="str">
        <f t="shared" si="115"/>
        <v>Mar -2026</v>
      </c>
    </row>
    <row r="3641" spans="1:7" x14ac:dyDescent="0.3">
      <c r="A3641" s="4">
        <v>2369345</v>
      </c>
      <c r="B3641" t="s">
        <v>2696</v>
      </c>
      <c r="C3641" s="4" t="s">
        <v>1010</v>
      </c>
      <c r="D3641" s="4" t="s">
        <v>209</v>
      </c>
      <c r="E3641" s="4" t="s">
        <v>375</v>
      </c>
      <c r="F3641" s="1">
        <v>46107</v>
      </c>
      <c r="G3641" t="str">
        <f t="shared" si="115"/>
        <v>Mar -2026</v>
      </c>
    </row>
    <row r="3642" spans="1:7" x14ac:dyDescent="0.3">
      <c r="A3642" s="4">
        <v>2370254</v>
      </c>
      <c r="B3642" t="s">
        <v>2697</v>
      </c>
      <c r="C3642" s="4" t="s">
        <v>1010</v>
      </c>
      <c r="D3642" s="4" t="s">
        <v>209</v>
      </c>
      <c r="E3642" s="4" t="s">
        <v>375</v>
      </c>
      <c r="F3642" s="1">
        <v>46107</v>
      </c>
      <c r="G3642" t="str">
        <f t="shared" si="115"/>
        <v>Mar -2026</v>
      </c>
    </row>
    <row r="3643" spans="1:7" x14ac:dyDescent="0.3">
      <c r="A3643" s="4">
        <v>2370691</v>
      </c>
      <c r="B3643" t="s">
        <v>2698</v>
      </c>
      <c r="C3643" s="4" t="s">
        <v>1010</v>
      </c>
      <c r="D3643" s="4" t="s">
        <v>209</v>
      </c>
      <c r="E3643" s="4" t="s">
        <v>375</v>
      </c>
      <c r="F3643" s="1">
        <v>46107</v>
      </c>
      <c r="G3643" t="str">
        <f t="shared" si="115"/>
        <v>Mar -2026</v>
      </c>
    </row>
    <row r="3644" spans="1:7" x14ac:dyDescent="0.3">
      <c r="A3644" s="4">
        <v>2370535</v>
      </c>
      <c r="B3644" t="s">
        <v>2699</v>
      </c>
      <c r="C3644" s="4" t="s">
        <v>1010</v>
      </c>
      <c r="D3644" s="4" t="s">
        <v>209</v>
      </c>
      <c r="E3644" s="4" t="s">
        <v>375</v>
      </c>
      <c r="F3644" s="1">
        <v>46107</v>
      </c>
      <c r="G3644" t="str">
        <f t="shared" si="115"/>
        <v>Mar -2026</v>
      </c>
    </row>
    <row r="3645" spans="1:7" x14ac:dyDescent="0.3">
      <c r="A3645" s="4">
        <v>2370817</v>
      </c>
      <c r="B3645" t="s">
        <v>2700</v>
      </c>
      <c r="C3645" s="4" t="s">
        <v>1010</v>
      </c>
      <c r="D3645" s="4" t="s">
        <v>209</v>
      </c>
      <c r="E3645" s="4" t="s">
        <v>375</v>
      </c>
      <c r="F3645" s="1">
        <v>46107</v>
      </c>
      <c r="G3645" t="str">
        <f t="shared" si="115"/>
        <v>Mar -2026</v>
      </c>
    </row>
    <row r="3646" spans="1:7" x14ac:dyDescent="0.3">
      <c r="A3646" s="4">
        <v>2353419</v>
      </c>
      <c r="B3646" t="s">
        <v>2701</v>
      </c>
      <c r="C3646" s="4" t="s">
        <v>1010</v>
      </c>
      <c r="D3646" s="4" t="s">
        <v>209</v>
      </c>
      <c r="E3646" s="4" t="s">
        <v>375</v>
      </c>
      <c r="F3646" s="1">
        <v>46107</v>
      </c>
      <c r="G3646" t="str">
        <f t="shared" si="115"/>
        <v>Mar -2026</v>
      </c>
    </row>
    <row r="3647" spans="1:7" x14ac:dyDescent="0.3">
      <c r="A3647" s="4">
        <v>2370646</v>
      </c>
      <c r="B3647" t="s">
        <v>2702</v>
      </c>
      <c r="C3647" s="4" t="s">
        <v>1010</v>
      </c>
      <c r="D3647" s="4" t="s">
        <v>209</v>
      </c>
      <c r="E3647" s="4" t="s">
        <v>375</v>
      </c>
      <c r="F3647" s="1">
        <v>46107</v>
      </c>
      <c r="G3647" t="str">
        <f t="shared" si="115"/>
        <v>Mar -2026</v>
      </c>
    </row>
    <row r="3648" spans="1:7" x14ac:dyDescent="0.3">
      <c r="A3648" s="4">
        <v>2370874</v>
      </c>
      <c r="B3648" t="s">
        <v>2703</v>
      </c>
      <c r="C3648" s="4" t="s">
        <v>1010</v>
      </c>
      <c r="D3648" s="4" t="s">
        <v>209</v>
      </c>
      <c r="E3648" s="4" t="s">
        <v>210</v>
      </c>
      <c r="F3648" s="1">
        <v>46107</v>
      </c>
      <c r="G3648" t="str">
        <f t="shared" si="115"/>
        <v>Mar -2026</v>
      </c>
    </row>
    <row r="3649" spans="1:7" x14ac:dyDescent="0.3">
      <c r="A3649" s="4">
        <v>2371336</v>
      </c>
      <c r="B3649" t="s">
        <v>2704</v>
      </c>
      <c r="C3649" s="4" t="s">
        <v>1010</v>
      </c>
      <c r="D3649" s="4" t="s">
        <v>209</v>
      </c>
      <c r="E3649" s="4" t="s">
        <v>2328</v>
      </c>
      <c r="F3649" s="1">
        <v>46107</v>
      </c>
      <c r="G3649" t="str">
        <f t="shared" si="115"/>
        <v>Mar -2026</v>
      </c>
    </row>
    <row r="3650" spans="1:7" x14ac:dyDescent="0.3">
      <c r="A3650" s="4">
        <v>2371386</v>
      </c>
      <c r="B3650" t="s">
        <v>2704</v>
      </c>
      <c r="C3650" s="4" t="s">
        <v>1010</v>
      </c>
      <c r="D3650" s="4" t="s">
        <v>209</v>
      </c>
      <c r="E3650" s="4" t="s">
        <v>2328</v>
      </c>
      <c r="F3650" s="1">
        <v>46107</v>
      </c>
      <c r="G3650" t="str">
        <f t="shared" si="115"/>
        <v>Mar -2026</v>
      </c>
    </row>
    <row r="3651" spans="1:7" x14ac:dyDescent="0.3">
      <c r="A3651" s="4">
        <v>2371387</v>
      </c>
      <c r="B3651" t="s">
        <v>2704</v>
      </c>
      <c r="C3651" s="4" t="s">
        <v>1010</v>
      </c>
      <c r="D3651" s="4" t="s">
        <v>209</v>
      </c>
      <c r="E3651" s="4" t="s">
        <v>2328</v>
      </c>
      <c r="F3651" s="1">
        <v>46107</v>
      </c>
      <c r="G3651" t="str">
        <f t="shared" si="115"/>
        <v>Mar -2026</v>
      </c>
    </row>
    <row r="3652" spans="1:7" x14ac:dyDescent="0.3">
      <c r="A3652" s="4">
        <v>2371374</v>
      </c>
      <c r="B3652" t="s">
        <v>2704</v>
      </c>
      <c r="C3652" s="4" t="s">
        <v>1010</v>
      </c>
      <c r="D3652" s="4" t="s">
        <v>209</v>
      </c>
      <c r="E3652" s="4" t="s">
        <v>2324</v>
      </c>
      <c r="F3652" s="1">
        <v>46107</v>
      </c>
      <c r="G3652" t="str">
        <f t="shared" si="115"/>
        <v>Mar -2026</v>
      </c>
    </row>
    <row r="3653" spans="1:7" x14ac:dyDescent="0.3">
      <c r="A3653" s="4">
        <v>2371375</v>
      </c>
      <c r="B3653" t="s">
        <v>2704</v>
      </c>
      <c r="C3653" s="4" t="s">
        <v>1010</v>
      </c>
      <c r="D3653" s="4" t="s">
        <v>209</v>
      </c>
      <c r="E3653" s="4" t="s">
        <v>2324</v>
      </c>
      <c r="F3653" s="1">
        <v>46107</v>
      </c>
      <c r="G3653" t="str">
        <f t="shared" si="115"/>
        <v>Mar -2026</v>
      </c>
    </row>
    <row r="3654" spans="1:7" x14ac:dyDescent="0.3">
      <c r="A3654" s="4">
        <v>2371373</v>
      </c>
      <c r="B3654" t="s">
        <v>2704</v>
      </c>
      <c r="C3654" s="4" t="s">
        <v>1010</v>
      </c>
      <c r="D3654" s="4" t="s">
        <v>209</v>
      </c>
      <c r="E3654" s="4" t="s">
        <v>2324</v>
      </c>
      <c r="F3654" s="1">
        <v>46107</v>
      </c>
      <c r="G3654" t="str">
        <f t="shared" si="115"/>
        <v>Mar -2026</v>
      </c>
    </row>
    <row r="3655" spans="1:7" x14ac:dyDescent="0.3">
      <c r="A3655" s="4">
        <v>2372022</v>
      </c>
      <c r="B3655" t="s">
        <v>2705</v>
      </c>
      <c r="C3655" s="4" t="s">
        <v>1010</v>
      </c>
      <c r="D3655" s="4" t="s">
        <v>209</v>
      </c>
      <c r="E3655" s="4" t="s">
        <v>225</v>
      </c>
      <c r="F3655" s="1">
        <v>46107</v>
      </c>
      <c r="G3655" t="str">
        <f t="shared" si="115"/>
        <v>Mar -2026</v>
      </c>
    </row>
    <row r="3656" spans="1:7" x14ac:dyDescent="0.3">
      <c r="A3656" s="4">
        <v>900006978</v>
      </c>
      <c r="B3656" t="s">
        <v>2706</v>
      </c>
      <c r="C3656" s="4" t="s">
        <v>1010</v>
      </c>
      <c r="D3656" s="4" t="s">
        <v>1551</v>
      </c>
      <c r="E3656" s="4" t="s">
        <v>1877</v>
      </c>
      <c r="F3656" s="1">
        <v>46107</v>
      </c>
      <c r="G3656" t="str">
        <f t="shared" si="115"/>
        <v>Mar -2026</v>
      </c>
    </row>
    <row r="3657" spans="1:7" x14ac:dyDescent="0.3">
      <c r="A3657" s="4">
        <v>900007026</v>
      </c>
      <c r="B3657" t="s">
        <v>2707</v>
      </c>
      <c r="C3657" s="4" t="s">
        <v>1010</v>
      </c>
      <c r="D3657" s="4" t="s">
        <v>1551</v>
      </c>
      <c r="E3657" s="4" t="s">
        <v>1877</v>
      </c>
      <c r="F3657" s="1">
        <v>46107</v>
      </c>
      <c r="G3657" t="str">
        <f t="shared" si="115"/>
        <v>Mar -2026</v>
      </c>
    </row>
    <row r="3658" spans="1:7" x14ac:dyDescent="0.3">
      <c r="A3658" s="4">
        <v>2371758</v>
      </c>
      <c r="B3658" t="s">
        <v>2708</v>
      </c>
      <c r="C3658" s="4" t="s">
        <v>1010</v>
      </c>
      <c r="D3658" s="4" t="s">
        <v>209</v>
      </c>
      <c r="E3658" s="4" t="s">
        <v>375</v>
      </c>
      <c r="F3658" s="1">
        <v>46107</v>
      </c>
      <c r="G3658" t="str">
        <f t="shared" si="115"/>
        <v>Mar -2026</v>
      </c>
    </row>
    <row r="3659" spans="1:7" x14ac:dyDescent="0.3">
      <c r="A3659" s="4">
        <v>100005828</v>
      </c>
      <c r="B3659" t="s">
        <v>2709</v>
      </c>
      <c r="C3659" s="3" t="s">
        <v>1011</v>
      </c>
      <c r="D3659" s="4" t="s">
        <v>2015</v>
      </c>
      <c r="E3659" s="4" t="s">
        <v>1569</v>
      </c>
      <c r="F3659" s="1">
        <v>46107</v>
      </c>
      <c r="G3659" t="str">
        <f t="shared" si="115"/>
        <v>Mar -2026</v>
      </c>
    </row>
    <row r="3660" spans="1:7" x14ac:dyDescent="0.3">
      <c r="A3660" s="4">
        <v>100005837</v>
      </c>
      <c r="B3660" t="s">
        <v>2710</v>
      </c>
      <c r="C3660" s="3" t="s">
        <v>1011</v>
      </c>
      <c r="D3660" s="4" t="s">
        <v>2015</v>
      </c>
      <c r="E3660" s="4" t="s">
        <v>982</v>
      </c>
      <c r="F3660" s="1">
        <v>46107</v>
      </c>
      <c r="G3660" t="str">
        <f t="shared" si="115"/>
        <v>Mar -2026</v>
      </c>
    </row>
    <row r="3661" spans="1:7" x14ac:dyDescent="0.3">
      <c r="A3661" s="4">
        <v>100005807</v>
      </c>
      <c r="B3661" t="s">
        <v>2711</v>
      </c>
      <c r="C3661" s="3" t="s">
        <v>1011</v>
      </c>
      <c r="D3661" s="4" t="s">
        <v>2015</v>
      </c>
      <c r="E3661" s="4" t="s">
        <v>984</v>
      </c>
      <c r="F3661" s="1">
        <v>46107</v>
      </c>
      <c r="G3661" t="str">
        <f t="shared" si="115"/>
        <v>Mar -2026</v>
      </c>
    </row>
    <row r="3662" spans="1:7" x14ac:dyDescent="0.3">
      <c r="A3662" s="4">
        <v>100005877</v>
      </c>
      <c r="B3662" t="s">
        <v>2712</v>
      </c>
      <c r="C3662" s="3" t="s">
        <v>1011</v>
      </c>
      <c r="D3662" s="4" t="s">
        <v>2015</v>
      </c>
      <c r="E3662" s="4" t="s">
        <v>1369</v>
      </c>
      <c r="F3662" s="1">
        <v>46107</v>
      </c>
      <c r="G3662" t="str">
        <f t="shared" ref="G3662:G3725" si="116">TEXT(F3662,"mmm -YYYY")</f>
        <v>Mar -2026</v>
      </c>
    </row>
    <row r="3663" spans="1:7" x14ac:dyDescent="0.3">
      <c r="A3663" s="4">
        <v>100005853</v>
      </c>
      <c r="B3663" t="s">
        <v>2713</v>
      </c>
      <c r="C3663" s="3" t="s">
        <v>1011</v>
      </c>
      <c r="D3663" s="4" t="s">
        <v>2015</v>
      </c>
      <c r="E3663" s="4" t="s">
        <v>2653</v>
      </c>
      <c r="F3663" s="1">
        <v>46107</v>
      </c>
      <c r="G3663" t="str">
        <f t="shared" si="116"/>
        <v>Mar -2026</v>
      </c>
    </row>
    <row r="3664" spans="1:7" x14ac:dyDescent="0.3">
      <c r="A3664" s="4">
        <v>100005893</v>
      </c>
      <c r="B3664" t="s">
        <v>2714</v>
      </c>
      <c r="C3664" s="3" t="s">
        <v>1011</v>
      </c>
      <c r="D3664" s="4" t="s">
        <v>2015</v>
      </c>
      <c r="E3664" s="4" t="s">
        <v>1569</v>
      </c>
      <c r="F3664" s="1">
        <v>46107</v>
      </c>
      <c r="G3664" t="str">
        <f t="shared" si="116"/>
        <v>Mar -2026</v>
      </c>
    </row>
    <row r="3665" spans="1:7" x14ac:dyDescent="0.3">
      <c r="A3665" s="4">
        <v>900006960</v>
      </c>
      <c r="B3665" t="s">
        <v>2715</v>
      </c>
      <c r="C3665" s="3" t="s">
        <v>1604</v>
      </c>
      <c r="D3665" s="4" t="s">
        <v>2018</v>
      </c>
      <c r="E3665" s="4" t="s">
        <v>1877</v>
      </c>
      <c r="F3665" s="1">
        <v>46107</v>
      </c>
      <c r="G3665" t="str">
        <f t="shared" si="116"/>
        <v>Mar -2026</v>
      </c>
    </row>
    <row r="3666" spans="1:7" x14ac:dyDescent="0.3">
      <c r="A3666" s="4">
        <v>900006997</v>
      </c>
      <c r="B3666" t="s">
        <v>2716</v>
      </c>
      <c r="C3666" s="3" t="s">
        <v>1604</v>
      </c>
      <c r="D3666" s="4" t="s">
        <v>2018</v>
      </c>
      <c r="E3666" s="4" t="s">
        <v>1877</v>
      </c>
      <c r="F3666" s="1">
        <v>46107</v>
      </c>
      <c r="G3666" t="str">
        <f t="shared" si="116"/>
        <v>Mar -2026</v>
      </c>
    </row>
    <row r="3667" spans="1:7" x14ac:dyDescent="0.3">
      <c r="A3667" s="4">
        <v>900007004</v>
      </c>
      <c r="B3667" t="s">
        <v>2717</v>
      </c>
      <c r="C3667" s="3" t="s">
        <v>1604</v>
      </c>
      <c r="D3667" s="4" t="s">
        <v>2031</v>
      </c>
      <c r="E3667" s="4" t="s">
        <v>1877</v>
      </c>
      <c r="F3667" s="1">
        <v>46107</v>
      </c>
      <c r="G3667" t="str">
        <f t="shared" si="116"/>
        <v>Mar -2026</v>
      </c>
    </row>
    <row r="3668" spans="1:7" x14ac:dyDescent="0.3">
      <c r="A3668" s="4">
        <v>900006904</v>
      </c>
      <c r="B3668" t="s">
        <v>2718</v>
      </c>
      <c r="C3668" s="3" t="s">
        <v>1604</v>
      </c>
      <c r="D3668" s="4" t="s">
        <v>2018</v>
      </c>
      <c r="E3668" s="4" t="s">
        <v>1877</v>
      </c>
      <c r="F3668" s="1">
        <v>46107</v>
      </c>
      <c r="G3668" t="str">
        <f t="shared" si="116"/>
        <v>Mar -2026</v>
      </c>
    </row>
    <row r="3669" spans="1:7" x14ac:dyDescent="0.3">
      <c r="A3669" s="4">
        <v>100005808</v>
      </c>
      <c r="B3669" t="s">
        <v>2190</v>
      </c>
      <c r="C3669" s="3" t="s">
        <v>1011</v>
      </c>
      <c r="D3669" s="4" t="s">
        <v>2015</v>
      </c>
      <c r="E3669" s="4" t="s">
        <v>969</v>
      </c>
      <c r="F3669" s="1">
        <v>46107</v>
      </c>
      <c r="G3669" t="str">
        <f t="shared" si="116"/>
        <v>Mar -2026</v>
      </c>
    </row>
    <row r="3670" spans="1:7" x14ac:dyDescent="0.3">
      <c r="A3670" s="4">
        <v>100005878</v>
      </c>
      <c r="B3670" t="s">
        <v>2719</v>
      </c>
      <c r="C3670" s="3" t="s">
        <v>1011</v>
      </c>
      <c r="D3670" s="4" t="s">
        <v>2015</v>
      </c>
      <c r="E3670" s="4" t="s">
        <v>976</v>
      </c>
      <c r="F3670" s="1">
        <v>46107</v>
      </c>
      <c r="G3670" t="str">
        <f t="shared" si="116"/>
        <v>Mar -2026</v>
      </c>
    </row>
    <row r="3671" spans="1:7" x14ac:dyDescent="0.3">
      <c r="A3671" s="4">
        <v>100005855</v>
      </c>
      <c r="B3671" t="s">
        <v>2720</v>
      </c>
      <c r="C3671" s="3" t="s">
        <v>1011</v>
      </c>
      <c r="D3671" s="4" t="s">
        <v>2015</v>
      </c>
      <c r="E3671" s="4" t="s">
        <v>1569</v>
      </c>
      <c r="F3671" s="1">
        <v>46107</v>
      </c>
      <c r="G3671" t="str">
        <f t="shared" si="116"/>
        <v>Mar -2026</v>
      </c>
    </row>
    <row r="3672" spans="1:7" x14ac:dyDescent="0.3">
      <c r="A3672" s="4">
        <v>900006869</v>
      </c>
      <c r="B3672" t="s">
        <v>2721</v>
      </c>
      <c r="C3672" s="3" t="s">
        <v>1604</v>
      </c>
      <c r="D3672" s="4" t="s">
        <v>2018</v>
      </c>
      <c r="E3672" s="4" t="s">
        <v>1877</v>
      </c>
      <c r="F3672" s="1">
        <v>46107</v>
      </c>
      <c r="G3672" t="str">
        <f t="shared" si="116"/>
        <v>Mar -2026</v>
      </c>
    </row>
    <row r="3673" spans="1:7" x14ac:dyDescent="0.3">
      <c r="A3673" s="4">
        <v>900006644</v>
      </c>
      <c r="B3673" t="s">
        <v>2553</v>
      </c>
      <c r="C3673" s="3" t="s">
        <v>1604</v>
      </c>
      <c r="D3673" s="4" t="s">
        <v>2031</v>
      </c>
      <c r="E3673" s="4" t="s">
        <v>1877</v>
      </c>
      <c r="F3673" s="1">
        <v>46107</v>
      </c>
      <c r="G3673" t="str">
        <f t="shared" si="116"/>
        <v>Mar -2026</v>
      </c>
    </row>
    <row r="3674" spans="1:7" x14ac:dyDescent="0.3">
      <c r="A3674" s="4">
        <v>2372022</v>
      </c>
      <c r="B3674" t="s">
        <v>2705</v>
      </c>
      <c r="C3674" s="4" t="s">
        <v>1010</v>
      </c>
      <c r="D3674" s="4" t="s">
        <v>209</v>
      </c>
      <c r="E3674" s="4" t="s">
        <v>225</v>
      </c>
      <c r="F3674" s="1">
        <v>46108</v>
      </c>
      <c r="G3674" t="str">
        <f t="shared" si="116"/>
        <v>Mar -2026</v>
      </c>
    </row>
    <row r="3675" spans="1:7" x14ac:dyDescent="0.3">
      <c r="A3675" s="4">
        <v>2354092</v>
      </c>
      <c r="B3675" t="s">
        <v>2592</v>
      </c>
      <c r="C3675" s="4" t="s">
        <v>1010</v>
      </c>
      <c r="D3675" s="4" t="s">
        <v>1020</v>
      </c>
      <c r="E3675" s="4" t="s">
        <v>2310</v>
      </c>
      <c r="F3675" s="1">
        <v>46108</v>
      </c>
      <c r="G3675" t="str">
        <f t="shared" si="116"/>
        <v>Mar -2026</v>
      </c>
    </row>
    <row r="3676" spans="1:7" x14ac:dyDescent="0.3">
      <c r="A3676" s="4">
        <v>2375280</v>
      </c>
      <c r="B3676" t="s">
        <v>2722</v>
      </c>
      <c r="C3676" s="4" t="s">
        <v>1010</v>
      </c>
      <c r="D3676" s="4" t="s">
        <v>209</v>
      </c>
      <c r="E3676" s="4" t="s">
        <v>210</v>
      </c>
      <c r="F3676" s="1">
        <v>46108</v>
      </c>
      <c r="G3676" t="str">
        <f t="shared" si="116"/>
        <v>Mar -2026</v>
      </c>
    </row>
    <row r="3677" spans="1:7" x14ac:dyDescent="0.3">
      <c r="A3677" s="4">
        <v>2375374</v>
      </c>
      <c r="B3677" t="s">
        <v>2723</v>
      </c>
      <c r="C3677" s="4" t="s">
        <v>1010</v>
      </c>
      <c r="D3677" s="4" t="s">
        <v>209</v>
      </c>
      <c r="E3677" s="4" t="s">
        <v>291</v>
      </c>
      <c r="F3677" s="1">
        <v>46108</v>
      </c>
      <c r="G3677" t="str">
        <f t="shared" si="116"/>
        <v>Mar -2026</v>
      </c>
    </row>
    <row r="3678" spans="1:7" x14ac:dyDescent="0.3">
      <c r="A3678" s="4">
        <v>2375247</v>
      </c>
      <c r="B3678" t="s">
        <v>2724</v>
      </c>
      <c r="C3678" s="4" t="s">
        <v>1010</v>
      </c>
      <c r="D3678" s="4" t="s">
        <v>209</v>
      </c>
      <c r="E3678" s="4" t="s">
        <v>291</v>
      </c>
      <c r="F3678" s="1">
        <v>46108</v>
      </c>
      <c r="G3678" t="str">
        <f t="shared" si="116"/>
        <v>Mar -2026</v>
      </c>
    </row>
    <row r="3679" spans="1:7" x14ac:dyDescent="0.3">
      <c r="A3679" s="4">
        <v>2375248</v>
      </c>
      <c r="B3679" t="s">
        <v>2725</v>
      </c>
      <c r="C3679" s="4" t="s">
        <v>1010</v>
      </c>
      <c r="D3679" s="4" t="s">
        <v>209</v>
      </c>
      <c r="E3679" s="4" t="s">
        <v>291</v>
      </c>
      <c r="F3679" s="1">
        <v>46108</v>
      </c>
      <c r="G3679" t="str">
        <f t="shared" si="116"/>
        <v>Mar -2026</v>
      </c>
    </row>
    <row r="3680" spans="1:7" x14ac:dyDescent="0.3">
      <c r="A3680" s="4">
        <v>2375250</v>
      </c>
      <c r="B3680" t="s">
        <v>2726</v>
      </c>
      <c r="C3680" s="4" t="s">
        <v>1010</v>
      </c>
      <c r="D3680" s="4" t="s">
        <v>209</v>
      </c>
      <c r="E3680" s="4" t="s">
        <v>291</v>
      </c>
      <c r="F3680" s="1">
        <v>46108</v>
      </c>
      <c r="G3680" t="str">
        <f t="shared" si="116"/>
        <v>Mar -2026</v>
      </c>
    </row>
    <row r="3681" spans="1:7" x14ac:dyDescent="0.3">
      <c r="A3681" s="4">
        <v>2374840</v>
      </c>
      <c r="B3681" t="s">
        <v>2727</v>
      </c>
      <c r="C3681" s="4" t="s">
        <v>1010</v>
      </c>
      <c r="D3681" s="4" t="s">
        <v>209</v>
      </c>
      <c r="E3681" s="4" t="s">
        <v>375</v>
      </c>
      <c r="F3681" s="1">
        <v>46108</v>
      </c>
      <c r="G3681" t="str">
        <f t="shared" si="116"/>
        <v>Mar -2026</v>
      </c>
    </row>
    <row r="3682" spans="1:7" x14ac:dyDescent="0.3">
      <c r="A3682" s="4">
        <v>2375005</v>
      </c>
      <c r="B3682" t="s">
        <v>2728</v>
      </c>
      <c r="C3682" s="4" t="s">
        <v>1010</v>
      </c>
      <c r="D3682" s="4" t="s">
        <v>209</v>
      </c>
      <c r="E3682" s="4" t="s">
        <v>375</v>
      </c>
      <c r="F3682" s="1">
        <v>46108</v>
      </c>
      <c r="G3682" t="str">
        <f t="shared" si="116"/>
        <v>Mar -2026</v>
      </c>
    </row>
    <row r="3683" spans="1:7" x14ac:dyDescent="0.3">
      <c r="A3683" s="4">
        <v>2375007</v>
      </c>
      <c r="B3683" t="s">
        <v>2729</v>
      </c>
      <c r="C3683" s="4" t="s">
        <v>1010</v>
      </c>
      <c r="D3683" s="4" t="s">
        <v>209</v>
      </c>
      <c r="E3683" s="4" t="s">
        <v>375</v>
      </c>
      <c r="F3683" s="1">
        <v>46108</v>
      </c>
      <c r="G3683" t="str">
        <f t="shared" si="116"/>
        <v>Mar -2026</v>
      </c>
    </row>
    <row r="3684" spans="1:7" x14ac:dyDescent="0.3">
      <c r="A3684" s="4">
        <v>2374959</v>
      </c>
      <c r="B3684" t="s">
        <v>2729</v>
      </c>
      <c r="C3684" s="4" t="s">
        <v>1010</v>
      </c>
      <c r="D3684" s="4" t="s">
        <v>209</v>
      </c>
      <c r="E3684" s="4" t="s">
        <v>375</v>
      </c>
      <c r="F3684" s="1">
        <v>46108</v>
      </c>
      <c r="G3684" t="str">
        <f t="shared" si="116"/>
        <v>Mar -2026</v>
      </c>
    </row>
    <row r="3685" spans="1:7" x14ac:dyDescent="0.3">
      <c r="A3685" s="4">
        <v>2375327</v>
      </c>
      <c r="B3685" t="s">
        <v>2730</v>
      </c>
      <c r="C3685" s="4" t="s">
        <v>1010</v>
      </c>
      <c r="D3685" s="4" t="s">
        <v>209</v>
      </c>
      <c r="E3685" s="4" t="s">
        <v>375</v>
      </c>
      <c r="F3685" s="1">
        <v>46108</v>
      </c>
      <c r="G3685" t="str">
        <f t="shared" si="116"/>
        <v>Mar -2026</v>
      </c>
    </row>
    <row r="3686" spans="1:7" x14ac:dyDescent="0.3">
      <c r="A3686" s="4">
        <v>2375329</v>
      </c>
      <c r="B3686" t="s">
        <v>2731</v>
      </c>
      <c r="C3686" s="4" t="s">
        <v>1010</v>
      </c>
      <c r="D3686" s="4" t="s">
        <v>209</v>
      </c>
      <c r="E3686" s="4" t="s">
        <v>375</v>
      </c>
      <c r="F3686" s="1">
        <v>46108</v>
      </c>
      <c r="G3686" t="str">
        <f t="shared" si="116"/>
        <v>Mar -2026</v>
      </c>
    </row>
    <row r="3687" spans="1:7" x14ac:dyDescent="0.3">
      <c r="A3687" s="4">
        <v>2375375</v>
      </c>
      <c r="B3687" t="s">
        <v>2732</v>
      </c>
      <c r="C3687" s="4" t="s">
        <v>1010</v>
      </c>
      <c r="D3687" s="4" t="s">
        <v>209</v>
      </c>
      <c r="E3687" s="4" t="s">
        <v>375</v>
      </c>
      <c r="F3687" s="1">
        <v>46108</v>
      </c>
      <c r="G3687" t="str">
        <f t="shared" si="116"/>
        <v>Mar -2026</v>
      </c>
    </row>
    <row r="3688" spans="1:7" x14ac:dyDescent="0.3">
      <c r="A3688" s="4">
        <v>2371970</v>
      </c>
      <c r="B3688" t="s">
        <v>2733</v>
      </c>
      <c r="C3688" s="4" t="s">
        <v>1010</v>
      </c>
      <c r="D3688" s="4" t="s">
        <v>1259</v>
      </c>
      <c r="E3688" s="4" t="s">
        <v>228</v>
      </c>
      <c r="F3688" s="1">
        <v>46108</v>
      </c>
      <c r="G3688" t="str">
        <f t="shared" si="116"/>
        <v>Mar -2026</v>
      </c>
    </row>
    <row r="3689" spans="1:7" x14ac:dyDescent="0.3">
      <c r="A3689" s="4">
        <v>100005920</v>
      </c>
      <c r="B3689" t="s">
        <v>2734</v>
      </c>
      <c r="C3689" s="3" t="s">
        <v>1011</v>
      </c>
      <c r="D3689" s="4" t="s">
        <v>2015</v>
      </c>
      <c r="E3689" s="4" t="s">
        <v>1569</v>
      </c>
      <c r="F3689" s="1">
        <v>46108</v>
      </c>
      <c r="G3689" t="str">
        <f t="shared" si="116"/>
        <v>Mar -2026</v>
      </c>
    </row>
    <row r="3690" spans="1:7" x14ac:dyDescent="0.3">
      <c r="A3690" s="4">
        <v>900006920</v>
      </c>
      <c r="B3690" t="s">
        <v>2735</v>
      </c>
      <c r="C3690" s="3" t="s">
        <v>1604</v>
      </c>
      <c r="D3690" s="4" t="s">
        <v>2018</v>
      </c>
      <c r="E3690" s="4" t="s">
        <v>1877</v>
      </c>
      <c r="F3690" s="1">
        <v>46108</v>
      </c>
      <c r="G3690" t="str">
        <f t="shared" si="116"/>
        <v>Mar -2026</v>
      </c>
    </row>
    <row r="3691" spans="1:7" x14ac:dyDescent="0.3">
      <c r="A3691" s="4">
        <v>900006865</v>
      </c>
      <c r="B3691" t="s">
        <v>2736</v>
      </c>
      <c r="C3691" s="3" t="s">
        <v>1604</v>
      </c>
      <c r="D3691" s="4" t="s">
        <v>2018</v>
      </c>
      <c r="E3691" s="4" t="s">
        <v>1877</v>
      </c>
      <c r="F3691" s="1">
        <v>46108</v>
      </c>
      <c r="G3691" t="str">
        <f t="shared" si="116"/>
        <v>Mar -2026</v>
      </c>
    </row>
    <row r="3692" spans="1:7" x14ac:dyDescent="0.3">
      <c r="A3692" s="4">
        <v>100005903</v>
      </c>
      <c r="B3692" t="s">
        <v>2737</v>
      </c>
      <c r="C3692" s="3" t="s">
        <v>1011</v>
      </c>
      <c r="D3692" s="4" t="s">
        <v>2015</v>
      </c>
      <c r="E3692" s="4" t="s">
        <v>1569</v>
      </c>
      <c r="F3692" s="1">
        <v>46108</v>
      </c>
      <c r="G3692" t="str">
        <f t="shared" si="116"/>
        <v>Mar -2026</v>
      </c>
    </row>
    <row r="3693" spans="1:7" x14ac:dyDescent="0.3">
      <c r="A3693" s="4">
        <v>100005856</v>
      </c>
      <c r="B3693" t="s">
        <v>2738</v>
      </c>
      <c r="C3693" s="3" t="s">
        <v>1011</v>
      </c>
      <c r="D3693" s="4" t="s">
        <v>2015</v>
      </c>
      <c r="E3693" s="4" t="s">
        <v>1569</v>
      </c>
      <c r="F3693" s="1">
        <v>46108</v>
      </c>
      <c r="G3693" t="str">
        <f t="shared" si="116"/>
        <v>Mar -2026</v>
      </c>
    </row>
    <row r="3694" spans="1:7" x14ac:dyDescent="0.3">
      <c r="A3694" s="4">
        <v>100005867</v>
      </c>
      <c r="B3694" t="s">
        <v>2739</v>
      </c>
      <c r="C3694" s="3" t="s">
        <v>1011</v>
      </c>
      <c r="D3694" s="4" t="s">
        <v>2015</v>
      </c>
      <c r="E3694" s="4" t="s">
        <v>981</v>
      </c>
      <c r="F3694" s="1">
        <v>46108</v>
      </c>
      <c r="G3694" t="str">
        <f t="shared" si="116"/>
        <v>Mar -2026</v>
      </c>
    </row>
    <row r="3695" spans="1:7" x14ac:dyDescent="0.3">
      <c r="A3695" s="4">
        <v>100005894</v>
      </c>
      <c r="B3695" t="s">
        <v>2740</v>
      </c>
      <c r="C3695" s="3" t="s">
        <v>1011</v>
      </c>
      <c r="D3695" s="4" t="s">
        <v>2015</v>
      </c>
      <c r="E3695" s="4" t="s">
        <v>1569</v>
      </c>
      <c r="F3695" s="1">
        <v>46108</v>
      </c>
      <c r="G3695" t="str">
        <f t="shared" si="116"/>
        <v>Mar -2026</v>
      </c>
    </row>
    <row r="3696" spans="1:7" x14ac:dyDescent="0.3">
      <c r="A3696" s="4">
        <v>100005886</v>
      </c>
      <c r="B3696" t="s">
        <v>2741</v>
      </c>
      <c r="C3696" s="3" t="s">
        <v>1011</v>
      </c>
      <c r="D3696" s="4" t="s">
        <v>2015</v>
      </c>
      <c r="E3696" s="4" t="s">
        <v>967</v>
      </c>
      <c r="F3696" s="1">
        <v>46108</v>
      </c>
      <c r="G3696" t="str">
        <f t="shared" si="116"/>
        <v>Mar -2026</v>
      </c>
    </row>
    <row r="3697" spans="1:7" x14ac:dyDescent="0.3">
      <c r="A3697" s="4">
        <v>100005895</v>
      </c>
      <c r="B3697" t="s">
        <v>2742</v>
      </c>
      <c r="C3697" s="3" t="s">
        <v>1011</v>
      </c>
      <c r="D3697" s="4" t="s">
        <v>2015</v>
      </c>
      <c r="E3697" s="4" t="s">
        <v>967</v>
      </c>
      <c r="F3697" s="1">
        <v>46108</v>
      </c>
      <c r="G3697" t="str">
        <f t="shared" si="116"/>
        <v>Mar -2026</v>
      </c>
    </row>
    <row r="3698" spans="1:7" x14ac:dyDescent="0.3">
      <c r="A3698" s="4">
        <v>100005904</v>
      </c>
      <c r="B3698" t="s">
        <v>2743</v>
      </c>
      <c r="C3698" s="3" t="s">
        <v>1011</v>
      </c>
      <c r="D3698" s="4" t="s">
        <v>2015</v>
      </c>
      <c r="E3698" s="4" t="s">
        <v>967</v>
      </c>
      <c r="F3698" s="1">
        <v>46108</v>
      </c>
      <c r="G3698" t="str">
        <f t="shared" si="116"/>
        <v>Mar -2026</v>
      </c>
    </row>
    <row r="3699" spans="1:7" x14ac:dyDescent="0.3">
      <c r="A3699" s="4">
        <v>100005895</v>
      </c>
      <c r="B3699" t="s">
        <v>2742</v>
      </c>
      <c r="C3699" s="3" t="s">
        <v>1011</v>
      </c>
      <c r="D3699" s="4" t="s">
        <v>2015</v>
      </c>
      <c r="E3699" s="4" t="s">
        <v>967</v>
      </c>
      <c r="F3699" s="1">
        <v>46111</v>
      </c>
      <c r="G3699" t="str">
        <f t="shared" si="116"/>
        <v>Mar -2026</v>
      </c>
    </row>
    <row r="3700" spans="1:7" x14ac:dyDescent="0.3">
      <c r="A3700" s="4">
        <v>100005912</v>
      </c>
      <c r="B3700" t="s">
        <v>2744</v>
      </c>
      <c r="C3700" s="3" t="s">
        <v>1011</v>
      </c>
      <c r="D3700" s="4" t="s">
        <v>2015</v>
      </c>
      <c r="E3700" s="4" t="s">
        <v>1609</v>
      </c>
      <c r="F3700" s="1">
        <v>46111</v>
      </c>
      <c r="G3700" t="str">
        <f t="shared" si="116"/>
        <v>Mar -2026</v>
      </c>
    </row>
    <row r="3701" spans="1:7" x14ac:dyDescent="0.3">
      <c r="A3701" s="4">
        <v>100005902</v>
      </c>
      <c r="B3701" t="s">
        <v>2745</v>
      </c>
      <c r="C3701" s="3" t="s">
        <v>1011</v>
      </c>
      <c r="D3701" s="4" t="s">
        <v>2015</v>
      </c>
      <c r="E3701" s="4" t="s">
        <v>969</v>
      </c>
      <c r="F3701" s="1">
        <v>46111</v>
      </c>
      <c r="G3701" t="str">
        <f t="shared" si="116"/>
        <v>Mar -2026</v>
      </c>
    </row>
    <row r="3702" spans="1:7" x14ac:dyDescent="0.3">
      <c r="A3702" s="4">
        <v>100005905</v>
      </c>
      <c r="B3702" t="s">
        <v>2746</v>
      </c>
      <c r="C3702" s="3" t="s">
        <v>1011</v>
      </c>
      <c r="D3702" s="4" t="s">
        <v>2015</v>
      </c>
      <c r="E3702" s="4" t="s">
        <v>967</v>
      </c>
      <c r="F3702" s="1">
        <v>46111</v>
      </c>
      <c r="G3702" t="str">
        <f t="shared" si="116"/>
        <v>Mar -2026</v>
      </c>
    </row>
    <row r="3703" spans="1:7" x14ac:dyDescent="0.3">
      <c r="A3703" s="4">
        <v>900007036</v>
      </c>
      <c r="B3703" t="s">
        <v>2747</v>
      </c>
      <c r="C3703" s="3" t="s">
        <v>1011</v>
      </c>
      <c r="D3703" s="4" t="s">
        <v>973</v>
      </c>
      <c r="E3703" s="4" t="s">
        <v>1877</v>
      </c>
      <c r="F3703" s="1">
        <v>46111</v>
      </c>
      <c r="G3703" t="str">
        <f t="shared" si="116"/>
        <v>Mar -2026</v>
      </c>
    </row>
    <row r="3704" spans="1:7" x14ac:dyDescent="0.3">
      <c r="A3704" s="4">
        <v>900006999</v>
      </c>
      <c r="B3704" t="s">
        <v>2748</v>
      </c>
      <c r="C3704" s="3" t="s">
        <v>1604</v>
      </c>
      <c r="D3704" s="4" t="s">
        <v>2018</v>
      </c>
      <c r="E3704" s="4" t="s">
        <v>1877</v>
      </c>
      <c r="F3704" s="1">
        <v>46111</v>
      </c>
      <c r="G3704" t="str">
        <f t="shared" si="116"/>
        <v>Mar -2026</v>
      </c>
    </row>
    <row r="3705" spans="1:7" x14ac:dyDescent="0.3">
      <c r="A3705" s="4">
        <v>2383210</v>
      </c>
      <c r="B3705" t="s">
        <v>2749</v>
      </c>
      <c r="C3705" s="4" t="s">
        <v>1010</v>
      </c>
      <c r="D3705" s="4" t="s">
        <v>209</v>
      </c>
      <c r="E3705" s="4" t="s">
        <v>210</v>
      </c>
      <c r="F3705" s="1">
        <v>46111</v>
      </c>
      <c r="G3705" t="str">
        <f t="shared" si="116"/>
        <v>Mar -2026</v>
      </c>
    </row>
    <row r="3706" spans="1:7" x14ac:dyDescent="0.3">
      <c r="A3706" s="4">
        <v>2353780</v>
      </c>
      <c r="B3706" t="s">
        <v>2750</v>
      </c>
      <c r="C3706" s="4" t="s">
        <v>1010</v>
      </c>
      <c r="D3706" s="4" t="s">
        <v>1020</v>
      </c>
      <c r="E3706" s="4" t="s">
        <v>435</v>
      </c>
      <c r="F3706" s="1">
        <v>46111</v>
      </c>
      <c r="G3706" t="str">
        <f t="shared" si="116"/>
        <v>Mar -2026</v>
      </c>
    </row>
    <row r="3707" spans="1:7" x14ac:dyDescent="0.3">
      <c r="A3707" s="4">
        <v>2334689</v>
      </c>
      <c r="B3707" t="s">
        <v>2751</v>
      </c>
      <c r="C3707" s="4" t="s">
        <v>1010</v>
      </c>
      <c r="D3707" s="4" t="s">
        <v>1020</v>
      </c>
      <c r="E3707" s="4" t="s">
        <v>435</v>
      </c>
      <c r="F3707" s="1">
        <v>46111</v>
      </c>
      <c r="G3707" t="str">
        <f t="shared" si="116"/>
        <v>Mar -2026</v>
      </c>
    </row>
    <row r="3708" spans="1:7" x14ac:dyDescent="0.3">
      <c r="A3708" s="4">
        <v>2374123</v>
      </c>
      <c r="B3708" t="s">
        <v>2752</v>
      </c>
      <c r="C3708" s="4" t="s">
        <v>1010</v>
      </c>
      <c r="D3708" s="4" t="s">
        <v>1259</v>
      </c>
      <c r="E3708" s="4" t="s">
        <v>228</v>
      </c>
      <c r="F3708" s="1">
        <v>46111</v>
      </c>
      <c r="G3708" t="str">
        <f t="shared" si="116"/>
        <v>Mar -2026</v>
      </c>
    </row>
    <row r="3709" spans="1:7" x14ac:dyDescent="0.3">
      <c r="A3709" s="4">
        <v>2374441</v>
      </c>
      <c r="B3709" t="s">
        <v>2753</v>
      </c>
      <c r="C3709" s="4" t="s">
        <v>1010</v>
      </c>
      <c r="D3709" s="4" t="s">
        <v>1259</v>
      </c>
      <c r="E3709" s="4" t="s">
        <v>228</v>
      </c>
      <c r="F3709" s="1">
        <v>46111</v>
      </c>
      <c r="G3709" t="str">
        <f t="shared" si="116"/>
        <v>Mar -2026</v>
      </c>
    </row>
    <row r="3710" spans="1:7" x14ac:dyDescent="0.3">
      <c r="A3710" s="4">
        <v>900007054</v>
      </c>
      <c r="B3710" t="s">
        <v>2754</v>
      </c>
      <c r="C3710" s="4" t="s">
        <v>1010</v>
      </c>
      <c r="D3710" s="4" t="s">
        <v>209</v>
      </c>
      <c r="E3710" s="4" t="s">
        <v>1877</v>
      </c>
      <c r="F3710" s="1">
        <v>46111</v>
      </c>
      <c r="G3710" t="str">
        <f t="shared" si="116"/>
        <v>Mar -2026</v>
      </c>
    </row>
    <row r="3711" spans="1:7" x14ac:dyDescent="0.3">
      <c r="A3711" s="4">
        <v>2374640</v>
      </c>
      <c r="B3711" t="s">
        <v>2755</v>
      </c>
      <c r="C3711" s="4" t="s">
        <v>1010</v>
      </c>
      <c r="D3711" s="4" t="s">
        <v>1259</v>
      </c>
      <c r="E3711" s="4" t="s">
        <v>228</v>
      </c>
      <c r="F3711" s="1">
        <v>46111</v>
      </c>
      <c r="G3711" t="str">
        <f t="shared" si="116"/>
        <v>Mar -2026</v>
      </c>
    </row>
    <row r="3712" spans="1:7" x14ac:dyDescent="0.3">
      <c r="A3712" s="4">
        <v>2374871</v>
      </c>
      <c r="B3712" t="s">
        <v>2756</v>
      </c>
      <c r="C3712" s="4" t="s">
        <v>1010</v>
      </c>
      <c r="D3712" s="4" t="s">
        <v>1259</v>
      </c>
      <c r="E3712" s="4" t="s">
        <v>228</v>
      </c>
      <c r="F3712" s="1">
        <v>46111</v>
      </c>
      <c r="G3712" t="str">
        <f t="shared" si="116"/>
        <v>Mar -2026</v>
      </c>
    </row>
    <row r="3713" spans="1:7" x14ac:dyDescent="0.3">
      <c r="A3713" s="4">
        <v>2374873</v>
      </c>
      <c r="B3713" t="s">
        <v>2757</v>
      </c>
      <c r="C3713" s="4" t="s">
        <v>1010</v>
      </c>
      <c r="D3713" s="4" t="s">
        <v>1259</v>
      </c>
      <c r="E3713" s="4" t="s">
        <v>228</v>
      </c>
      <c r="F3713" s="1">
        <v>46111</v>
      </c>
      <c r="G3713" t="str">
        <f t="shared" si="116"/>
        <v>Mar -2026</v>
      </c>
    </row>
    <row r="3714" spans="1:7" x14ac:dyDescent="0.3">
      <c r="A3714" s="4">
        <v>2384176</v>
      </c>
      <c r="B3714" t="s">
        <v>2758</v>
      </c>
      <c r="C3714" s="4" t="s">
        <v>1010</v>
      </c>
      <c r="D3714" s="4" t="s">
        <v>209</v>
      </c>
      <c r="E3714" s="4" t="s">
        <v>291</v>
      </c>
      <c r="F3714" s="1">
        <v>46111</v>
      </c>
      <c r="G3714" t="str">
        <f t="shared" si="116"/>
        <v>Mar -2026</v>
      </c>
    </row>
    <row r="3715" spans="1:7" x14ac:dyDescent="0.3">
      <c r="A3715" s="4">
        <v>2384177</v>
      </c>
      <c r="B3715" t="s">
        <v>2758</v>
      </c>
      <c r="C3715" s="4" t="s">
        <v>1010</v>
      </c>
      <c r="D3715" s="4" t="s">
        <v>209</v>
      </c>
      <c r="E3715" s="4" t="s">
        <v>291</v>
      </c>
      <c r="F3715" s="1">
        <v>46111</v>
      </c>
      <c r="G3715" t="str">
        <f t="shared" si="116"/>
        <v>Mar -2026</v>
      </c>
    </row>
    <row r="3716" spans="1:7" x14ac:dyDescent="0.3">
      <c r="A3716" s="4">
        <v>2368341</v>
      </c>
      <c r="B3716" t="s">
        <v>2759</v>
      </c>
      <c r="C3716" s="4" t="s">
        <v>1010</v>
      </c>
      <c r="D3716" s="4" t="s">
        <v>364</v>
      </c>
      <c r="E3716" s="4" t="s">
        <v>15</v>
      </c>
      <c r="F3716" s="1">
        <v>46111</v>
      </c>
      <c r="G3716" t="str">
        <f t="shared" si="116"/>
        <v>Mar -2026</v>
      </c>
    </row>
    <row r="3717" spans="1:7" x14ac:dyDescent="0.3">
      <c r="A3717" s="4">
        <v>900007083</v>
      </c>
      <c r="B3717" t="s">
        <v>2754</v>
      </c>
      <c r="C3717" s="4" t="s">
        <v>1010</v>
      </c>
      <c r="D3717" s="4" t="s">
        <v>209</v>
      </c>
      <c r="E3717" s="4" t="s">
        <v>1877</v>
      </c>
      <c r="F3717" s="1">
        <v>46111</v>
      </c>
      <c r="G3717" t="str">
        <f t="shared" si="116"/>
        <v>Mar -2026</v>
      </c>
    </row>
    <row r="3718" spans="1:7" x14ac:dyDescent="0.3">
      <c r="A3718" s="4">
        <v>2384322</v>
      </c>
      <c r="B3718" t="s">
        <v>2760</v>
      </c>
      <c r="C3718" s="4" t="s">
        <v>1010</v>
      </c>
      <c r="D3718" s="4" t="s">
        <v>209</v>
      </c>
      <c r="E3718" s="4" t="s">
        <v>291</v>
      </c>
      <c r="F3718" s="1">
        <v>46111</v>
      </c>
      <c r="G3718" t="str">
        <f t="shared" si="116"/>
        <v>Mar -2026</v>
      </c>
    </row>
    <row r="3719" spans="1:7" x14ac:dyDescent="0.3">
      <c r="A3719" s="4">
        <v>2384323</v>
      </c>
      <c r="B3719" t="s">
        <v>2761</v>
      </c>
      <c r="C3719" s="4" t="s">
        <v>1010</v>
      </c>
      <c r="D3719" s="4" t="s">
        <v>209</v>
      </c>
      <c r="E3719" s="4" t="s">
        <v>291</v>
      </c>
      <c r="F3719" s="1">
        <v>46111</v>
      </c>
      <c r="G3719" t="str">
        <f t="shared" si="116"/>
        <v>Mar -2026</v>
      </c>
    </row>
    <row r="3720" spans="1:7" x14ac:dyDescent="0.3">
      <c r="A3720" s="4">
        <v>900006995</v>
      </c>
      <c r="B3720" t="s">
        <v>2762</v>
      </c>
      <c r="C3720" s="4" t="s">
        <v>1010</v>
      </c>
      <c r="D3720" s="4" t="s">
        <v>1229</v>
      </c>
      <c r="E3720" s="4" t="s">
        <v>1877</v>
      </c>
      <c r="F3720" s="1">
        <v>46111</v>
      </c>
      <c r="G3720" t="str">
        <f t="shared" si="116"/>
        <v>Mar -2026</v>
      </c>
    </row>
    <row r="3721" spans="1:7" x14ac:dyDescent="0.3">
      <c r="A3721" s="4">
        <v>2384081</v>
      </c>
      <c r="B3721" t="s">
        <v>2763</v>
      </c>
      <c r="C3721" s="4" t="s">
        <v>1010</v>
      </c>
      <c r="D3721" s="4" t="s">
        <v>1020</v>
      </c>
      <c r="E3721" s="4" t="s">
        <v>2310</v>
      </c>
      <c r="F3721" s="1">
        <v>46112</v>
      </c>
      <c r="G3721" t="str">
        <f t="shared" si="116"/>
        <v>Mar -2026</v>
      </c>
    </row>
    <row r="3722" spans="1:7" x14ac:dyDescent="0.3">
      <c r="A3722" s="4">
        <v>2384061</v>
      </c>
      <c r="B3722" t="s">
        <v>2764</v>
      </c>
      <c r="C3722" s="4" t="s">
        <v>1010</v>
      </c>
      <c r="D3722" s="4" t="s">
        <v>209</v>
      </c>
      <c r="E3722" s="4" t="s">
        <v>375</v>
      </c>
      <c r="F3722" s="1">
        <v>46112</v>
      </c>
      <c r="G3722" t="str">
        <f t="shared" si="116"/>
        <v>Mar -2026</v>
      </c>
    </row>
    <row r="3723" spans="1:7" x14ac:dyDescent="0.3">
      <c r="A3723" s="4">
        <v>2384001</v>
      </c>
      <c r="B3723" t="s">
        <v>2764</v>
      </c>
      <c r="C3723" s="4" t="s">
        <v>1010</v>
      </c>
      <c r="D3723" s="4" t="s">
        <v>209</v>
      </c>
      <c r="E3723" s="4" t="s">
        <v>375</v>
      </c>
      <c r="F3723" s="1">
        <v>46112</v>
      </c>
      <c r="G3723" t="str">
        <f t="shared" si="116"/>
        <v>Mar -2026</v>
      </c>
    </row>
    <row r="3724" spans="1:7" x14ac:dyDescent="0.3">
      <c r="A3724" s="4">
        <v>2384472</v>
      </c>
      <c r="B3724" t="s">
        <v>2765</v>
      </c>
      <c r="C3724" s="4" t="s">
        <v>1010</v>
      </c>
      <c r="D3724" s="4" t="s">
        <v>209</v>
      </c>
      <c r="E3724" s="4" t="s">
        <v>375</v>
      </c>
      <c r="F3724" s="1">
        <v>46112</v>
      </c>
      <c r="G3724" t="str">
        <f t="shared" si="116"/>
        <v>Mar -2026</v>
      </c>
    </row>
    <row r="3725" spans="1:7" x14ac:dyDescent="0.3">
      <c r="A3725" s="4">
        <v>2384410</v>
      </c>
      <c r="B3725" t="s">
        <v>2766</v>
      </c>
      <c r="C3725" s="4" t="s">
        <v>1010</v>
      </c>
      <c r="D3725" s="4" t="s">
        <v>209</v>
      </c>
      <c r="E3725" s="4" t="s">
        <v>375</v>
      </c>
      <c r="F3725" s="1">
        <v>46112</v>
      </c>
      <c r="G3725" t="str">
        <f t="shared" si="116"/>
        <v>Mar -2026</v>
      </c>
    </row>
    <row r="3726" spans="1:7" x14ac:dyDescent="0.3">
      <c r="A3726" s="4">
        <v>2384894</v>
      </c>
      <c r="B3726" t="s">
        <v>2766</v>
      </c>
      <c r="C3726" s="4" t="s">
        <v>1010</v>
      </c>
      <c r="D3726" s="4" t="s">
        <v>209</v>
      </c>
      <c r="E3726" s="4" t="s">
        <v>375</v>
      </c>
      <c r="F3726" s="1">
        <v>46112</v>
      </c>
      <c r="G3726" t="str">
        <f t="shared" ref="G3726:G3789" si="117">TEXT(F3726,"mmm -YYYY")</f>
        <v>Mar -2026</v>
      </c>
    </row>
    <row r="3727" spans="1:7" x14ac:dyDescent="0.3">
      <c r="A3727" s="4">
        <v>2383781</v>
      </c>
      <c r="B3727" t="s">
        <v>2767</v>
      </c>
      <c r="C3727" s="4" t="s">
        <v>1010</v>
      </c>
      <c r="D3727" s="4" t="s">
        <v>209</v>
      </c>
      <c r="E3727" s="4" t="s">
        <v>375</v>
      </c>
      <c r="F3727" s="1">
        <v>46112</v>
      </c>
      <c r="G3727" t="str">
        <f t="shared" si="117"/>
        <v>Mar -2026</v>
      </c>
    </row>
    <row r="3728" spans="1:7" x14ac:dyDescent="0.3">
      <c r="A3728" s="4">
        <v>2384210</v>
      </c>
      <c r="B3728" t="s">
        <v>2767</v>
      </c>
      <c r="C3728" s="4" t="s">
        <v>1010</v>
      </c>
      <c r="D3728" s="4" t="s">
        <v>209</v>
      </c>
      <c r="E3728" s="4" t="s">
        <v>375</v>
      </c>
      <c r="F3728" s="1">
        <v>46112</v>
      </c>
      <c r="G3728" t="str">
        <f t="shared" si="117"/>
        <v>Mar -2026</v>
      </c>
    </row>
    <row r="3729" spans="1:7" x14ac:dyDescent="0.3">
      <c r="A3729" s="4">
        <v>2384234</v>
      </c>
      <c r="B3729" t="s">
        <v>2767</v>
      </c>
      <c r="C3729" s="4" t="s">
        <v>1010</v>
      </c>
      <c r="D3729" s="4" t="s">
        <v>209</v>
      </c>
      <c r="E3729" s="4" t="s">
        <v>375</v>
      </c>
      <c r="F3729" s="1">
        <v>46112</v>
      </c>
      <c r="G3729" t="str">
        <f t="shared" si="117"/>
        <v>Mar -2026</v>
      </c>
    </row>
    <row r="3730" spans="1:7" x14ac:dyDescent="0.3">
      <c r="A3730" s="4">
        <v>2384235</v>
      </c>
      <c r="B3730" t="s">
        <v>2767</v>
      </c>
      <c r="C3730" s="4" t="s">
        <v>1010</v>
      </c>
      <c r="D3730" s="4" t="s">
        <v>209</v>
      </c>
      <c r="E3730" s="4" t="s">
        <v>375</v>
      </c>
      <c r="F3730" s="1">
        <v>46112</v>
      </c>
      <c r="G3730" t="str">
        <f t="shared" si="117"/>
        <v>Mar -2026</v>
      </c>
    </row>
    <row r="3731" spans="1:7" x14ac:dyDescent="0.3">
      <c r="A3731" s="4">
        <v>2385096</v>
      </c>
      <c r="B3731" t="s">
        <v>501</v>
      </c>
      <c r="C3731" s="4" t="s">
        <v>1010</v>
      </c>
      <c r="D3731" s="4" t="s">
        <v>209</v>
      </c>
      <c r="E3731" s="4" t="s">
        <v>210</v>
      </c>
      <c r="F3731" s="1">
        <v>46112</v>
      </c>
      <c r="G3731" t="str">
        <f t="shared" si="117"/>
        <v>Mar -2026</v>
      </c>
    </row>
    <row r="3732" spans="1:7" x14ac:dyDescent="0.3">
      <c r="A3732" s="4">
        <v>2385188</v>
      </c>
      <c r="B3732" t="s">
        <v>2768</v>
      </c>
      <c r="C3732" s="4" t="s">
        <v>1010</v>
      </c>
      <c r="D3732" s="4" t="s">
        <v>209</v>
      </c>
      <c r="E3732" s="4" t="s">
        <v>210</v>
      </c>
      <c r="F3732" s="1">
        <v>46112</v>
      </c>
      <c r="G3732" t="str">
        <f t="shared" si="117"/>
        <v>Mar -2026</v>
      </c>
    </row>
    <row r="3733" spans="1:7" x14ac:dyDescent="0.3">
      <c r="A3733" s="4">
        <v>2386123</v>
      </c>
      <c r="B3733" t="s">
        <v>2767</v>
      </c>
      <c r="C3733" s="4" t="s">
        <v>1010</v>
      </c>
      <c r="D3733" s="4" t="s">
        <v>209</v>
      </c>
      <c r="E3733" s="4" t="s">
        <v>375</v>
      </c>
      <c r="F3733" s="1">
        <v>46112</v>
      </c>
      <c r="G3733" t="str">
        <f t="shared" si="117"/>
        <v>Mar -2026</v>
      </c>
    </row>
    <row r="3734" spans="1:7" x14ac:dyDescent="0.3">
      <c r="A3734" s="4">
        <v>2386247</v>
      </c>
      <c r="B3734" t="s">
        <v>2767</v>
      </c>
      <c r="C3734" s="4" t="s">
        <v>1010</v>
      </c>
      <c r="D3734" s="4" t="s">
        <v>209</v>
      </c>
      <c r="E3734" s="4" t="s">
        <v>375</v>
      </c>
      <c r="F3734" s="1">
        <v>46112</v>
      </c>
      <c r="G3734" t="str">
        <f t="shared" si="117"/>
        <v>Mar -2026</v>
      </c>
    </row>
    <row r="3735" spans="1:7" x14ac:dyDescent="0.3">
      <c r="A3735" s="4">
        <v>100005857</v>
      </c>
      <c r="B3735" t="s">
        <v>2769</v>
      </c>
      <c r="C3735" s="3" t="s">
        <v>1011</v>
      </c>
      <c r="D3735" s="4" t="s">
        <v>2015</v>
      </c>
      <c r="E3735" s="4" t="s">
        <v>982</v>
      </c>
      <c r="F3735" s="1">
        <v>46112</v>
      </c>
      <c r="G3735" t="str">
        <f t="shared" si="117"/>
        <v>Mar -2026</v>
      </c>
    </row>
    <row r="3736" spans="1:7" x14ac:dyDescent="0.3">
      <c r="A3736" s="4">
        <v>100005911</v>
      </c>
      <c r="B3736" t="s">
        <v>2770</v>
      </c>
      <c r="C3736" s="3" t="s">
        <v>1011</v>
      </c>
      <c r="D3736" s="4" t="s">
        <v>2015</v>
      </c>
      <c r="E3736" s="4" t="s">
        <v>1569</v>
      </c>
      <c r="F3736" s="1">
        <v>46112</v>
      </c>
      <c r="G3736" t="str">
        <f t="shared" si="117"/>
        <v>Mar -2026</v>
      </c>
    </row>
    <row r="3737" spans="1:7" x14ac:dyDescent="0.3">
      <c r="A3737" s="4">
        <v>100005818</v>
      </c>
      <c r="B3737" t="s">
        <v>2771</v>
      </c>
      <c r="C3737" s="3" t="s">
        <v>1011</v>
      </c>
      <c r="D3737" s="4" t="s">
        <v>2015</v>
      </c>
      <c r="E3737" s="4" t="s">
        <v>1569</v>
      </c>
      <c r="F3737" s="1">
        <v>46112</v>
      </c>
      <c r="G3737" t="str">
        <f t="shared" si="117"/>
        <v>Mar -2026</v>
      </c>
    </row>
    <row r="3738" spans="1:7" x14ac:dyDescent="0.3">
      <c r="A3738" s="4">
        <v>100005884</v>
      </c>
      <c r="B3738" t="s">
        <v>2772</v>
      </c>
      <c r="C3738" s="3" t="s">
        <v>1011</v>
      </c>
      <c r="D3738" s="4" t="s">
        <v>2015</v>
      </c>
      <c r="E3738" s="4" t="s">
        <v>978</v>
      </c>
      <c r="F3738" s="1">
        <v>46112</v>
      </c>
      <c r="G3738" t="str">
        <f t="shared" si="117"/>
        <v>Mar -2026</v>
      </c>
    </row>
    <row r="3739" spans="1:7" x14ac:dyDescent="0.3">
      <c r="A3739" s="4">
        <v>100004528</v>
      </c>
      <c r="B3739" t="s">
        <v>2773</v>
      </c>
      <c r="C3739" s="3" t="s">
        <v>1011</v>
      </c>
      <c r="D3739" s="4" t="s">
        <v>2015</v>
      </c>
      <c r="E3739" s="4" t="s">
        <v>986</v>
      </c>
      <c r="F3739" s="1">
        <v>46112</v>
      </c>
      <c r="G3739" t="str">
        <f t="shared" si="117"/>
        <v>Mar -2026</v>
      </c>
    </row>
    <row r="3740" spans="1:7" x14ac:dyDescent="0.3">
      <c r="A3740" s="4">
        <v>900006988</v>
      </c>
      <c r="B3740" t="s">
        <v>2774</v>
      </c>
      <c r="C3740" s="3" t="s">
        <v>1011</v>
      </c>
      <c r="D3740" s="4" t="s">
        <v>973</v>
      </c>
      <c r="E3740" s="4" t="s">
        <v>1877</v>
      </c>
      <c r="F3740" s="1">
        <v>46112</v>
      </c>
      <c r="G3740" t="str">
        <f t="shared" si="117"/>
        <v>Mar -2026</v>
      </c>
    </row>
    <row r="3741" spans="1:7" x14ac:dyDescent="0.3">
      <c r="A3741" s="4">
        <v>100005905</v>
      </c>
      <c r="B3741" t="s">
        <v>2746</v>
      </c>
      <c r="C3741" s="3" t="s">
        <v>1011</v>
      </c>
      <c r="D3741" s="4" t="s">
        <v>975</v>
      </c>
      <c r="E3741" s="4" t="s">
        <v>967</v>
      </c>
      <c r="F3741" s="1">
        <v>46112</v>
      </c>
      <c r="G3741" t="str">
        <f t="shared" si="117"/>
        <v>Mar -2026</v>
      </c>
    </row>
    <row r="3742" spans="1:7" x14ac:dyDescent="0.3">
      <c r="A3742" s="4">
        <v>900007084</v>
      </c>
      <c r="B3742" t="s">
        <v>2775</v>
      </c>
      <c r="C3742" s="3" t="s">
        <v>1604</v>
      </c>
      <c r="D3742" s="4" t="s">
        <v>2031</v>
      </c>
      <c r="E3742" s="4" t="s">
        <v>1877</v>
      </c>
      <c r="F3742" s="1">
        <v>46112</v>
      </c>
      <c r="G3742" t="str">
        <f t="shared" si="117"/>
        <v>Mar -2026</v>
      </c>
    </row>
    <row r="3743" spans="1:7" x14ac:dyDescent="0.3">
      <c r="A3743" s="4">
        <v>900006901</v>
      </c>
      <c r="B3743" t="s">
        <v>2776</v>
      </c>
      <c r="C3743" s="3" t="s">
        <v>1604</v>
      </c>
      <c r="D3743" s="4" t="s">
        <v>2018</v>
      </c>
      <c r="E3743" s="4" t="s">
        <v>1877</v>
      </c>
      <c r="F3743" s="1">
        <v>46112</v>
      </c>
      <c r="G3743" t="str">
        <f t="shared" si="117"/>
        <v>Mar -2026</v>
      </c>
    </row>
    <row r="3744" spans="1:7" x14ac:dyDescent="0.3">
      <c r="A3744" s="4">
        <v>900006792</v>
      </c>
      <c r="B3744" t="s">
        <v>2777</v>
      </c>
      <c r="C3744" s="3" t="s">
        <v>1011</v>
      </c>
      <c r="D3744" s="4" t="s">
        <v>2015</v>
      </c>
      <c r="E3744" s="4" t="s">
        <v>1877</v>
      </c>
      <c r="F3744" s="1">
        <v>46112</v>
      </c>
      <c r="G3744" t="str">
        <f t="shared" si="117"/>
        <v>Mar -2026</v>
      </c>
    </row>
    <row r="3745" spans="1:7" x14ac:dyDescent="0.3">
      <c r="A3745" s="4">
        <v>100004612</v>
      </c>
      <c r="B3745" t="s">
        <v>2778</v>
      </c>
      <c r="C3745" s="3" t="s">
        <v>1011</v>
      </c>
      <c r="D3745" s="4" t="s">
        <v>2015</v>
      </c>
      <c r="E3745" s="4" t="s">
        <v>986</v>
      </c>
      <c r="F3745" s="1">
        <v>46112</v>
      </c>
      <c r="G3745" t="str">
        <f t="shared" si="117"/>
        <v>Mar -2026</v>
      </c>
    </row>
    <row r="3746" spans="1:7" x14ac:dyDescent="0.3">
      <c r="A3746" s="4">
        <v>900007103</v>
      </c>
      <c r="B3746" t="s">
        <v>2779</v>
      </c>
      <c r="C3746" s="4" t="s">
        <v>1010</v>
      </c>
      <c r="D3746" s="4" t="s">
        <v>209</v>
      </c>
      <c r="E3746" s="4" t="s">
        <v>1877</v>
      </c>
      <c r="F3746" s="1">
        <v>46113</v>
      </c>
      <c r="G3746" t="str">
        <f t="shared" si="117"/>
        <v>Apr -2026</v>
      </c>
    </row>
    <row r="3747" spans="1:7" x14ac:dyDescent="0.3">
      <c r="A3747" s="4">
        <v>2389687</v>
      </c>
      <c r="B3747" t="s">
        <v>2780</v>
      </c>
      <c r="C3747" s="4" t="s">
        <v>1010</v>
      </c>
      <c r="D3747" s="4" t="s">
        <v>209</v>
      </c>
      <c r="E3747" s="4" t="s">
        <v>375</v>
      </c>
      <c r="F3747" s="1">
        <v>46113</v>
      </c>
      <c r="G3747" t="str">
        <f t="shared" si="117"/>
        <v>Apr -2026</v>
      </c>
    </row>
    <row r="3748" spans="1:7" x14ac:dyDescent="0.3">
      <c r="A3748" s="4">
        <v>2390109</v>
      </c>
      <c r="B3748" t="s">
        <v>2781</v>
      </c>
      <c r="C3748" s="4" t="s">
        <v>1010</v>
      </c>
      <c r="D3748" s="4" t="s">
        <v>209</v>
      </c>
      <c r="E3748" s="4" t="s">
        <v>375</v>
      </c>
      <c r="F3748" s="1">
        <v>46113</v>
      </c>
      <c r="G3748" t="str">
        <f t="shared" si="117"/>
        <v>Apr -2026</v>
      </c>
    </row>
    <row r="3749" spans="1:7" x14ac:dyDescent="0.3">
      <c r="A3749" s="4">
        <v>2389499</v>
      </c>
      <c r="B3749" t="s">
        <v>2782</v>
      </c>
      <c r="C3749" s="4" t="s">
        <v>1010</v>
      </c>
      <c r="D3749" s="4" t="s">
        <v>209</v>
      </c>
      <c r="E3749" s="4" t="s">
        <v>375</v>
      </c>
      <c r="F3749" s="1">
        <v>46113</v>
      </c>
      <c r="G3749" t="str">
        <f t="shared" si="117"/>
        <v>Apr -2026</v>
      </c>
    </row>
    <row r="3750" spans="1:7" x14ac:dyDescent="0.3">
      <c r="A3750" s="4">
        <v>2390352</v>
      </c>
      <c r="B3750" t="s">
        <v>2783</v>
      </c>
      <c r="C3750" s="4" t="s">
        <v>1010</v>
      </c>
      <c r="D3750" s="4" t="s">
        <v>209</v>
      </c>
      <c r="E3750" s="4" t="s">
        <v>375</v>
      </c>
      <c r="F3750" s="1">
        <v>46113</v>
      </c>
      <c r="G3750" t="str">
        <f t="shared" si="117"/>
        <v>Apr -2026</v>
      </c>
    </row>
    <row r="3751" spans="1:7" x14ac:dyDescent="0.3">
      <c r="A3751" s="4">
        <v>2361028</v>
      </c>
      <c r="B3751" t="s">
        <v>2784</v>
      </c>
      <c r="C3751" s="4" t="s">
        <v>1010</v>
      </c>
      <c r="D3751" s="4" t="s">
        <v>209</v>
      </c>
      <c r="E3751" s="4" t="s">
        <v>375</v>
      </c>
      <c r="F3751" s="1">
        <v>46113</v>
      </c>
      <c r="G3751" t="str">
        <f t="shared" si="117"/>
        <v>Apr -2026</v>
      </c>
    </row>
    <row r="3752" spans="1:7" x14ac:dyDescent="0.3">
      <c r="A3752" s="4">
        <v>2388624</v>
      </c>
      <c r="B3752" t="s">
        <v>2766</v>
      </c>
      <c r="C3752" s="4" t="s">
        <v>1010</v>
      </c>
      <c r="D3752" s="4" t="s">
        <v>209</v>
      </c>
      <c r="E3752" s="4" t="s">
        <v>2305</v>
      </c>
      <c r="F3752" s="1">
        <v>46113</v>
      </c>
      <c r="G3752" t="str">
        <f t="shared" si="117"/>
        <v>Apr -2026</v>
      </c>
    </row>
    <row r="3753" spans="1:7" x14ac:dyDescent="0.3">
      <c r="A3753" s="4">
        <v>2388181</v>
      </c>
      <c r="B3753" t="s">
        <v>2785</v>
      </c>
      <c r="C3753" s="4" t="s">
        <v>1010</v>
      </c>
      <c r="D3753" s="4" t="s">
        <v>1020</v>
      </c>
      <c r="E3753" s="4" t="s">
        <v>228</v>
      </c>
      <c r="F3753" s="1">
        <v>46113</v>
      </c>
      <c r="G3753" t="str">
        <f t="shared" si="117"/>
        <v>Apr -2026</v>
      </c>
    </row>
    <row r="3754" spans="1:7" x14ac:dyDescent="0.3">
      <c r="A3754" s="4">
        <v>2388171</v>
      </c>
      <c r="B3754" t="s">
        <v>2785</v>
      </c>
      <c r="C3754" s="4" t="s">
        <v>1010</v>
      </c>
      <c r="D3754" s="4" t="s">
        <v>1020</v>
      </c>
      <c r="E3754" s="4" t="s">
        <v>228</v>
      </c>
      <c r="F3754" s="1">
        <v>46113</v>
      </c>
      <c r="G3754" t="str">
        <f t="shared" si="117"/>
        <v>Apr -2026</v>
      </c>
    </row>
    <row r="3755" spans="1:7" x14ac:dyDescent="0.3">
      <c r="A3755" s="4">
        <v>2383781</v>
      </c>
      <c r="B3755" t="s">
        <v>2767</v>
      </c>
      <c r="C3755" s="4" t="s">
        <v>1010</v>
      </c>
      <c r="D3755" s="4" t="s">
        <v>209</v>
      </c>
      <c r="E3755" s="4" t="s">
        <v>375</v>
      </c>
      <c r="F3755" s="1">
        <v>46113</v>
      </c>
      <c r="G3755" t="str">
        <f t="shared" si="117"/>
        <v>Apr -2026</v>
      </c>
    </row>
    <row r="3756" spans="1:7" x14ac:dyDescent="0.3">
      <c r="A3756" s="4">
        <v>2384210</v>
      </c>
      <c r="B3756" t="s">
        <v>2767</v>
      </c>
      <c r="C3756" s="4" t="s">
        <v>1010</v>
      </c>
      <c r="D3756" s="4" t="s">
        <v>209</v>
      </c>
      <c r="E3756" s="4" t="s">
        <v>375</v>
      </c>
      <c r="F3756" s="1">
        <v>46113</v>
      </c>
      <c r="G3756" t="str">
        <f t="shared" si="117"/>
        <v>Apr -2026</v>
      </c>
    </row>
    <row r="3757" spans="1:7" x14ac:dyDescent="0.3">
      <c r="A3757" s="4">
        <v>2384234</v>
      </c>
      <c r="B3757" t="s">
        <v>2767</v>
      </c>
      <c r="C3757" s="4" t="s">
        <v>1010</v>
      </c>
      <c r="D3757" s="4" t="s">
        <v>209</v>
      </c>
      <c r="E3757" s="4" t="s">
        <v>375</v>
      </c>
      <c r="F3757" s="1">
        <v>46113</v>
      </c>
      <c r="G3757" t="str">
        <f t="shared" si="117"/>
        <v>Apr -2026</v>
      </c>
    </row>
    <row r="3758" spans="1:7" x14ac:dyDescent="0.3">
      <c r="A3758" s="4">
        <v>2384235</v>
      </c>
      <c r="B3758" t="s">
        <v>2767</v>
      </c>
      <c r="C3758" s="4" t="s">
        <v>1010</v>
      </c>
      <c r="D3758" s="4" t="s">
        <v>209</v>
      </c>
      <c r="E3758" s="4" t="s">
        <v>375</v>
      </c>
      <c r="F3758" s="1">
        <v>46113</v>
      </c>
      <c r="G3758" t="str">
        <f t="shared" si="117"/>
        <v>Apr -2026</v>
      </c>
    </row>
    <row r="3759" spans="1:7" x14ac:dyDescent="0.3">
      <c r="A3759" s="4">
        <v>2386123</v>
      </c>
      <c r="B3759" t="s">
        <v>2767</v>
      </c>
      <c r="C3759" s="4" t="s">
        <v>1010</v>
      </c>
      <c r="D3759" s="4" t="s">
        <v>209</v>
      </c>
      <c r="E3759" s="4" t="s">
        <v>375</v>
      </c>
      <c r="F3759" s="1">
        <v>46113</v>
      </c>
      <c r="G3759" t="str">
        <f t="shared" si="117"/>
        <v>Apr -2026</v>
      </c>
    </row>
    <row r="3760" spans="1:7" x14ac:dyDescent="0.3">
      <c r="A3760" s="4">
        <v>2386247</v>
      </c>
      <c r="B3760" t="s">
        <v>2767</v>
      </c>
      <c r="C3760" s="4" t="s">
        <v>1010</v>
      </c>
      <c r="D3760" s="4" t="s">
        <v>209</v>
      </c>
      <c r="E3760" s="4" t="s">
        <v>375</v>
      </c>
      <c r="F3760" s="1">
        <v>46113</v>
      </c>
      <c r="G3760" t="str">
        <f t="shared" si="117"/>
        <v>Apr -2026</v>
      </c>
    </row>
    <row r="3761" spans="1:7" x14ac:dyDescent="0.3">
      <c r="A3761" s="4">
        <v>100005924</v>
      </c>
      <c r="B3761" t="s">
        <v>2786</v>
      </c>
      <c r="C3761" s="3" t="s">
        <v>1011</v>
      </c>
      <c r="D3761" s="4" t="s">
        <v>2015</v>
      </c>
      <c r="E3761" s="4" t="s">
        <v>981</v>
      </c>
      <c r="F3761" s="1">
        <v>46113</v>
      </c>
      <c r="G3761" t="str">
        <f t="shared" si="117"/>
        <v>Apr -2026</v>
      </c>
    </row>
    <row r="3762" spans="1:7" x14ac:dyDescent="0.3">
      <c r="A3762" s="4">
        <v>900006766</v>
      </c>
      <c r="B3762" t="s">
        <v>2787</v>
      </c>
      <c r="C3762" s="3" t="s">
        <v>1011</v>
      </c>
      <c r="D3762" s="4" t="s">
        <v>2015</v>
      </c>
      <c r="E3762" s="4" t="s">
        <v>1877</v>
      </c>
      <c r="F3762" s="1">
        <v>46113</v>
      </c>
      <c r="G3762" t="str">
        <f t="shared" si="117"/>
        <v>Apr -2026</v>
      </c>
    </row>
    <row r="3763" spans="1:7" x14ac:dyDescent="0.3">
      <c r="A3763" s="4">
        <v>100005933</v>
      </c>
      <c r="B3763" t="s">
        <v>2788</v>
      </c>
      <c r="C3763" s="3" t="s">
        <v>1011</v>
      </c>
      <c r="D3763" s="4" t="s">
        <v>2015</v>
      </c>
      <c r="E3763" s="4" t="s">
        <v>1569</v>
      </c>
      <c r="F3763" s="1">
        <v>46113</v>
      </c>
      <c r="G3763" t="str">
        <f t="shared" si="117"/>
        <v>Apr -2026</v>
      </c>
    </row>
    <row r="3764" spans="1:7" x14ac:dyDescent="0.3">
      <c r="A3764" s="4">
        <v>100005932</v>
      </c>
      <c r="B3764" t="s">
        <v>2789</v>
      </c>
      <c r="C3764" s="3" t="s">
        <v>1011</v>
      </c>
      <c r="D3764" s="4" t="s">
        <v>2015</v>
      </c>
      <c r="E3764" s="4" t="s">
        <v>1569</v>
      </c>
      <c r="F3764" s="1">
        <v>46113</v>
      </c>
      <c r="G3764" t="str">
        <f t="shared" si="117"/>
        <v>Apr -2026</v>
      </c>
    </row>
    <row r="3765" spans="1:7" x14ac:dyDescent="0.3">
      <c r="A3765" s="4">
        <v>900007074</v>
      </c>
      <c r="B3765" t="s">
        <v>2790</v>
      </c>
      <c r="C3765" s="3" t="s">
        <v>1604</v>
      </c>
      <c r="D3765" s="4" t="s">
        <v>2031</v>
      </c>
      <c r="E3765" s="4" t="s">
        <v>1877</v>
      </c>
      <c r="F3765" s="1">
        <v>46113</v>
      </c>
      <c r="G3765" t="str">
        <f t="shared" si="117"/>
        <v>Apr -2026</v>
      </c>
    </row>
    <row r="3766" spans="1:7" x14ac:dyDescent="0.3">
      <c r="A3766" s="4">
        <v>900007091</v>
      </c>
      <c r="B3766" t="s">
        <v>2791</v>
      </c>
      <c r="C3766" s="3" t="s">
        <v>1604</v>
      </c>
      <c r="D3766" s="4" t="s">
        <v>2018</v>
      </c>
      <c r="E3766" s="4" t="s">
        <v>1877</v>
      </c>
      <c r="F3766" s="1">
        <v>46113</v>
      </c>
      <c r="G3766" t="str">
        <f t="shared" si="117"/>
        <v>Apr -2026</v>
      </c>
    </row>
    <row r="3767" spans="1:7" x14ac:dyDescent="0.3">
      <c r="A3767" s="4">
        <v>900007054</v>
      </c>
      <c r="B3767" t="s">
        <v>2754</v>
      </c>
      <c r="C3767" s="3" t="s">
        <v>1604</v>
      </c>
      <c r="D3767" s="4" t="s">
        <v>2018</v>
      </c>
      <c r="E3767" s="4" t="s">
        <v>1877</v>
      </c>
      <c r="F3767" s="1">
        <v>46113</v>
      </c>
      <c r="G3767" t="str">
        <f t="shared" si="117"/>
        <v>Apr -2026</v>
      </c>
    </row>
    <row r="3768" spans="1:7" x14ac:dyDescent="0.3">
      <c r="A3768" s="4">
        <v>900007083</v>
      </c>
      <c r="B3768" t="s">
        <v>2754</v>
      </c>
      <c r="C3768" s="3" t="s">
        <v>1604</v>
      </c>
      <c r="D3768" s="4" t="s">
        <v>2018</v>
      </c>
      <c r="E3768" s="4" t="s">
        <v>1877</v>
      </c>
      <c r="F3768" s="1">
        <v>46113</v>
      </c>
      <c r="G3768" t="str">
        <f t="shared" si="117"/>
        <v>Apr -2026</v>
      </c>
    </row>
    <row r="3769" spans="1:7" x14ac:dyDescent="0.3">
      <c r="A3769" s="4">
        <v>100005898</v>
      </c>
      <c r="B3769" t="s">
        <v>2792</v>
      </c>
      <c r="C3769" s="3" t="s">
        <v>1011</v>
      </c>
      <c r="D3769" s="4" t="s">
        <v>2015</v>
      </c>
      <c r="E3769" s="4" t="s">
        <v>981</v>
      </c>
      <c r="F3769" s="1">
        <v>46113</v>
      </c>
      <c r="G3769" t="str">
        <f t="shared" si="117"/>
        <v>Apr -2026</v>
      </c>
    </row>
    <row r="3770" spans="1:7" x14ac:dyDescent="0.3">
      <c r="A3770" s="4">
        <v>100005907</v>
      </c>
      <c r="B3770" t="s">
        <v>2793</v>
      </c>
      <c r="C3770" s="3" t="s">
        <v>1011</v>
      </c>
      <c r="D3770" s="4" t="s">
        <v>2015</v>
      </c>
      <c r="E3770" s="4" t="s">
        <v>1369</v>
      </c>
      <c r="F3770" s="1">
        <v>46113</v>
      </c>
      <c r="G3770" t="str">
        <f t="shared" si="117"/>
        <v>Apr -2026</v>
      </c>
    </row>
    <row r="3771" spans="1:7" x14ac:dyDescent="0.3">
      <c r="A3771" s="4">
        <v>100005935</v>
      </c>
      <c r="B3771" t="s">
        <v>2794</v>
      </c>
      <c r="C3771" s="3" t="s">
        <v>1011</v>
      </c>
      <c r="D3771" s="4" t="s">
        <v>2015</v>
      </c>
      <c r="E3771" s="4" t="s">
        <v>967</v>
      </c>
      <c r="F3771" s="1">
        <v>46113</v>
      </c>
      <c r="G3771" t="str">
        <f t="shared" si="117"/>
        <v>Apr -2026</v>
      </c>
    </row>
    <row r="3772" spans="1:7" x14ac:dyDescent="0.3">
      <c r="A3772" s="4">
        <v>2384001</v>
      </c>
      <c r="B3772" t="s">
        <v>2795</v>
      </c>
      <c r="C3772" s="4" t="s">
        <v>1010</v>
      </c>
      <c r="D3772" s="4" t="s">
        <v>209</v>
      </c>
      <c r="E3772" s="4" t="s">
        <v>375</v>
      </c>
      <c r="F3772" s="1">
        <v>46114</v>
      </c>
      <c r="G3772" t="str">
        <f t="shared" si="117"/>
        <v>Apr -2026</v>
      </c>
    </row>
    <row r="3773" spans="1:7" x14ac:dyDescent="0.3">
      <c r="A3773" s="4">
        <v>2384061</v>
      </c>
      <c r="B3773" t="s">
        <v>2795</v>
      </c>
      <c r="C3773" s="4" t="s">
        <v>1010</v>
      </c>
      <c r="D3773" s="4" t="s">
        <v>209</v>
      </c>
      <c r="E3773" s="4" t="s">
        <v>375</v>
      </c>
      <c r="F3773" s="1">
        <v>46114</v>
      </c>
      <c r="G3773" t="str">
        <f t="shared" si="117"/>
        <v>Apr -2026</v>
      </c>
    </row>
    <row r="3774" spans="1:7" x14ac:dyDescent="0.3">
      <c r="A3774" s="4">
        <v>2392083</v>
      </c>
      <c r="B3774" t="s">
        <v>2314</v>
      </c>
      <c r="C3774" s="4" t="s">
        <v>1010</v>
      </c>
      <c r="D3774" s="4" t="s">
        <v>209</v>
      </c>
      <c r="E3774" s="4" t="s">
        <v>375</v>
      </c>
      <c r="F3774" s="1">
        <v>46114</v>
      </c>
      <c r="G3774" t="str">
        <f t="shared" si="117"/>
        <v>Apr -2026</v>
      </c>
    </row>
    <row r="3775" spans="1:7" x14ac:dyDescent="0.3">
      <c r="A3775" s="4">
        <v>2392055</v>
      </c>
      <c r="B3775" t="s">
        <v>2796</v>
      </c>
      <c r="C3775" s="4" t="s">
        <v>1010</v>
      </c>
      <c r="D3775" s="4" t="s">
        <v>209</v>
      </c>
      <c r="E3775" s="4" t="s">
        <v>375</v>
      </c>
      <c r="F3775" s="1">
        <v>46114</v>
      </c>
      <c r="G3775" t="str">
        <f t="shared" si="117"/>
        <v>Apr -2026</v>
      </c>
    </row>
    <row r="3776" spans="1:7" x14ac:dyDescent="0.3">
      <c r="A3776" s="4">
        <v>2392059</v>
      </c>
      <c r="B3776" t="s">
        <v>2796</v>
      </c>
      <c r="C3776" s="4" t="s">
        <v>1010</v>
      </c>
      <c r="D3776" s="4" t="s">
        <v>209</v>
      </c>
      <c r="E3776" s="4" t="s">
        <v>375</v>
      </c>
      <c r="F3776" s="1">
        <v>46114</v>
      </c>
      <c r="G3776" t="str">
        <f t="shared" si="117"/>
        <v>Apr -2026</v>
      </c>
    </row>
    <row r="3777" spans="1:7" x14ac:dyDescent="0.3">
      <c r="A3777" s="4">
        <v>2392060</v>
      </c>
      <c r="B3777" t="s">
        <v>2314</v>
      </c>
      <c r="C3777" s="4" t="s">
        <v>1010</v>
      </c>
      <c r="D3777" s="4" t="s">
        <v>209</v>
      </c>
      <c r="E3777" s="4" t="s">
        <v>375</v>
      </c>
      <c r="F3777" s="1">
        <v>46114</v>
      </c>
      <c r="G3777" t="str">
        <f t="shared" si="117"/>
        <v>Apr -2026</v>
      </c>
    </row>
    <row r="3778" spans="1:7" x14ac:dyDescent="0.3">
      <c r="A3778" s="4">
        <v>2391978</v>
      </c>
      <c r="B3778" t="s">
        <v>2796</v>
      </c>
      <c r="C3778" s="4" t="s">
        <v>1010</v>
      </c>
      <c r="D3778" s="4" t="s">
        <v>209</v>
      </c>
      <c r="E3778" s="4" t="s">
        <v>375</v>
      </c>
      <c r="F3778" s="1">
        <v>46114</v>
      </c>
      <c r="G3778" t="str">
        <f t="shared" si="117"/>
        <v>Apr -2026</v>
      </c>
    </row>
    <row r="3779" spans="1:7" x14ac:dyDescent="0.3">
      <c r="A3779" s="4">
        <v>2391873</v>
      </c>
      <c r="B3779" t="s">
        <v>2796</v>
      </c>
      <c r="C3779" s="4" t="s">
        <v>1010</v>
      </c>
      <c r="D3779" s="4" t="s">
        <v>209</v>
      </c>
      <c r="E3779" s="4" t="s">
        <v>375</v>
      </c>
      <c r="F3779" s="1">
        <v>46114</v>
      </c>
      <c r="G3779" t="str">
        <f t="shared" si="117"/>
        <v>Apr -2026</v>
      </c>
    </row>
    <row r="3780" spans="1:7" x14ac:dyDescent="0.3">
      <c r="A3780" s="4">
        <v>2392223</v>
      </c>
      <c r="B3780" t="s">
        <v>501</v>
      </c>
      <c r="C3780" s="4" t="s">
        <v>1010</v>
      </c>
      <c r="D3780" s="4" t="s">
        <v>209</v>
      </c>
      <c r="E3780" s="4" t="s">
        <v>375</v>
      </c>
      <c r="F3780" s="1">
        <v>46114</v>
      </c>
      <c r="G3780" t="str">
        <f t="shared" si="117"/>
        <v>Apr -2026</v>
      </c>
    </row>
    <row r="3781" spans="1:7" x14ac:dyDescent="0.3">
      <c r="A3781" s="4">
        <v>2392227</v>
      </c>
      <c r="B3781" t="s">
        <v>501</v>
      </c>
      <c r="C3781" s="4" t="s">
        <v>1010</v>
      </c>
      <c r="D3781" s="4" t="s">
        <v>209</v>
      </c>
      <c r="E3781" s="4" t="s">
        <v>375</v>
      </c>
      <c r="F3781" s="1">
        <v>46114</v>
      </c>
      <c r="G3781" t="str">
        <f t="shared" si="117"/>
        <v>Apr -2026</v>
      </c>
    </row>
    <row r="3782" spans="1:7" x14ac:dyDescent="0.3">
      <c r="A3782" s="4">
        <v>2394355</v>
      </c>
      <c r="B3782" t="s">
        <v>2797</v>
      </c>
      <c r="C3782" s="4" t="s">
        <v>1010</v>
      </c>
      <c r="D3782" s="4" t="s">
        <v>209</v>
      </c>
      <c r="E3782" s="4" t="s">
        <v>291</v>
      </c>
      <c r="F3782" s="1">
        <v>46114</v>
      </c>
      <c r="G3782" t="str">
        <f t="shared" si="117"/>
        <v>Apr -2026</v>
      </c>
    </row>
    <row r="3783" spans="1:7" x14ac:dyDescent="0.3">
      <c r="A3783" s="4">
        <v>2383676</v>
      </c>
      <c r="B3783" t="s">
        <v>47</v>
      </c>
      <c r="C3783" s="4" t="s">
        <v>1010</v>
      </c>
      <c r="D3783" s="4" t="s">
        <v>1020</v>
      </c>
      <c r="E3783" s="4" t="s">
        <v>211</v>
      </c>
      <c r="F3783" s="1">
        <v>46114</v>
      </c>
      <c r="G3783" t="str">
        <f t="shared" si="117"/>
        <v>Apr -2026</v>
      </c>
    </row>
    <row r="3784" spans="1:7" x14ac:dyDescent="0.3">
      <c r="A3784" s="4">
        <v>2383721</v>
      </c>
      <c r="B3784" t="s">
        <v>47</v>
      </c>
      <c r="C3784" s="4" t="s">
        <v>1010</v>
      </c>
      <c r="D3784" s="4" t="s">
        <v>1020</v>
      </c>
      <c r="E3784" s="4" t="s">
        <v>211</v>
      </c>
      <c r="F3784" s="1">
        <v>46114</v>
      </c>
      <c r="G3784" t="str">
        <f t="shared" si="117"/>
        <v>Apr -2026</v>
      </c>
    </row>
    <row r="3785" spans="1:7" x14ac:dyDescent="0.3">
      <c r="A3785" s="4">
        <v>2394104</v>
      </c>
      <c r="B3785" t="s">
        <v>41</v>
      </c>
      <c r="C3785" s="4" t="s">
        <v>1010</v>
      </c>
      <c r="D3785" s="4" t="s">
        <v>1020</v>
      </c>
      <c r="E3785" s="4" t="s">
        <v>211</v>
      </c>
      <c r="F3785" s="1">
        <v>46114</v>
      </c>
      <c r="G3785" t="str">
        <f t="shared" si="117"/>
        <v>Apr -2026</v>
      </c>
    </row>
    <row r="3786" spans="1:7" x14ac:dyDescent="0.3">
      <c r="A3786" s="4">
        <v>2374838</v>
      </c>
      <c r="B3786" t="s">
        <v>301</v>
      </c>
      <c r="C3786" s="4" t="s">
        <v>1010</v>
      </c>
      <c r="D3786" s="4" t="s">
        <v>1020</v>
      </c>
      <c r="E3786" s="4" t="s">
        <v>268</v>
      </c>
      <c r="F3786" s="1">
        <v>46114</v>
      </c>
      <c r="G3786" t="str">
        <f t="shared" si="117"/>
        <v>Apr -2026</v>
      </c>
    </row>
    <row r="3787" spans="1:7" x14ac:dyDescent="0.3">
      <c r="A3787" s="4">
        <v>2393925</v>
      </c>
      <c r="B3787" t="s">
        <v>2798</v>
      </c>
      <c r="C3787" s="4" t="s">
        <v>1010</v>
      </c>
      <c r="D3787" s="4" t="s">
        <v>209</v>
      </c>
      <c r="E3787" s="4" t="s">
        <v>228</v>
      </c>
      <c r="F3787" s="1">
        <v>46114</v>
      </c>
      <c r="G3787" t="str">
        <f t="shared" si="117"/>
        <v>Apr -2026</v>
      </c>
    </row>
    <row r="3788" spans="1:7" x14ac:dyDescent="0.3">
      <c r="A3788" s="4">
        <v>2394229</v>
      </c>
      <c r="B3788" t="s">
        <v>547</v>
      </c>
      <c r="C3788" s="4" t="s">
        <v>1010</v>
      </c>
      <c r="D3788" s="4" t="s">
        <v>209</v>
      </c>
      <c r="E3788" s="4" t="s">
        <v>225</v>
      </c>
      <c r="F3788" s="1">
        <v>46114</v>
      </c>
      <c r="G3788" t="str">
        <f t="shared" si="117"/>
        <v>Apr -2026</v>
      </c>
    </row>
    <row r="3789" spans="1:7" x14ac:dyDescent="0.3">
      <c r="A3789" s="4">
        <v>900007096</v>
      </c>
      <c r="B3789" t="s">
        <v>2799</v>
      </c>
      <c r="C3789" s="4" t="s">
        <v>1010</v>
      </c>
      <c r="D3789" s="4" t="s">
        <v>209</v>
      </c>
      <c r="E3789" s="4" t="s">
        <v>2648</v>
      </c>
      <c r="F3789" s="1">
        <v>46114</v>
      </c>
      <c r="G3789" t="str">
        <f t="shared" si="117"/>
        <v>Apr -2026</v>
      </c>
    </row>
    <row r="3790" spans="1:7" x14ac:dyDescent="0.3">
      <c r="A3790" s="4">
        <v>2391202</v>
      </c>
      <c r="B3790" t="s">
        <v>2800</v>
      </c>
      <c r="C3790" s="4" t="s">
        <v>1010</v>
      </c>
      <c r="D3790" s="4" t="s">
        <v>1259</v>
      </c>
      <c r="E3790" s="4" t="s">
        <v>228</v>
      </c>
      <c r="F3790" s="1">
        <v>46114</v>
      </c>
      <c r="G3790" t="str">
        <f t="shared" ref="G3790:G3853" si="118">TEXT(F3790,"mmm -YYYY")</f>
        <v>Apr -2026</v>
      </c>
    </row>
    <row r="3791" spans="1:7" x14ac:dyDescent="0.3">
      <c r="A3791" s="4">
        <v>2391989</v>
      </c>
      <c r="B3791" t="s">
        <v>2801</v>
      </c>
      <c r="C3791" s="4" t="s">
        <v>1010</v>
      </c>
      <c r="D3791" s="4" t="s">
        <v>1020</v>
      </c>
      <c r="E3791" s="4" t="s">
        <v>2028</v>
      </c>
      <c r="F3791" s="1">
        <v>46114</v>
      </c>
      <c r="G3791" t="str">
        <f t="shared" si="118"/>
        <v>Apr -2026</v>
      </c>
    </row>
    <row r="3792" spans="1:7" x14ac:dyDescent="0.3">
      <c r="A3792" s="4">
        <v>2395073</v>
      </c>
      <c r="B3792" t="s">
        <v>2802</v>
      </c>
      <c r="C3792" s="4" t="s">
        <v>1010</v>
      </c>
      <c r="D3792" s="4" t="s">
        <v>1020</v>
      </c>
      <c r="E3792" s="4" t="s">
        <v>2310</v>
      </c>
      <c r="F3792" s="1">
        <v>46114</v>
      </c>
      <c r="G3792" t="str">
        <f t="shared" si="118"/>
        <v>Apr -2026</v>
      </c>
    </row>
    <row r="3793" spans="1:7" x14ac:dyDescent="0.3">
      <c r="A3793" s="4">
        <v>100005914</v>
      </c>
      <c r="B3793" t="s">
        <v>2803</v>
      </c>
      <c r="C3793" s="3" t="s">
        <v>1011</v>
      </c>
      <c r="D3793" s="4" t="s">
        <v>2015</v>
      </c>
      <c r="E3793" s="4" t="s">
        <v>1569</v>
      </c>
      <c r="F3793" s="1">
        <v>46114</v>
      </c>
      <c r="G3793" t="str">
        <f t="shared" si="118"/>
        <v>Apr -2026</v>
      </c>
    </row>
    <row r="3794" spans="1:7" x14ac:dyDescent="0.3">
      <c r="A3794" s="4">
        <v>100005859</v>
      </c>
      <c r="B3794" t="s">
        <v>2804</v>
      </c>
      <c r="C3794" s="3" t="s">
        <v>1011</v>
      </c>
      <c r="D3794" s="4" t="s">
        <v>2015</v>
      </c>
      <c r="E3794" s="4" t="s">
        <v>967</v>
      </c>
      <c r="F3794" s="1">
        <v>46114</v>
      </c>
      <c r="G3794" t="str">
        <f t="shared" si="118"/>
        <v>Apr -2026</v>
      </c>
    </row>
    <row r="3795" spans="1:7" x14ac:dyDescent="0.3">
      <c r="A3795" s="4">
        <v>100005889</v>
      </c>
      <c r="B3795" t="s">
        <v>2805</v>
      </c>
      <c r="C3795" s="3" t="s">
        <v>1011</v>
      </c>
      <c r="D3795" s="4" t="s">
        <v>2015</v>
      </c>
      <c r="E3795" s="4" t="s">
        <v>982</v>
      </c>
      <c r="F3795" s="1">
        <v>46114</v>
      </c>
      <c r="G3795" t="str">
        <f t="shared" si="118"/>
        <v>Apr -2026</v>
      </c>
    </row>
    <row r="3796" spans="1:7" x14ac:dyDescent="0.3">
      <c r="A3796" s="4">
        <v>100005970</v>
      </c>
      <c r="B3796" t="s">
        <v>2806</v>
      </c>
      <c r="C3796" s="3" t="s">
        <v>1011</v>
      </c>
      <c r="D3796" s="4" t="s">
        <v>2015</v>
      </c>
      <c r="E3796" s="4" t="s">
        <v>1369</v>
      </c>
      <c r="F3796" s="1">
        <v>46114</v>
      </c>
      <c r="G3796" t="str">
        <f t="shared" si="118"/>
        <v>Apr -2026</v>
      </c>
    </row>
    <row r="3797" spans="1:7" x14ac:dyDescent="0.3">
      <c r="A3797" s="4">
        <v>100005946</v>
      </c>
      <c r="B3797" t="s">
        <v>2806</v>
      </c>
      <c r="C3797" s="3" t="s">
        <v>1011</v>
      </c>
      <c r="D3797" s="4" t="s">
        <v>2015</v>
      </c>
      <c r="E3797" s="4" t="s">
        <v>1369</v>
      </c>
      <c r="F3797" s="1">
        <v>46114</v>
      </c>
      <c r="G3797" t="str">
        <f t="shared" si="118"/>
        <v>Apr -2026</v>
      </c>
    </row>
    <row r="3798" spans="1:7" x14ac:dyDescent="0.3">
      <c r="A3798" s="4">
        <v>900007084</v>
      </c>
      <c r="B3798" t="s">
        <v>2775</v>
      </c>
      <c r="C3798" s="3" t="s">
        <v>1604</v>
      </c>
      <c r="D3798" s="4" t="s">
        <v>2031</v>
      </c>
      <c r="E3798" s="4" t="s">
        <v>1877</v>
      </c>
      <c r="F3798" s="1">
        <v>46114</v>
      </c>
      <c r="G3798" t="str">
        <f t="shared" si="118"/>
        <v>Apr -2026</v>
      </c>
    </row>
    <row r="3799" spans="1:7" x14ac:dyDescent="0.3">
      <c r="A3799" s="4">
        <v>900007091</v>
      </c>
      <c r="B3799" t="s">
        <v>2791</v>
      </c>
      <c r="C3799" s="3" t="s">
        <v>1604</v>
      </c>
      <c r="D3799" s="4" t="s">
        <v>2018</v>
      </c>
      <c r="E3799" s="4" t="s">
        <v>1877</v>
      </c>
      <c r="F3799" s="1">
        <v>46114</v>
      </c>
      <c r="G3799" t="str">
        <f t="shared" si="118"/>
        <v>Apr -2026</v>
      </c>
    </row>
    <row r="3800" spans="1:7" x14ac:dyDescent="0.3">
      <c r="A3800" s="4">
        <v>900007104</v>
      </c>
      <c r="B3800" t="s">
        <v>2807</v>
      </c>
      <c r="C3800" s="3" t="s">
        <v>1604</v>
      </c>
      <c r="D3800" s="4" t="s">
        <v>2031</v>
      </c>
      <c r="E3800" s="4" t="s">
        <v>1877</v>
      </c>
      <c r="F3800" s="1">
        <v>46114</v>
      </c>
      <c r="G3800" t="str">
        <f t="shared" si="118"/>
        <v>Apr -2026</v>
      </c>
    </row>
    <row r="3801" spans="1:7" x14ac:dyDescent="0.3">
      <c r="A3801" s="4">
        <v>900007112</v>
      </c>
      <c r="B3801" t="s">
        <v>2808</v>
      </c>
      <c r="C3801" s="3" t="s">
        <v>1011</v>
      </c>
      <c r="D3801" s="4" t="s">
        <v>973</v>
      </c>
      <c r="E3801" s="4" t="s">
        <v>1877</v>
      </c>
      <c r="F3801" s="1">
        <v>46114</v>
      </c>
      <c r="G3801" t="str">
        <f t="shared" si="118"/>
        <v>Apr -2026</v>
      </c>
    </row>
    <row r="3802" spans="1:7" x14ac:dyDescent="0.3">
      <c r="A3802" s="4">
        <v>100005953</v>
      </c>
      <c r="B3802" t="s">
        <v>2809</v>
      </c>
      <c r="C3802" s="3" t="s">
        <v>1011</v>
      </c>
      <c r="D3802" s="4" t="s">
        <v>2015</v>
      </c>
      <c r="E3802" s="4" t="s">
        <v>1877</v>
      </c>
      <c r="F3802" s="1">
        <v>46114</v>
      </c>
      <c r="G3802" t="str">
        <f t="shared" si="118"/>
        <v>Apr -2026</v>
      </c>
    </row>
    <row r="3803" spans="1:7" x14ac:dyDescent="0.3">
      <c r="A3803" s="4">
        <v>2395056</v>
      </c>
      <c r="B3803" t="s">
        <v>2810</v>
      </c>
      <c r="C3803" s="3" t="s">
        <v>1604</v>
      </c>
      <c r="D3803" s="4" t="s">
        <v>2031</v>
      </c>
      <c r="E3803" s="4" t="s">
        <v>2310</v>
      </c>
      <c r="F3803" s="1">
        <v>46114</v>
      </c>
      <c r="G3803" t="str">
        <f t="shared" si="118"/>
        <v>Apr -2026</v>
      </c>
    </row>
    <row r="3804" spans="1:7" x14ac:dyDescent="0.3">
      <c r="A3804" s="4">
        <v>100005898</v>
      </c>
      <c r="B3804" t="s">
        <v>2792</v>
      </c>
      <c r="C3804" s="3" t="s">
        <v>1011</v>
      </c>
      <c r="D3804" s="4" t="s">
        <v>2015</v>
      </c>
      <c r="E3804" s="4" t="s">
        <v>981</v>
      </c>
      <c r="F3804" s="1">
        <v>46114</v>
      </c>
      <c r="G3804" t="str">
        <f t="shared" si="118"/>
        <v>Apr -2026</v>
      </c>
    </row>
    <row r="3805" spans="1:7" x14ac:dyDescent="0.3">
      <c r="A3805" s="4">
        <v>2395310</v>
      </c>
      <c r="B3805" t="s">
        <v>2811</v>
      </c>
      <c r="C3805" s="4" t="s">
        <v>1010</v>
      </c>
      <c r="D3805" s="4" t="s">
        <v>209</v>
      </c>
      <c r="E3805" s="4" t="s">
        <v>210</v>
      </c>
      <c r="F3805" s="1">
        <v>46119</v>
      </c>
      <c r="G3805" t="str">
        <f t="shared" si="118"/>
        <v>Apr -2026</v>
      </c>
    </row>
    <row r="3806" spans="1:7" x14ac:dyDescent="0.3">
      <c r="A3806" s="4">
        <v>2406191</v>
      </c>
      <c r="B3806" t="s">
        <v>2812</v>
      </c>
      <c r="C3806" s="4" t="s">
        <v>1010</v>
      </c>
      <c r="D3806" s="4" t="s">
        <v>1259</v>
      </c>
      <c r="E3806" s="4" t="s">
        <v>228</v>
      </c>
      <c r="F3806" s="1">
        <v>46119</v>
      </c>
      <c r="G3806" t="str">
        <f t="shared" si="118"/>
        <v>Apr -2026</v>
      </c>
    </row>
    <row r="3807" spans="1:7" x14ac:dyDescent="0.3">
      <c r="A3807" s="4">
        <v>2410201</v>
      </c>
      <c r="B3807" t="s">
        <v>2813</v>
      </c>
      <c r="C3807" s="4" t="s">
        <v>1010</v>
      </c>
      <c r="D3807" s="4" t="s">
        <v>209</v>
      </c>
      <c r="E3807" s="4" t="s">
        <v>210</v>
      </c>
      <c r="F3807" s="1">
        <v>46119</v>
      </c>
      <c r="G3807" t="str">
        <f t="shared" si="118"/>
        <v>Apr -2026</v>
      </c>
    </row>
    <row r="3808" spans="1:7" x14ac:dyDescent="0.3">
      <c r="A3808" s="4">
        <v>2393553</v>
      </c>
      <c r="B3808" t="s">
        <v>2814</v>
      </c>
      <c r="C3808" s="4" t="s">
        <v>1010</v>
      </c>
      <c r="D3808" s="4" t="s">
        <v>1259</v>
      </c>
      <c r="E3808" s="4" t="s">
        <v>228</v>
      </c>
      <c r="F3808" s="1">
        <v>46119</v>
      </c>
      <c r="G3808" t="str">
        <f t="shared" si="118"/>
        <v>Apr -2026</v>
      </c>
    </row>
    <row r="3809" spans="1:7" x14ac:dyDescent="0.3">
      <c r="A3809" s="4">
        <v>900007190</v>
      </c>
      <c r="B3809" t="s">
        <v>2815</v>
      </c>
      <c r="C3809" s="4" t="s">
        <v>1010</v>
      </c>
      <c r="D3809" s="4" t="s">
        <v>209</v>
      </c>
      <c r="E3809" s="4" t="s">
        <v>1877</v>
      </c>
      <c r="F3809" s="1">
        <v>46119</v>
      </c>
      <c r="G3809" t="str">
        <f t="shared" si="118"/>
        <v>Apr -2026</v>
      </c>
    </row>
    <row r="3810" spans="1:7" x14ac:dyDescent="0.3">
      <c r="A3810" s="4">
        <v>2406030</v>
      </c>
      <c r="B3810" t="s">
        <v>2816</v>
      </c>
      <c r="C3810" s="4" t="s">
        <v>1010</v>
      </c>
      <c r="D3810" s="4" t="s">
        <v>1259</v>
      </c>
      <c r="E3810" s="4" t="s">
        <v>228</v>
      </c>
      <c r="F3810" s="1">
        <v>46119</v>
      </c>
      <c r="G3810" t="str">
        <f t="shared" si="118"/>
        <v>Apr -2026</v>
      </c>
    </row>
    <row r="3811" spans="1:7" x14ac:dyDescent="0.3">
      <c r="A3811" s="4">
        <v>2406368</v>
      </c>
      <c r="B3811" t="s">
        <v>2817</v>
      </c>
      <c r="C3811" s="4" t="s">
        <v>1010</v>
      </c>
      <c r="D3811" s="4" t="s">
        <v>1259</v>
      </c>
      <c r="E3811" s="4" t="s">
        <v>228</v>
      </c>
      <c r="F3811" s="1">
        <v>46119</v>
      </c>
      <c r="G3811" t="str">
        <f t="shared" si="118"/>
        <v>Apr -2026</v>
      </c>
    </row>
    <row r="3812" spans="1:7" x14ac:dyDescent="0.3">
      <c r="A3812" s="4">
        <v>2393816</v>
      </c>
      <c r="B3812" t="s">
        <v>2818</v>
      </c>
      <c r="C3812" s="4" t="s">
        <v>1010</v>
      </c>
      <c r="D3812" s="4" t="s">
        <v>1259</v>
      </c>
      <c r="E3812" s="4" t="s">
        <v>228</v>
      </c>
      <c r="F3812" s="1">
        <v>46119</v>
      </c>
      <c r="G3812" t="str">
        <f t="shared" si="118"/>
        <v>Apr -2026</v>
      </c>
    </row>
    <row r="3813" spans="1:7" x14ac:dyDescent="0.3">
      <c r="A3813" s="4">
        <v>2406079</v>
      </c>
      <c r="B3813" t="s">
        <v>2819</v>
      </c>
      <c r="C3813" s="4" t="s">
        <v>1010</v>
      </c>
      <c r="D3813" s="4" t="s">
        <v>1259</v>
      </c>
      <c r="E3813" s="4" t="s">
        <v>228</v>
      </c>
      <c r="F3813" s="1">
        <v>46119</v>
      </c>
      <c r="G3813" t="str">
        <f t="shared" si="118"/>
        <v>Apr -2026</v>
      </c>
    </row>
    <row r="3814" spans="1:7" x14ac:dyDescent="0.3">
      <c r="A3814" s="4">
        <v>2404958</v>
      </c>
      <c r="B3814" t="s">
        <v>2820</v>
      </c>
      <c r="C3814" s="4" t="s">
        <v>1010</v>
      </c>
      <c r="D3814" s="4" t="s">
        <v>1020</v>
      </c>
      <c r="E3814" s="4" t="s">
        <v>2821</v>
      </c>
      <c r="F3814" s="1">
        <v>46119</v>
      </c>
      <c r="G3814" t="str">
        <f t="shared" si="118"/>
        <v>Apr -2026</v>
      </c>
    </row>
    <row r="3815" spans="1:7" x14ac:dyDescent="0.3">
      <c r="A3815" s="4">
        <v>2405125</v>
      </c>
      <c r="B3815" t="s">
        <v>2820</v>
      </c>
      <c r="C3815" s="4" t="s">
        <v>1010</v>
      </c>
      <c r="D3815" s="4" t="s">
        <v>1020</v>
      </c>
      <c r="E3815" s="4" t="s">
        <v>2821</v>
      </c>
      <c r="F3815" s="1">
        <v>46119</v>
      </c>
      <c r="G3815" t="str">
        <f t="shared" si="118"/>
        <v>Apr -2026</v>
      </c>
    </row>
    <row r="3816" spans="1:7" x14ac:dyDescent="0.3">
      <c r="A3816" s="4">
        <v>2405126</v>
      </c>
      <c r="B3816" t="s">
        <v>2820</v>
      </c>
      <c r="C3816" s="4" t="s">
        <v>1010</v>
      </c>
      <c r="D3816" s="4" t="s">
        <v>1020</v>
      </c>
      <c r="E3816" s="4" t="s">
        <v>2821</v>
      </c>
      <c r="F3816" s="1">
        <v>46119</v>
      </c>
      <c r="G3816" t="str">
        <f t="shared" si="118"/>
        <v>Apr -2026</v>
      </c>
    </row>
    <row r="3817" spans="1:7" x14ac:dyDescent="0.3">
      <c r="A3817" s="4">
        <v>2405360</v>
      </c>
      <c r="B3817" t="s">
        <v>2820</v>
      </c>
      <c r="C3817" s="4" t="s">
        <v>1010</v>
      </c>
      <c r="D3817" s="4" t="s">
        <v>1020</v>
      </c>
      <c r="E3817" s="4" t="s">
        <v>2821</v>
      </c>
      <c r="F3817" s="1">
        <v>46119</v>
      </c>
      <c r="G3817" t="str">
        <f t="shared" si="118"/>
        <v>Apr -2026</v>
      </c>
    </row>
    <row r="3818" spans="1:7" x14ac:dyDescent="0.3">
      <c r="A3818" s="4">
        <v>2405386</v>
      </c>
      <c r="B3818" t="s">
        <v>2820</v>
      </c>
      <c r="C3818" s="4" t="s">
        <v>1010</v>
      </c>
      <c r="D3818" s="4" t="s">
        <v>1020</v>
      </c>
      <c r="E3818" s="4" t="s">
        <v>2821</v>
      </c>
      <c r="F3818" s="1">
        <v>46119</v>
      </c>
      <c r="G3818" t="str">
        <f t="shared" si="118"/>
        <v>Apr -2026</v>
      </c>
    </row>
    <row r="3819" spans="1:7" x14ac:dyDescent="0.3">
      <c r="A3819" s="4">
        <v>2405543</v>
      </c>
      <c r="B3819" t="s">
        <v>2820</v>
      </c>
      <c r="C3819" s="4" t="s">
        <v>1010</v>
      </c>
      <c r="D3819" s="4" t="s">
        <v>1020</v>
      </c>
      <c r="E3819" s="4" t="s">
        <v>2821</v>
      </c>
      <c r="F3819" s="1">
        <v>46119</v>
      </c>
      <c r="G3819" t="str">
        <f t="shared" si="118"/>
        <v>Apr -2026</v>
      </c>
    </row>
    <row r="3820" spans="1:7" x14ac:dyDescent="0.3">
      <c r="A3820" s="4">
        <v>2405512</v>
      </c>
      <c r="B3820" t="s">
        <v>2820</v>
      </c>
      <c r="C3820" s="4" t="s">
        <v>1010</v>
      </c>
      <c r="D3820" s="4" t="s">
        <v>1020</v>
      </c>
      <c r="E3820" s="4" t="s">
        <v>2821</v>
      </c>
      <c r="F3820" s="1">
        <v>46119</v>
      </c>
      <c r="G3820" t="str">
        <f t="shared" si="118"/>
        <v>Apr -2026</v>
      </c>
    </row>
    <row r="3821" spans="1:7" x14ac:dyDescent="0.3">
      <c r="A3821" s="4">
        <v>2405387</v>
      </c>
      <c r="B3821" t="s">
        <v>2820</v>
      </c>
      <c r="C3821" s="4" t="s">
        <v>1010</v>
      </c>
      <c r="D3821" s="4" t="s">
        <v>1020</v>
      </c>
      <c r="E3821" s="4" t="s">
        <v>2821</v>
      </c>
      <c r="F3821" s="1">
        <v>46119</v>
      </c>
      <c r="G3821" t="str">
        <f t="shared" si="118"/>
        <v>Apr -2026</v>
      </c>
    </row>
    <row r="3822" spans="1:7" x14ac:dyDescent="0.3">
      <c r="A3822" s="4">
        <v>2405511</v>
      </c>
      <c r="B3822" t="s">
        <v>2820</v>
      </c>
      <c r="C3822" s="4" t="s">
        <v>1010</v>
      </c>
      <c r="D3822" s="4" t="s">
        <v>1020</v>
      </c>
      <c r="E3822" s="4" t="s">
        <v>2821</v>
      </c>
      <c r="F3822" s="1">
        <v>46119</v>
      </c>
      <c r="G3822" t="str">
        <f t="shared" si="118"/>
        <v>Apr -2026</v>
      </c>
    </row>
    <row r="3823" spans="1:7" x14ac:dyDescent="0.3">
      <c r="A3823" s="4">
        <v>2405416</v>
      </c>
      <c r="B3823" t="s">
        <v>2820</v>
      </c>
      <c r="C3823" s="4" t="s">
        <v>1010</v>
      </c>
      <c r="D3823" s="4" t="s">
        <v>1020</v>
      </c>
      <c r="E3823" s="4" t="s">
        <v>2821</v>
      </c>
      <c r="F3823" s="1">
        <v>46119</v>
      </c>
      <c r="G3823" t="str">
        <f t="shared" si="118"/>
        <v>Apr -2026</v>
      </c>
    </row>
    <row r="3824" spans="1:7" x14ac:dyDescent="0.3">
      <c r="A3824" s="4">
        <v>100005973</v>
      </c>
      <c r="B3824" t="s">
        <v>2822</v>
      </c>
      <c r="C3824" s="3" t="s">
        <v>1011</v>
      </c>
      <c r="D3824" s="4" t="s">
        <v>2015</v>
      </c>
      <c r="E3824" s="4" t="s">
        <v>1569</v>
      </c>
      <c r="F3824" s="1">
        <v>46119</v>
      </c>
      <c r="G3824" t="str">
        <f t="shared" si="118"/>
        <v>Apr -2026</v>
      </c>
    </row>
    <row r="3825" spans="1:7" x14ac:dyDescent="0.3">
      <c r="A3825" s="4">
        <v>100005972</v>
      </c>
      <c r="B3825" t="s">
        <v>2823</v>
      </c>
      <c r="C3825" s="3" t="s">
        <v>1011</v>
      </c>
      <c r="D3825" s="4" t="s">
        <v>2015</v>
      </c>
      <c r="E3825" s="4" t="s">
        <v>976</v>
      </c>
      <c r="F3825" s="1">
        <v>46119</v>
      </c>
      <c r="G3825" t="str">
        <f t="shared" si="118"/>
        <v>Apr -2026</v>
      </c>
    </row>
    <row r="3826" spans="1:7" x14ac:dyDescent="0.3">
      <c r="A3826" s="4">
        <v>100005938</v>
      </c>
      <c r="B3826" t="s">
        <v>2824</v>
      </c>
      <c r="C3826" s="3" t="s">
        <v>1011</v>
      </c>
      <c r="D3826" s="4" t="s">
        <v>2015</v>
      </c>
      <c r="E3826" s="4" t="s">
        <v>976</v>
      </c>
      <c r="F3826" s="1">
        <v>46119</v>
      </c>
      <c r="G3826" t="str">
        <f t="shared" si="118"/>
        <v>Apr -2026</v>
      </c>
    </row>
    <row r="3827" spans="1:7" x14ac:dyDescent="0.3">
      <c r="A3827" s="4">
        <v>100005982</v>
      </c>
      <c r="B3827" t="s">
        <v>2825</v>
      </c>
      <c r="C3827" s="3" t="s">
        <v>1011</v>
      </c>
      <c r="D3827" s="4" t="s">
        <v>2015</v>
      </c>
      <c r="E3827" s="4" t="s">
        <v>1369</v>
      </c>
      <c r="F3827" s="1">
        <v>46119</v>
      </c>
      <c r="G3827" t="str">
        <f t="shared" si="118"/>
        <v>Apr -2026</v>
      </c>
    </row>
    <row r="3828" spans="1:7" x14ac:dyDescent="0.3">
      <c r="A3828" s="4">
        <v>100005918</v>
      </c>
      <c r="B3828" t="s">
        <v>2806</v>
      </c>
      <c r="C3828" s="3" t="s">
        <v>1011</v>
      </c>
      <c r="D3828" s="4" t="s">
        <v>2015</v>
      </c>
      <c r="E3828" s="4" t="s">
        <v>1369</v>
      </c>
      <c r="F3828" s="1">
        <v>46119</v>
      </c>
      <c r="G3828" t="str">
        <f t="shared" si="118"/>
        <v>Apr -2026</v>
      </c>
    </row>
    <row r="3829" spans="1:7" x14ac:dyDescent="0.3">
      <c r="A3829" s="4">
        <v>100005933</v>
      </c>
      <c r="B3829" t="s">
        <v>2788</v>
      </c>
      <c r="C3829" s="3" t="s">
        <v>1011</v>
      </c>
      <c r="D3829" s="4" t="s">
        <v>2015</v>
      </c>
      <c r="E3829" s="4" t="s">
        <v>1569</v>
      </c>
      <c r="F3829" s="1">
        <v>46119</v>
      </c>
      <c r="G3829" t="str">
        <f t="shared" si="118"/>
        <v>Apr -2026</v>
      </c>
    </row>
    <row r="3830" spans="1:7" x14ac:dyDescent="0.3">
      <c r="A3830" s="4">
        <v>900007160</v>
      </c>
      <c r="B3830" t="s">
        <v>2826</v>
      </c>
      <c r="C3830" s="3" t="s">
        <v>1604</v>
      </c>
      <c r="D3830" s="4" t="s">
        <v>2018</v>
      </c>
      <c r="E3830" s="4" t="s">
        <v>1877</v>
      </c>
      <c r="F3830" s="1">
        <v>46119</v>
      </c>
      <c r="G3830" t="str">
        <f t="shared" si="118"/>
        <v>Apr -2026</v>
      </c>
    </row>
    <row r="3831" spans="1:7" x14ac:dyDescent="0.3">
      <c r="A3831" s="4">
        <v>900007103</v>
      </c>
      <c r="B3831" t="s">
        <v>2827</v>
      </c>
      <c r="C3831" s="3" t="s">
        <v>1604</v>
      </c>
      <c r="D3831" s="4" t="s">
        <v>2018</v>
      </c>
      <c r="E3831" s="4" t="s">
        <v>1877</v>
      </c>
      <c r="F3831" s="1">
        <v>46119</v>
      </c>
      <c r="G3831" t="str">
        <f t="shared" si="118"/>
        <v>Apr -2026</v>
      </c>
    </row>
    <row r="3832" spans="1:7" x14ac:dyDescent="0.3">
      <c r="A3832" s="4">
        <v>100005928</v>
      </c>
      <c r="B3832" t="s">
        <v>2828</v>
      </c>
      <c r="C3832" s="3" t="s">
        <v>1011</v>
      </c>
      <c r="D3832" s="4" t="s">
        <v>2015</v>
      </c>
      <c r="E3832" s="4" t="s">
        <v>1569</v>
      </c>
      <c r="F3832" s="1">
        <v>46119</v>
      </c>
      <c r="G3832" t="str">
        <f t="shared" si="118"/>
        <v>Apr -2026</v>
      </c>
    </row>
    <row r="3833" spans="1:7" x14ac:dyDescent="0.3">
      <c r="A3833" s="4">
        <v>100005938</v>
      </c>
      <c r="B3833" t="s">
        <v>2824</v>
      </c>
      <c r="C3833" s="3" t="s">
        <v>1011</v>
      </c>
      <c r="D3833" s="4" t="s">
        <v>2015</v>
      </c>
      <c r="E3833" s="4" t="s">
        <v>976</v>
      </c>
      <c r="F3833" s="1">
        <v>46120</v>
      </c>
      <c r="G3833" t="str">
        <f t="shared" si="118"/>
        <v>Apr -2026</v>
      </c>
    </row>
    <row r="3834" spans="1:7" x14ac:dyDescent="0.3">
      <c r="A3834" s="4">
        <v>100005991</v>
      </c>
      <c r="B3834" t="s">
        <v>2829</v>
      </c>
      <c r="C3834" s="3" t="s">
        <v>1011</v>
      </c>
      <c r="D3834" s="4" t="s">
        <v>2015</v>
      </c>
      <c r="E3834" s="4" t="s">
        <v>1369</v>
      </c>
      <c r="F3834" s="1">
        <v>46120</v>
      </c>
      <c r="G3834" t="str">
        <f t="shared" si="118"/>
        <v>Apr -2026</v>
      </c>
    </row>
    <row r="3835" spans="1:7" x14ac:dyDescent="0.3">
      <c r="A3835" s="4">
        <v>900007096</v>
      </c>
      <c r="B3835" t="s">
        <v>2830</v>
      </c>
      <c r="C3835" s="3" t="s">
        <v>1604</v>
      </c>
      <c r="D3835" s="4" t="s">
        <v>2018</v>
      </c>
      <c r="E3835" s="4" t="s">
        <v>1877</v>
      </c>
      <c r="F3835" s="1">
        <v>46120</v>
      </c>
      <c r="G3835" t="str">
        <f t="shared" si="118"/>
        <v>Apr -2026</v>
      </c>
    </row>
    <row r="3836" spans="1:7" x14ac:dyDescent="0.3">
      <c r="A3836" s="4">
        <v>100005976</v>
      </c>
      <c r="B3836" t="s">
        <v>2831</v>
      </c>
      <c r="C3836" s="3" t="s">
        <v>1011</v>
      </c>
      <c r="D3836" s="4" t="s">
        <v>2015</v>
      </c>
      <c r="E3836" s="4" t="s">
        <v>2832</v>
      </c>
      <c r="F3836" s="1">
        <v>46120</v>
      </c>
      <c r="G3836" t="str">
        <f t="shared" si="118"/>
        <v>Apr -2026</v>
      </c>
    </row>
    <row r="3837" spans="1:7" x14ac:dyDescent="0.3">
      <c r="A3837" s="4">
        <v>900007176</v>
      </c>
      <c r="B3837" t="s">
        <v>2833</v>
      </c>
      <c r="C3837" s="3" t="s">
        <v>1604</v>
      </c>
      <c r="D3837" s="4" t="s">
        <v>2031</v>
      </c>
      <c r="E3837" s="4" t="s">
        <v>1877</v>
      </c>
      <c r="F3837" s="1">
        <v>46120</v>
      </c>
      <c r="G3837" t="str">
        <f t="shared" si="118"/>
        <v>Apr -2026</v>
      </c>
    </row>
    <row r="3838" spans="1:7" x14ac:dyDescent="0.3">
      <c r="A3838" s="4">
        <v>2412132</v>
      </c>
      <c r="B3838" t="s">
        <v>2834</v>
      </c>
      <c r="C3838" s="4" t="s">
        <v>1010</v>
      </c>
      <c r="D3838" s="4" t="s">
        <v>209</v>
      </c>
      <c r="E3838" s="4" t="s">
        <v>210</v>
      </c>
      <c r="F3838" s="1">
        <v>46120</v>
      </c>
      <c r="G3838" t="str">
        <f t="shared" si="118"/>
        <v>Apr -2026</v>
      </c>
    </row>
    <row r="3839" spans="1:7" x14ac:dyDescent="0.3">
      <c r="A3839" s="4">
        <v>2412129</v>
      </c>
      <c r="B3839" t="s">
        <v>2835</v>
      </c>
      <c r="C3839" s="4" t="s">
        <v>1010</v>
      </c>
      <c r="D3839" s="4" t="s">
        <v>209</v>
      </c>
      <c r="E3839" s="4" t="s">
        <v>210</v>
      </c>
      <c r="F3839" s="1">
        <v>46120</v>
      </c>
      <c r="G3839" t="str">
        <f t="shared" si="118"/>
        <v>Apr -2026</v>
      </c>
    </row>
    <row r="3840" spans="1:7" x14ac:dyDescent="0.3">
      <c r="A3840" s="4">
        <v>2412721</v>
      </c>
      <c r="B3840" t="s">
        <v>2836</v>
      </c>
      <c r="C3840" s="4" t="s">
        <v>1010</v>
      </c>
      <c r="D3840" s="4" t="s">
        <v>209</v>
      </c>
      <c r="E3840" s="4" t="s">
        <v>210</v>
      </c>
      <c r="F3840" s="1">
        <v>46120</v>
      </c>
      <c r="G3840" t="str">
        <f t="shared" si="118"/>
        <v>Apr -2026</v>
      </c>
    </row>
    <row r="3841" spans="1:7" x14ac:dyDescent="0.3">
      <c r="A3841" s="4">
        <v>2412769</v>
      </c>
      <c r="B3841" t="s">
        <v>2837</v>
      </c>
      <c r="C3841" s="4" t="s">
        <v>1010</v>
      </c>
      <c r="D3841" s="4" t="s">
        <v>209</v>
      </c>
      <c r="E3841" s="4" t="s">
        <v>210</v>
      </c>
      <c r="F3841" s="1">
        <v>46120</v>
      </c>
      <c r="G3841" t="str">
        <f t="shared" si="118"/>
        <v>Apr -2026</v>
      </c>
    </row>
    <row r="3842" spans="1:7" x14ac:dyDescent="0.3">
      <c r="A3842" s="4">
        <v>2404958</v>
      </c>
      <c r="B3842" t="s">
        <v>2820</v>
      </c>
      <c r="C3842" s="4" t="s">
        <v>1010</v>
      </c>
      <c r="D3842" s="4" t="s">
        <v>1020</v>
      </c>
      <c r="E3842" s="4" t="s">
        <v>2821</v>
      </c>
      <c r="F3842" s="1">
        <v>46120</v>
      </c>
      <c r="G3842" t="str">
        <f t="shared" si="118"/>
        <v>Apr -2026</v>
      </c>
    </row>
    <row r="3843" spans="1:7" x14ac:dyDescent="0.3">
      <c r="A3843" s="4">
        <v>2405125</v>
      </c>
      <c r="B3843" t="s">
        <v>2820</v>
      </c>
      <c r="C3843" s="4" t="s">
        <v>1010</v>
      </c>
      <c r="D3843" s="4" t="s">
        <v>1020</v>
      </c>
      <c r="E3843" s="4" t="s">
        <v>2821</v>
      </c>
      <c r="F3843" s="1">
        <v>46120</v>
      </c>
      <c r="G3843" t="str">
        <f t="shared" si="118"/>
        <v>Apr -2026</v>
      </c>
    </row>
    <row r="3844" spans="1:7" x14ac:dyDescent="0.3">
      <c r="A3844" s="4">
        <v>2405126</v>
      </c>
      <c r="B3844" t="s">
        <v>2820</v>
      </c>
      <c r="C3844" s="4" t="s">
        <v>1010</v>
      </c>
      <c r="D3844" s="4" t="s">
        <v>1020</v>
      </c>
      <c r="E3844" s="4" t="s">
        <v>2821</v>
      </c>
      <c r="F3844" s="1">
        <v>46120</v>
      </c>
      <c r="G3844" t="str">
        <f t="shared" si="118"/>
        <v>Apr -2026</v>
      </c>
    </row>
    <row r="3845" spans="1:7" x14ac:dyDescent="0.3">
      <c r="A3845" s="4">
        <v>2405360</v>
      </c>
      <c r="B3845" t="s">
        <v>2820</v>
      </c>
      <c r="C3845" s="4" t="s">
        <v>1010</v>
      </c>
      <c r="D3845" s="4" t="s">
        <v>1020</v>
      </c>
      <c r="E3845" s="4" t="s">
        <v>2821</v>
      </c>
      <c r="F3845" s="1">
        <v>46120</v>
      </c>
      <c r="G3845" t="str">
        <f t="shared" si="118"/>
        <v>Apr -2026</v>
      </c>
    </row>
    <row r="3846" spans="1:7" x14ac:dyDescent="0.3">
      <c r="A3846" s="4">
        <v>2405386</v>
      </c>
      <c r="B3846" t="s">
        <v>2820</v>
      </c>
      <c r="C3846" s="4" t="s">
        <v>1010</v>
      </c>
      <c r="D3846" s="4" t="s">
        <v>1020</v>
      </c>
      <c r="E3846" s="4" t="s">
        <v>2821</v>
      </c>
      <c r="F3846" s="1">
        <v>46120</v>
      </c>
      <c r="G3846" t="str">
        <f t="shared" si="118"/>
        <v>Apr -2026</v>
      </c>
    </row>
    <row r="3847" spans="1:7" x14ac:dyDescent="0.3">
      <c r="A3847" s="4">
        <v>2405543</v>
      </c>
      <c r="B3847" t="s">
        <v>2820</v>
      </c>
      <c r="C3847" s="4" t="s">
        <v>1010</v>
      </c>
      <c r="D3847" s="4" t="s">
        <v>1020</v>
      </c>
      <c r="E3847" s="4" t="s">
        <v>2821</v>
      </c>
      <c r="F3847" s="1">
        <v>46120</v>
      </c>
      <c r="G3847" t="str">
        <f t="shared" si="118"/>
        <v>Apr -2026</v>
      </c>
    </row>
    <row r="3848" spans="1:7" x14ac:dyDescent="0.3">
      <c r="A3848" s="4">
        <v>2405512</v>
      </c>
      <c r="B3848" t="s">
        <v>2820</v>
      </c>
      <c r="C3848" s="4" t="s">
        <v>1010</v>
      </c>
      <c r="D3848" s="4" t="s">
        <v>1020</v>
      </c>
      <c r="E3848" s="4" t="s">
        <v>2821</v>
      </c>
      <c r="F3848" s="1">
        <v>46120</v>
      </c>
      <c r="G3848" t="str">
        <f t="shared" si="118"/>
        <v>Apr -2026</v>
      </c>
    </row>
    <row r="3849" spans="1:7" x14ac:dyDescent="0.3">
      <c r="A3849" s="4">
        <v>2405387</v>
      </c>
      <c r="B3849" t="s">
        <v>2820</v>
      </c>
      <c r="C3849" s="4" t="s">
        <v>1010</v>
      </c>
      <c r="D3849" s="4" t="s">
        <v>1020</v>
      </c>
      <c r="E3849" s="4" t="s">
        <v>2821</v>
      </c>
      <c r="F3849" s="1">
        <v>46120</v>
      </c>
      <c r="G3849" t="str">
        <f t="shared" si="118"/>
        <v>Apr -2026</v>
      </c>
    </row>
    <row r="3850" spans="1:7" x14ac:dyDescent="0.3">
      <c r="A3850" s="4">
        <v>2405511</v>
      </c>
      <c r="B3850" t="s">
        <v>2820</v>
      </c>
      <c r="C3850" s="4" t="s">
        <v>1010</v>
      </c>
      <c r="D3850" s="4" t="s">
        <v>1020</v>
      </c>
      <c r="E3850" s="4" t="s">
        <v>2821</v>
      </c>
      <c r="F3850" s="1">
        <v>46120</v>
      </c>
      <c r="G3850" t="str">
        <f t="shared" si="118"/>
        <v>Apr -2026</v>
      </c>
    </row>
    <row r="3851" spans="1:7" x14ac:dyDescent="0.3">
      <c r="A3851" s="4">
        <v>2405416</v>
      </c>
      <c r="B3851" t="s">
        <v>2820</v>
      </c>
      <c r="C3851" s="4" t="s">
        <v>1010</v>
      </c>
      <c r="D3851" s="4" t="s">
        <v>1020</v>
      </c>
      <c r="E3851" s="4" t="s">
        <v>2821</v>
      </c>
      <c r="F3851" s="1">
        <v>46120</v>
      </c>
      <c r="G3851" t="str">
        <f t="shared" si="118"/>
        <v>Apr -2026</v>
      </c>
    </row>
    <row r="3852" spans="1:7" x14ac:dyDescent="0.3">
      <c r="A3852" s="4">
        <v>2408674</v>
      </c>
      <c r="B3852" t="s">
        <v>2838</v>
      </c>
      <c r="C3852" s="4" t="s">
        <v>1010</v>
      </c>
      <c r="D3852" s="4" t="s">
        <v>1259</v>
      </c>
      <c r="E3852" s="4" t="s">
        <v>228</v>
      </c>
      <c r="F3852" s="1">
        <v>46120</v>
      </c>
      <c r="G3852" t="str">
        <f t="shared" si="118"/>
        <v>Apr -2026</v>
      </c>
    </row>
    <row r="3853" spans="1:7" x14ac:dyDescent="0.3">
      <c r="A3853" s="4">
        <v>2408949</v>
      </c>
      <c r="B3853" t="s">
        <v>2839</v>
      </c>
      <c r="C3853" s="4" t="s">
        <v>1010</v>
      </c>
      <c r="D3853" s="4" t="s">
        <v>1259</v>
      </c>
      <c r="E3853" s="4" t="s">
        <v>228</v>
      </c>
      <c r="F3853" s="1">
        <v>46120</v>
      </c>
      <c r="G3853" t="str">
        <f t="shared" si="118"/>
        <v>Apr -2026</v>
      </c>
    </row>
    <row r="3854" spans="1:7" x14ac:dyDescent="0.3">
      <c r="A3854" s="4">
        <v>2409352</v>
      </c>
      <c r="B3854" t="s">
        <v>2840</v>
      </c>
      <c r="C3854" s="4" t="s">
        <v>1010</v>
      </c>
      <c r="D3854" s="4" t="s">
        <v>1259</v>
      </c>
      <c r="E3854" s="4" t="s">
        <v>228</v>
      </c>
      <c r="F3854" s="1">
        <v>46120</v>
      </c>
      <c r="G3854" t="str">
        <f t="shared" ref="G3854:G3917" si="119">TEXT(F3854,"mmm -YYYY")</f>
        <v>Apr -2026</v>
      </c>
    </row>
    <row r="3855" spans="1:7" x14ac:dyDescent="0.3">
      <c r="A3855" s="4">
        <v>2409457</v>
      </c>
      <c r="B3855" t="s">
        <v>2841</v>
      </c>
      <c r="C3855" s="4" t="s">
        <v>1010</v>
      </c>
      <c r="D3855" s="4" t="s">
        <v>1259</v>
      </c>
      <c r="E3855" s="4" t="s">
        <v>228</v>
      </c>
      <c r="F3855" s="1">
        <v>46120</v>
      </c>
      <c r="G3855" t="str">
        <f t="shared" si="119"/>
        <v>Apr -2026</v>
      </c>
    </row>
    <row r="3856" spans="1:7" x14ac:dyDescent="0.3">
      <c r="A3856" s="4">
        <v>2412769</v>
      </c>
      <c r="B3856" t="s">
        <v>2837</v>
      </c>
      <c r="C3856" s="4" t="s">
        <v>1010</v>
      </c>
      <c r="D3856" s="4" t="s">
        <v>209</v>
      </c>
      <c r="E3856" s="4" t="s">
        <v>210</v>
      </c>
      <c r="F3856" s="1">
        <v>46121</v>
      </c>
      <c r="G3856" t="str">
        <f t="shared" si="119"/>
        <v>Apr -2026</v>
      </c>
    </row>
    <row r="3857" spans="1:7" x14ac:dyDescent="0.3">
      <c r="A3857" s="4">
        <v>2414784</v>
      </c>
      <c r="B3857" t="s">
        <v>2842</v>
      </c>
      <c r="C3857" s="4" t="s">
        <v>1010</v>
      </c>
      <c r="D3857" s="4" t="s">
        <v>209</v>
      </c>
      <c r="E3857" s="4" t="s">
        <v>375</v>
      </c>
      <c r="F3857" s="1">
        <v>46121</v>
      </c>
      <c r="G3857" t="str">
        <f t="shared" si="119"/>
        <v>Apr -2026</v>
      </c>
    </row>
    <row r="3858" spans="1:7" x14ac:dyDescent="0.3">
      <c r="A3858" s="4">
        <v>2414940</v>
      </c>
      <c r="B3858" t="s">
        <v>2843</v>
      </c>
      <c r="C3858" s="4" t="s">
        <v>1010</v>
      </c>
      <c r="D3858" s="4" t="s">
        <v>209</v>
      </c>
      <c r="E3858" s="4" t="s">
        <v>375</v>
      </c>
      <c r="F3858" s="1">
        <v>46121</v>
      </c>
      <c r="G3858" t="str">
        <f t="shared" si="119"/>
        <v>Apr -2026</v>
      </c>
    </row>
    <row r="3859" spans="1:7" x14ac:dyDescent="0.3">
      <c r="A3859" s="4">
        <v>2415395</v>
      </c>
      <c r="B3859" t="s">
        <v>2844</v>
      </c>
      <c r="C3859" s="4" t="s">
        <v>1010</v>
      </c>
      <c r="D3859" s="4" t="s">
        <v>209</v>
      </c>
      <c r="E3859" s="4" t="s">
        <v>375</v>
      </c>
      <c r="F3859" s="1">
        <v>46121</v>
      </c>
      <c r="G3859" t="str">
        <f t="shared" si="119"/>
        <v>Apr -2026</v>
      </c>
    </row>
    <row r="3860" spans="1:7" x14ac:dyDescent="0.3">
      <c r="A3860" s="4">
        <v>2415569</v>
      </c>
      <c r="B3860" t="s">
        <v>2845</v>
      </c>
      <c r="C3860" s="4" t="s">
        <v>1010</v>
      </c>
      <c r="D3860" s="4" t="s">
        <v>209</v>
      </c>
      <c r="E3860" s="4" t="s">
        <v>210</v>
      </c>
      <c r="F3860" s="1">
        <v>46121</v>
      </c>
      <c r="G3860" t="str">
        <f t="shared" si="119"/>
        <v>Apr -2026</v>
      </c>
    </row>
    <row r="3861" spans="1:7" x14ac:dyDescent="0.3">
      <c r="A3861" s="4">
        <v>2415643</v>
      </c>
      <c r="B3861" t="s">
        <v>2846</v>
      </c>
      <c r="C3861" s="4" t="s">
        <v>1010</v>
      </c>
      <c r="D3861" s="4" t="s">
        <v>209</v>
      </c>
      <c r="E3861" s="4" t="s">
        <v>210</v>
      </c>
      <c r="F3861" s="1">
        <v>46121</v>
      </c>
      <c r="G3861" t="str">
        <f t="shared" si="119"/>
        <v>Apr -2026</v>
      </c>
    </row>
    <row r="3862" spans="1:7" x14ac:dyDescent="0.3">
      <c r="A3862" s="4">
        <v>2416164</v>
      </c>
      <c r="B3862" t="s">
        <v>2847</v>
      </c>
      <c r="C3862" s="4" t="s">
        <v>1010</v>
      </c>
      <c r="D3862" s="4" t="s">
        <v>209</v>
      </c>
      <c r="E3862" s="4" t="s">
        <v>375</v>
      </c>
      <c r="F3862" s="1">
        <v>46121</v>
      </c>
      <c r="G3862" t="str">
        <f t="shared" si="119"/>
        <v>Apr -2026</v>
      </c>
    </row>
    <row r="3863" spans="1:7" x14ac:dyDescent="0.3">
      <c r="A3863" s="4">
        <v>2416229</v>
      </c>
      <c r="B3863" t="s">
        <v>2848</v>
      </c>
      <c r="C3863" s="4" t="s">
        <v>1010</v>
      </c>
      <c r="D3863" s="4" t="s">
        <v>209</v>
      </c>
      <c r="E3863" s="4" t="s">
        <v>375</v>
      </c>
      <c r="F3863" s="1">
        <v>46121</v>
      </c>
      <c r="G3863" t="str">
        <f t="shared" si="119"/>
        <v>Apr -2026</v>
      </c>
    </row>
    <row r="3864" spans="1:7" x14ac:dyDescent="0.3">
      <c r="A3864" s="4">
        <v>2416310</v>
      </c>
      <c r="B3864" t="s">
        <v>2849</v>
      </c>
      <c r="C3864" s="4" t="s">
        <v>1010</v>
      </c>
      <c r="D3864" s="4" t="s">
        <v>209</v>
      </c>
      <c r="E3864" s="4" t="s">
        <v>375</v>
      </c>
      <c r="F3864" s="1">
        <v>46121</v>
      </c>
      <c r="G3864" t="str">
        <f t="shared" si="119"/>
        <v>Apr -2026</v>
      </c>
    </row>
    <row r="3865" spans="1:7" x14ac:dyDescent="0.3">
      <c r="A3865" s="4">
        <v>2416345</v>
      </c>
      <c r="B3865" t="s">
        <v>2850</v>
      </c>
      <c r="C3865" s="4" t="s">
        <v>1010</v>
      </c>
      <c r="D3865" s="4" t="s">
        <v>209</v>
      </c>
      <c r="E3865" s="4" t="s">
        <v>375</v>
      </c>
      <c r="F3865" s="1">
        <v>46121</v>
      </c>
      <c r="G3865" t="str">
        <f t="shared" si="119"/>
        <v>Apr -2026</v>
      </c>
    </row>
    <row r="3866" spans="1:7" x14ac:dyDescent="0.3">
      <c r="A3866" s="4">
        <v>2416428</v>
      </c>
      <c r="B3866" t="s">
        <v>2851</v>
      </c>
      <c r="C3866" s="4" t="s">
        <v>1010</v>
      </c>
      <c r="D3866" s="4" t="s">
        <v>209</v>
      </c>
      <c r="E3866" s="4" t="s">
        <v>375</v>
      </c>
      <c r="F3866" s="1">
        <v>46121</v>
      </c>
      <c r="G3866" t="str">
        <f t="shared" si="119"/>
        <v>Apr -2026</v>
      </c>
    </row>
    <row r="3867" spans="1:7" x14ac:dyDescent="0.3">
      <c r="A3867" s="4">
        <v>2413680</v>
      </c>
      <c r="B3867" t="s">
        <v>2852</v>
      </c>
      <c r="C3867" s="4" t="s">
        <v>1010</v>
      </c>
      <c r="D3867" s="4" t="s">
        <v>1020</v>
      </c>
      <c r="E3867" s="4" t="s">
        <v>2310</v>
      </c>
      <c r="F3867" s="1">
        <v>46121</v>
      </c>
      <c r="G3867" t="str">
        <f t="shared" si="119"/>
        <v>Apr -2026</v>
      </c>
    </row>
    <row r="3868" spans="1:7" x14ac:dyDescent="0.3">
      <c r="A3868" s="4">
        <v>2408674</v>
      </c>
      <c r="B3868" t="s">
        <v>2838</v>
      </c>
      <c r="C3868" s="4" t="s">
        <v>1010</v>
      </c>
      <c r="D3868" s="4" t="s">
        <v>1259</v>
      </c>
      <c r="E3868" s="4" t="s">
        <v>228</v>
      </c>
      <c r="F3868" s="1">
        <v>46121</v>
      </c>
      <c r="G3868" t="str">
        <f t="shared" si="119"/>
        <v>Apr -2026</v>
      </c>
    </row>
    <row r="3869" spans="1:7" x14ac:dyDescent="0.3">
      <c r="A3869" s="4">
        <v>2408949</v>
      </c>
      <c r="B3869" t="s">
        <v>2839</v>
      </c>
      <c r="C3869" s="4" t="s">
        <v>1010</v>
      </c>
      <c r="D3869" s="4" t="s">
        <v>1259</v>
      </c>
      <c r="E3869" s="4" t="s">
        <v>228</v>
      </c>
      <c r="F3869" s="1">
        <v>46121</v>
      </c>
      <c r="G3869" t="str">
        <f t="shared" si="119"/>
        <v>Apr -2026</v>
      </c>
    </row>
    <row r="3870" spans="1:7" x14ac:dyDescent="0.3">
      <c r="A3870" s="4">
        <v>2409457</v>
      </c>
      <c r="B3870" t="s">
        <v>2841</v>
      </c>
      <c r="C3870" s="4" t="s">
        <v>1010</v>
      </c>
      <c r="D3870" s="4" t="s">
        <v>1259</v>
      </c>
      <c r="E3870" s="4" t="s">
        <v>228</v>
      </c>
      <c r="F3870" s="1">
        <v>46121</v>
      </c>
      <c r="G3870" t="str">
        <f t="shared" si="119"/>
        <v>Apr -2026</v>
      </c>
    </row>
    <row r="3871" spans="1:7" x14ac:dyDescent="0.3">
      <c r="A3871" s="4">
        <v>2410824</v>
      </c>
      <c r="B3871" t="s">
        <v>2853</v>
      </c>
      <c r="C3871" s="4" t="s">
        <v>1010</v>
      </c>
      <c r="D3871" s="4" t="s">
        <v>1259</v>
      </c>
      <c r="E3871" s="4" t="s">
        <v>228</v>
      </c>
      <c r="F3871" s="1">
        <v>46121</v>
      </c>
      <c r="G3871" t="str">
        <f t="shared" si="119"/>
        <v>Apr -2026</v>
      </c>
    </row>
    <row r="3872" spans="1:7" x14ac:dyDescent="0.3">
      <c r="A3872" s="4">
        <v>2411014</v>
      </c>
      <c r="B3872" t="s">
        <v>2854</v>
      </c>
      <c r="C3872" s="4" t="s">
        <v>1010</v>
      </c>
      <c r="D3872" s="4" t="s">
        <v>1259</v>
      </c>
      <c r="E3872" s="4" t="s">
        <v>228</v>
      </c>
      <c r="F3872" s="1">
        <v>46121</v>
      </c>
      <c r="G3872" t="str">
        <f t="shared" si="119"/>
        <v>Apr -2026</v>
      </c>
    </row>
    <row r="3873" spans="1:7" x14ac:dyDescent="0.3">
      <c r="A3873" s="4">
        <v>2414906</v>
      </c>
      <c r="B3873" t="s">
        <v>2855</v>
      </c>
      <c r="C3873" s="4" t="s">
        <v>1010</v>
      </c>
      <c r="D3873" s="4" t="s">
        <v>1020</v>
      </c>
      <c r="E3873" s="4" t="s">
        <v>2310</v>
      </c>
      <c r="F3873" s="1">
        <v>46121</v>
      </c>
      <c r="G3873" t="str">
        <f t="shared" si="119"/>
        <v>Apr -2026</v>
      </c>
    </row>
    <row r="3874" spans="1:7" x14ac:dyDescent="0.3">
      <c r="A3874" s="4">
        <v>2394884</v>
      </c>
      <c r="B3874" t="s">
        <v>2856</v>
      </c>
      <c r="C3874" s="4" t="s">
        <v>1010</v>
      </c>
      <c r="D3874" s="4" t="s">
        <v>1020</v>
      </c>
      <c r="E3874" s="4" t="s">
        <v>2310</v>
      </c>
      <c r="F3874" s="1">
        <v>46121</v>
      </c>
      <c r="G3874" t="str">
        <f t="shared" si="119"/>
        <v>Apr -2026</v>
      </c>
    </row>
    <row r="3875" spans="1:7" x14ac:dyDescent="0.3">
      <c r="A3875" s="4">
        <v>2413669</v>
      </c>
      <c r="B3875" t="s">
        <v>2857</v>
      </c>
      <c r="C3875" s="4" t="s">
        <v>1010</v>
      </c>
      <c r="D3875" s="4" t="s">
        <v>1020</v>
      </c>
      <c r="E3875" s="4" t="s">
        <v>435</v>
      </c>
      <c r="F3875" s="1">
        <v>46121</v>
      </c>
      <c r="G3875" t="str">
        <f t="shared" si="119"/>
        <v>Apr -2026</v>
      </c>
    </row>
    <row r="3876" spans="1:7" x14ac:dyDescent="0.3">
      <c r="A3876" s="4">
        <v>2413670</v>
      </c>
      <c r="B3876" t="s">
        <v>2858</v>
      </c>
      <c r="C3876" s="4" t="s">
        <v>1010</v>
      </c>
      <c r="D3876" s="4" t="s">
        <v>1020</v>
      </c>
      <c r="E3876" s="4" t="s">
        <v>435</v>
      </c>
      <c r="F3876" s="1">
        <v>46121</v>
      </c>
      <c r="G3876" t="str">
        <f t="shared" si="119"/>
        <v>Apr -2026</v>
      </c>
    </row>
    <row r="3877" spans="1:7" x14ac:dyDescent="0.3">
      <c r="A3877" s="4">
        <v>2413743</v>
      </c>
      <c r="B3877" t="s">
        <v>2859</v>
      </c>
      <c r="C3877" s="4" t="s">
        <v>1010</v>
      </c>
      <c r="D3877" s="4" t="s">
        <v>1020</v>
      </c>
      <c r="E3877" s="4" t="s">
        <v>435</v>
      </c>
      <c r="F3877" s="1">
        <v>46121</v>
      </c>
      <c r="G3877" t="str">
        <f t="shared" si="119"/>
        <v>Apr -2026</v>
      </c>
    </row>
    <row r="3878" spans="1:7" x14ac:dyDescent="0.3">
      <c r="A3878" s="4">
        <v>2413744</v>
      </c>
      <c r="B3878" t="s">
        <v>2860</v>
      </c>
      <c r="C3878" s="4" t="s">
        <v>1010</v>
      </c>
      <c r="D3878" s="4" t="s">
        <v>1020</v>
      </c>
      <c r="E3878" s="4" t="s">
        <v>435</v>
      </c>
      <c r="F3878" s="1">
        <v>46121</v>
      </c>
      <c r="G3878" t="str">
        <f t="shared" si="119"/>
        <v>Apr -2026</v>
      </c>
    </row>
    <row r="3879" spans="1:7" x14ac:dyDescent="0.3">
      <c r="A3879" s="4">
        <v>2413792</v>
      </c>
      <c r="B3879" t="s">
        <v>2861</v>
      </c>
      <c r="C3879" s="4" t="s">
        <v>1010</v>
      </c>
      <c r="D3879" s="4" t="s">
        <v>1020</v>
      </c>
      <c r="E3879" s="4" t="s">
        <v>435</v>
      </c>
      <c r="F3879" s="1">
        <v>46121</v>
      </c>
      <c r="G3879" t="str">
        <f t="shared" si="119"/>
        <v>Apr -2026</v>
      </c>
    </row>
    <row r="3880" spans="1:7" x14ac:dyDescent="0.3">
      <c r="A3880" s="4">
        <v>2414403</v>
      </c>
      <c r="B3880" t="s">
        <v>2862</v>
      </c>
      <c r="C3880" s="4" t="s">
        <v>1010</v>
      </c>
      <c r="D3880" s="4" t="s">
        <v>1020</v>
      </c>
      <c r="E3880" s="4" t="s">
        <v>435</v>
      </c>
      <c r="F3880" s="1">
        <v>46121</v>
      </c>
      <c r="G3880" t="str">
        <f t="shared" si="119"/>
        <v>Apr -2026</v>
      </c>
    </row>
    <row r="3881" spans="1:7" x14ac:dyDescent="0.3">
      <c r="A3881" s="4">
        <v>2414404</v>
      </c>
      <c r="B3881" t="s">
        <v>2863</v>
      </c>
      <c r="C3881" s="4" t="s">
        <v>1010</v>
      </c>
      <c r="D3881" s="4" t="s">
        <v>1020</v>
      </c>
      <c r="E3881" s="4" t="s">
        <v>435</v>
      </c>
      <c r="F3881" s="1">
        <v>46121</v>
      </c>
      <c r="G3881" t="str">
        <f t="shared" si="119"/>
        <v>Apr -2026</v>
      </c>
    </row>
    <row r="3882" spans="1:7" x14ac:dyDescent="0.3">
      <c r="A3882" s="4">
        <v>2417756</v>
      </c>
      <c r="B3882" t="s">
        <v>2864</v>
      </c>
      <c r="C3882" s="4" t="s">
        <v>1010</v>
      </c>
      <c r="D3882" s="4" t="s">
        <v>209</v>
      </c>
      <c r="E3882" s="4" t="s">
        <v>2983</v>
      </c>
      <c r="F3882" s="1">
        <v>46121</v>
      </c>
      <c r="G3882" t="str">
        <f t="shared" si="119"/>
        <v>Apr -2026</v>
      </c>
    </row>
    <row r="3883" spans="1:7" x14ac:dyDescent="0.3">
      <c r="A3883" s="4">
        <v>100005976</v>
      </c>
      <c r="B3883" t="s">
        <v>2831</v>
      </c>
      <c r="C3883" s="3" t="s">
        <v>1011</v>
      </c>
      <c r="D3883" s="4" t="s">
        <v>2015</v>
      </c>
      <c r="E3883" s="4" t="s">
        <v>2832</v>
      </c>
      <c r="F3883" s="1">
        <v>46121</v>
      </c>
      <c r="G3883" t="str">
        <f t="shared" si="119"/>
        <v>Apr -2026</v>
      </c>
    </row>
    <row r="3884" spans="1:7" x14ac:dyDescent="0.3">
      <c r="A3884" s="4">
        <v>900007174</v>
      </c>
      <c r="B3884" t="s">
        <v>2865</v>
      </c>
      <c r="C3884" s="3" t="s">
        <v>1604</v>
      </c>
      <c r="D3884" s="4" t="s">
        <v>2018</v>
      </c>
      <c r="E3884" s="4" t="s">
        <v>1877</v>
      </c>
      <c r="F3884" s="1">
        <v>46121</v>
      </c>
      <c r="G3884" t="str">
        <f t="shared" si="119"/>
        <v>Apr -2026</v>
      </c>
    </row>
    <row r="3885" spans="1:7" x14ac:dyDescent="0.3">
      <c r="A3885" s="4">
        <v>100005978</v>
      </c>
      <c r="B3885" t="s">
        <v>2866</v>
      </c>
      <c r="C3885" s="3" t="s">
        <v>1011</v>
      </c>
      <c r="D3885" s="4" t="s">
        <v>2015</v>
      </c>
      <c r="E3885" s="4" t="s">
        <v>967</v>
      </c>
      <c r="F3885" s="1">
        <v>46121</v>
      </c>
      <c r="G3885" t="str">
        <f t="shared" si="119"/>
        <v>Apr -2026</v>
      </c>
    </row>
    <row r="3886" spans="1:7" x14ac:dyDescent="0.3">
      <c r="A3886" s="4">
        <v>100005956</v>
      </c>
      <c r="B3886" t="s">
        <v>2866</v>
      </c>
      <c r="C3886" s="3" t="s">
        <v>1011</v>
      </c>
      <c r="D3886" s="4" t="s">
        <v>2015</v>
      </c>
      <c r="E3886" s="4" t="s">
        <v>967</v>
      </c>
      <c r="F3886" s="1">
        <v>46121</v>
      </c>
      <c r="G3886" t="str">
        <f t="shared" si="119"/>
        <v>Apr -2026</v>
      </c>
    </row>
    <row r="3887" spans="1:7" x14ac:dyDescent="0.3">
      <c r="A3887" s="4">
        <v>2413680</v>
      </c>
      <c r="B3887" t="s">
        <v>2852</v>
      </c>
      <c r="C3887" s="4" t="s">
        <v>1010</v>
      </c>
      <c r="D3887" s="4" t="s">
        <v>1020</v>
      </c>
      <c r="E3887" s="4" t="s">
        <v>2310</v>
      </c>
      <c r="F3887" s="1">
        <v>46122</v>
      </c>
      <c r="G3887" t="str">
        <f t="shared" si="119"/>
        <v>Apr -2026</v>
      </c>
    </row>
    <row r="3888" spans="1:7" x14ac:dyDescent="0.3">
      <c r="A3888" s="4">
        <v>2413678</v>
      </c>
      <c r="B3888" t="s">
        <v>2867</v>
      </c>
      <c r="C3888" s="4" t="s">
        <v>1010</v>
      </c>
      <c r="D3888" s="4" t="s">
        <v>1020</v>
      </c>
      <c r="E3888" s="4" t="s">
        <v>2310</v>
      </c>
      <c r="F3888" s="1">
        <v>46122</v>
      </c>
      <c r="G3888" t="str">
        <f t="shared" si="119"/>
        <v>Apr -2026</v>
      </c>
    </row>
    <row r="3889" spans="1:7" x14ac:dyDescent="0.3">
      <c r="A3889" s="4">
        <v>2410718</v>
      </c>
      <c r="B3889" t="s">
        <v>2868</v>
      </c>
      <c r="C3889" s="4" t="s">
        <v>1010</v>
      </c>
      <c r="D3889" s="4" t="s">
        <v>1020</v>
      </c>
      <c r="E3889" s="4" t="s">
        <v>2310</v>
      </c>
      <c r="F3889" s="1">
        <v>46122</v>
      </c>
      <c r="G3889" t="str">
        <f t="shared" si="119"/>
        <v>Apr -2026</v>
      </c>
    </row>
    <row r="3890" spans="1:7" x14ac:dyDescent="0.3">
      <c r="A3890" s="4">
        <v>2413668</v>
      </c>
      <c r="B3890" t="s">
        <v>2869</v>
      </c>
      <c r="C3890" s="4" t="s">
        <v>1010</v>
      </c>
      <c r="D3890" s="4" t="s">
        <v>209</v>
      </c>
      <c r="E3890" s="4" t="s">
        <v>375</v>
      </c>
      <c r="F3890" s="1">
        <v>46122</v>
      </c>
      <c r="G3890" t="str">
        <f t="shared" si="119"/>
        <v>Apr -2026</v>
      </c>
    </row>
    <row r="3891" spans="1:7" x14ac:dyDescent="0.3">
      <c r="A3891" s="4">
        <v>2420233</v>
      </c>
      <c r="B3891" t="s">
        <v>2870</v>
      </c>
      <c r="C3891" s="4" t="s">
        <v>1010</v>
      </c>
      <c r="D3891" s="4" t="s">
        <v>209</v>
      </c>
      <c r="E3891" s="4" t="s">
        <v>375</v>
      </c>
      <c r="F3891" s="1">
        <v>46122</v>
      </c>
      <c r="G3891" t="str">
        <f t="shared" si="119"/>
        <v>Apr -2026</v>
      </c>
    </row>
    <row r="3892" spans="1:7" x14ac:dyDescent="0.3">
      <c r="A3892" s="4">
        <v>2413678</v>
      </c>
      <c r="B3892" t="s">
        <v>2867</v>
      </c>
      <c r="C3892" s="4" t="s">
        <v>1010</v>
      </c>
      <c r="D3892" s="4" t="s">
        <v>1020</v>
      </c>
      <c r="E3892" s="4" t="s">
        <v>2310</v>
      </c>
      <c r="F3892" s="1">
        <v>46122</v>
      </c>
      <c r="G3892" t="str">
        <f t="shared" si="119"/>
        <v>Apr -2026</v>
      </c>
    </row>
    <row r="3893" spans="1:7" x14ac:dyDescent="0.3">
      <c r="A3893" s="4">
        <v>2413400</v>
      </c>
      <c r="B3893" t="s">
        <v>407</v>
      </c>
      <c r="C3893" s="4" t="s">
        <v>1010</v>
      </c>
      <c r="D3893" s="4" t="s">
        <v>1020</v>
      </c>
      <c r="E3893" s="4" t="s">
        <v>338</v>
      </c>
      <c r="F3893" s="1">
        <v>46122</v>
      </c>
      <c r="G3893" t="str">
        <f t="shared" si="119"/>
        <v>Apr -2026</v>
      </c>
    </row>
    <row r="3894" spans="1:7" x14ac:dyDescent="0.3">
      <c r="A3894" s="4">
        <v>2413488</v>
      </c>
      <c r="B3894" t="s">
        <v>407</v>
      </c>
      <c r="C3894" s="4" t="s">
        <v>1010</v>
      </c>
      <c r="D3894" s="4" t="s">
        <v>1020</v>
      </c>
      <c r="E3894" s="4" t="s">
        <v>338</v>
      </c>
      <c r="F3894" s="1">
        <v>46122</v>
      </c>
      <c r="G3894" t="str">
        <f t="shared" si="119"/>
        <v>Apr -2026</v>
      </c>
    </row>
    <row r="3895" spans="1:7" x14ac:dyDescent="0.3">
      <c r="A3895" s="4">
        <v>2417378</v>
      </c>
      <c r="B3895" t="s">
        <v>2871</v>
      </c>
      <c r="C3895" s="4" t="s">
        <v>1010</v>
      </c>
      <c r="D3895" s="4" t="s">
        <v>1020</v>
      </c>
      <c r="E3895" s="4" t="s">
        <v>2028</v>
      </c>
      <c r="F3895" s="1">
        <v>46122</v>
      </c>
      <c r="G3895" t="str">
        <f t="shared" si="119"/>
        <v>Apr -2026</v>
      </c>
    </row>
    <row r="3896" spans="1:7" x14ac:dyDescent="0.3">
      <c r="A3896" s="4">
        <v>2417380</v>
      </c>
      <c r="B3896" t="s">
        <v>2872</v>
      </c>
      <c r="C3896" s="4" t="s">
        <v>1010</v>
      </c>
      <c r="D3896" s="4" t="s">
        <v>1020</v>
      </c>
      <c r="E3896" s="4" t="s">
        <v>2028</v>
      </c>
      <c r="F3896" s="1">
        <v>46122</v>
      </c>
      <c r="G3896" t="str">
        <f t="shared" si="119"/>
        <v>Apr -2026</v>
      </c>
    </row>
    <row r="3897" spans="1:7" x14ac:dyDescent="0.3">
      <c r="A3897" s="4">
        <v>2417435</v>
      </c>
      <c r="B3897" t="s">
        <v>2873</v>
      </c>
      <c r="C3897" s="4" t="s">
        <v>1010</v>
      </c>
      <c r="D3897" s="4" t="s">
        <v>1020</v>
      </c>
      <c r="E3897" s="4" t="s">
        <v>2028</v>
      </c>
      <c r="F3897" s="1">
        <v>46122</v>
      </c>
      <c r="G3897" t="str">
        <f t="shared" si="119"/>
        <v>Apr -2026</v>
      </c>
    </row>
    <row r="3898" spans="1:7" x14ac:dyDescent="0.3">
      <c r="A3898" s="4">
        <v>2417437</v>
      </c>
      <c r="B3898" t="s">
        <v>2874</v>
      </c>
      <c r="C3898" s="4" t="s">
        <v>1010</v>
      </c>
      <c r="D3898" s="4" t="s">
        <v>1020</v>
      </c>
      <c r="E3898" s="4" t="s">
        <v>2028</v>
      </c>
      <c r="F3898" s="1">
        <v>46122</v>
      </c>
      <c r="G3898" t="str">
        <f t="shared" si="119"/>
        <v>Apr -2026</v>
      </c>
    </row>
    <row r="3899" spans="1:7" x14ac:dyDescent="0.3">
      <c r="A3899" s="4">
        <v>2417466</v>
      </c>
      <c r="B3899" t="s">
        <v>2875</v>
      </c>
      <c r="C3899" s="4" t="s">
        <v>1010</v>
      </c>
      <c r="D3899" s="4" t="s">
        <v>1020</v>
      </c>
      <c r="E3899" s="4" t="s">
        <v>2028</v>
      </c>
      <c r="F3899" s="1">
        <v>46122</v>
      </c>
      <c r="G3899" t="str">
        <f t="shared" si="119"/>
        <v>Apr -2026</v>
      </c>
    </row>
    <row r="3900" spans="1:7" x14ac:dyDescent="0.3">
      <c r="A3900" s="4">
        <v>2417471</v>
      </c>
      <c r="B3900" t="s">
        <v>2876</v>
      </c>
      <c r="C3900" s="4" t="s">
        <v>1010</v>
      </c>
      <c r="D3900" s="4" t="s">
        <v>1020</v>
      </c>
      <c r="E3900" s="4" t="s">
        <v>2028</v>
      </c>
      <c r="F3900" s="1">
        <v>46122</v>
      </c>
      <c r="G3900" t="str">
        <f t="shared" si="119"/>
        <v>Apr -2026</v>
      </c>
    </row>
    <row r="3901" spans="1:7" x14ac:dyDescent="0.3">
      <c r="A3901" s="4">
        <v>2417491</v>
      </c>
      <c r="B3901" t="s">
        <v>2877</v>
      </c>
      <c r="C3901" s="4" t="s">
        <v>1010</v>
      </c>
      <c r="D3901" s="4" t="s">
        <v>1020</v>
      </c>
      <c r="E3901" s="4" t="s">
        <v>2028</v>
      </c>
      <c r="F3901" s="1">
        <v>46122</v>
      </c>
      <c r="G3901" t="str">
        <f t="shared" si="119"/>
        <v>Apr -2026</v>
      </c>
    </row>
    <row r="3902" spans="1:7" x14ac:dyDescent="0.3">
      <c r="A3902" s="4">
        <v>2417501</v>
      </c>
      <c r="B3902" t="s">
        <v>2878</v>
      </c>
      <c r="C3902" s="4" t="s">
        <v>1010</v>
      </c>
      <c r="D3902" s="4" t="s">
        <v>1020</v>
      </c>
      <c r="E3902" s="4" t="s">
        <v>2028</v>
      </c>
      <c r="F3902" s="1">
        <v>46122</v>
      </c>
      <c r="G3902" t="str">
        <f t="shared" si="119"/>
        <v>Apr -2026</v>
      </c>
    </row>
    <row r="3903" spans="1:7" x14ac:dyDescent="0.3">
      <c r="A3903" s="4">
        <v>2413715</v>
      </c>
      <c r="B3903" t="s">
        <v>2879</v>
      </c>
      <c r="C3903" s="4" t="s">
        <v>1010</v>
      </c>
      <c r="D3903" s="4" t="s">
        <v>1259</v>
      </c>
      <c r="E3903" s="4" t="s">
        <v>228</v>
      </c>
      <c r="F3903" s="1">
        <v>46122</v>
      </c>
      <c r="G3903" t="str">
        <f t="shared" si="119"/>
        <v>Apr -2026</v>
      </c>
    </row>
    <row r="3904" spans="1:7" x14ac:dyDescent="0.3">
      <c r="A3904" s="4">
        <v>2417288</v>
      </c>
      <c r="B3904" t="s">
        <v>2880</v>
      </c>
      <c r="C3904" s="4" t="s">
        <v>1010</v>
      </c>
      <c r="D3904" s="4" t="s">
        <v>1020</v>
      </c>
      <c r="E3904" s="4" t="s">
        <v>2028</v>
      </c>
      <c r="F3904" s="1">
        <v>46122</v>
      </c>
      <c r="G3904" t="str">
        <f t="shared" si="119"/>
        <v>Apr -2026</v>
      </c>
    </row>
    <row r="3905" spans="1:7" x14ac:dyDescent="0.3">
      <c r="A3905" s="4">
        <v>100005956</v>
      </c>
      <c r="B3905" t="s">
        <v>2866</v>
      </c>
      <c r="C3905" s="3" t="s">
        <v>1011</v>
      </c>
      <c r="D3905" s="4" t="s">
        <v>2015</v>
      </c>
      <c r="E3905" s="4" t="s">
        <v>967</v>
      </c>
      <c r="F3905" s="1">
        <v>46122</v>
      </c>
      <c r="G3905" t="str">
        <f t="shared" si="119"/>
        <v>Apr -2026</v>
      </c>
    </row>
    <row r="3906" spans="1:7" x14ac:dyDescent="0.3">
      <c r="A3906" s="4">
        <v>2414403</v>
      </c>
      <c r="B3906" t="s">
        <v>2862</v>
      </c>
      <c r="C3906" s="3" t="s">
        <v>1604</v>
      </c>
      <c r="D3906" s="4" t="s">
        <v>2031</v>
      </c>
      <c r="E3906" s="4" t="s">
        <v>2310</v>
      </c>
      <c r="F3906" s="1">
        <v>46122</v>
      </c>
      <c r="G3906" t="str">
        <f t="shared" si="119"/>
        <v>Apr -2026</v>
      </c>
    </row>
    <row r="3907" spans="1:7" x14ac:dyDescent="0.3">
      <c r="A3907" s="4">
        <v>900007176</v>
      </c>
      <c r="B3907" t="s">
        <v>2833</v>
      </c>
      <c r="C3907" s="3" t="s">
        <v>1604</v>
      </c>
      <c r="D3907" s="4" t="s">
        <v>2031</v>
      </c>
      <c r="E3907" s="4" t="s">
        <v>1877</v>
      </c>
      <c r="F3907" s="1">
        <v>46122</v>
      </c>
      <c r="G3907" t="str">
        <f t="shared" si="119"/>
        <v>Apr -2026</v>
      </c>
    </row>
    <row r="3908" spans="1:7" x14ac:dyDescent="0.3">
      <c r="A3908" s="4">
        <v>900007196</v>
      </c>
      <c r="B3908" t="s">
        <v>2411</v>
      </c>
      <c r="C3908" s="3" t="s">
        <v>1604</v>
      </c>
      <c r="D3908" s="4" t="s">
        <v>2031</v>
      </c>
      <c r="E3908" s="4" t="s">
        <v>1877</v>
      </c>
      <c r="F3908" s="1">
        <v>46122</v>
      </c>
      <c r="G3908" t="str">
        <f t="shared" si="119"/>
        <v>Apr -2026</v>
      </c>
    </row>
    <row r="3909" spans="1:7" x14ac:dyDescent="0.3">
      <c r="A3909" s="4">
        <v>900007223</v>
      </c>
      <c r="B3909" t="s">
        <v>2881</v>
      </c>
      <c r="C3909" s="3" t="s">
        <v>1604</v>
      </c>
      <c r="D3909" s="4" t="s">
        <v>2031</v>
      </c>
      <c r="E3909" s="4" t="s">
        <v>1877</v>
      </c>
      <c r="F3909" s="1">
        <v>46122</v>
      </c>
      <c r="G3909" t="str">
        <f t="shared" si="119"/>
        <v>Apr -2026</v>
      </c>
    </row>
    <row r="3910" spans="1:7" x14ac:dyDescent="0.3">
      <c r="A3910" s="4">
        <v>100005996</v>
      </c>
      <c r="B3910" t="s">
        <v>2882</v>
      </c>
      <c r="C3910" s="3" t="s">
        <v>1011</v>
      </c>
      <c r="D3910" s="4" t="s">
        <v>2015</v>
      </c>
      <c r="E3910" s="4" t="s">
        <v>967</v>
      </c>
      <c r="F3910" s="1">
        <v>46122</v>
      </c>
      <c r="G3910" t="str">
        <f t="shared" si="119"/>
        <v>Apr -2026</v>
      </c>
    </row>
    <row r="3911" spans="1:7" x14ac:dyDescent="0.3">
      <c r="A3911" s="4">
        <v>900007190</v>
      </c>
      <c r="B3911" t="s">
        <v>2883</v>
      </c>
      <c r="C3911" s="3" t="s">
        <v>1604</v>
      </c>
      <c r="D3911" s="4" t="s">
        <v>2018</v>
      </c>
      <c r="E3911" s="4" t="s">
        <v>1877</v>
      </c>
      <c r="F3911" s="1">
        <v>46122</v>
      </c>
      <c r="G3911" t="str">
        <f t="shared" si="119"/>
        <v>Apr -2026</v>
      </c>
    </row>
    <row r="3912" spans="1:7" x14ac:dyDescent="0.3">
      <c r="A3912" s="4">
        <v>2417288</v>
      </c>
      <c r="B3912" t="s">
        <v>2880</v>
      </c>
      <c r="C3912" s="4" t="s">
        <v>1010</v>
      </c>
      <c r="D3912" s="4" t="s">
        <v>1020</v>
      </c>
      <c r="E3912" s="4" t="s">
        <v>2028</v>
      </c>
      <c r="F3912" s="1">
        <v>46125</v>
      </c>
      <c r="G3912" t="str">
        <f t="shared" si="119"/>
        <v>Apr -2026</v>
      </c>
    </row>
    <row r="3913" spans="1:7" x14ac:dyDescent="0.3">
      <c r="A3913" s="4">
        <v>2417378</v>
      </c>
      <c r="B3913" t="s">
        <v>2871</v>
      </c>
      <c r="C3913" s="4" t="s">
        <v>1010</v>
      </c>
      <c r="D3913" s="4" t="s">
        <v>1020</v>
      </c>
      <c r="E3913" s="4" t="s">
        <v>2028</v>
      </c>
      <c r="F3913" s="1">
        <v>46125</v>
      </c>
      <c r="G3913" t="str">
        <f t="shared" si="119"/>
        <v>Apr -2026</v>
      </c>
    </row>
    <row r="3914" spans="1:7" x14ac:dyDescent="0.3">
      <c r="A3914" s="4">
        <v>2417380</v>
      </c>
      <c r="B3914" t="s">
        <v>2872</v>
      </c>
      <c r="C3914" s="4" t="s">
        <v>1010</v>
      </c>
      <c r="D3914" s="4" t="s">
        <v>1020</v>
      </c>
      <c r="E3914" s="4" t="s">
        <v>2028</v>
      </c>
      <c r="F3914" s="1">
        <v>46125</v>
      </c>
      <c r="G3914" t="str">
        <f t="shared" si="119"/>
        <v>Apr -2026</v>
      </c>
    </row>
    <row r="3915" spans="1:7" x14ac:dyDescent="0.3">
      <c r="A3915" s="4">
        <v>2417435</v>
      </c>
      <c r="B3915" t="s">
        <v>2873</v>
      </c>
      <c r="C3915" s="4" t="s">
        <v>1010</v>
      </c>
      <c r="D3915" s="4" t="s">
        <v>1020</v>
      </c>
      <c r="E3915" s="4" t="s">
        <v>2028</v>
      </c>
      <c r="F3915" s="1">
        <v>46125</v>
      </c>
      <c r="G3915" t="str">
        <f t="shared" si="119"/>
        <v>Apr -2026</v>
      </c>
    </row>
    <row r="3916" spans="1:7" x14ac:dyDescent="0.3">
      <c r="A3916" s="4">
        <v>2417437</v>
      </c>
      <c r="B3916" t="s">
        <v>2874</v>
      </c>
      <c r="C3916" s="4" t="s">
        <v>1010</v>
      </c>
      <c r="D3916" s="4" t="s">
        <v>1020</v>
      </c>
      <c r="E3916" s="4" t="s">
        <v>2028</v>
      </c>
      <c r="F3916" s="1">
        <v>46125</v>
      </c>
      <c r="G3916" t="str">
        <f t="shared" si="119"/>
        <v>Apr -2026</v>
      </c>
    </row>
    <row r="3917" spans="1:7" x14ac:dyDescent="0.3">
      <c r="A3917" s="4">
        <v>2417466</v>
      </c>
      <c r="B3917" t="s">
        <v>2875</v>
      </c>
      <c r="C3917" s="4" t="s">
        <v>1010</v>
      </c>
      <c r="D3917" s="4" t="s">
        <v>1020</v>
      </c>
      <c r="E3917" s="4" t="s">
        <v>2028</v>
      </c>
      <c r="F3917" s="1">
        <v>46125</v>
      </c>
      <c r="G3917" t="str">
        <f t="shared" si="119"/>
        <v>Apr -2026</v>
      </c>
    </row>
    <row r="3918" spans="1:7" x14ac:dyDescent="0.3">
      <c r="A3918" s="4">
        <v>2417471</v>
      </c>
      <c r="B3918" t="s">
        <v>2876</v>
      </c>
      <c r="C3918" s="4" t="s">
        <v>1010</v>
      </c>
      <c r="D3918" s="4" t="s">
        <v>1020</v>
      </c>
      <c r="E3918" s="4" t="s">
        <v>2028</v>
      </c>
      <c r="F3918" s="1">
        <v>46125</v>
      </c>
      <c r="G3918" t="str">
        <f t="shared" ref="G3918:G3962" si="120">TEXT(F3918,"mmm -YYYY")</f>
        <v>Apr -2026</v>
      </c>
    </row>
    <row r="3919" spans="1:7" x14ac:dyDescent="0.3">
      <c r="A3919" s="4">
        <v>2417491</v>
      </c>
      <c r="B3919" t="s">
        <v>2877</v>
      </c>
      <c r="C3919" s="4" t="s">
        <v>1010</v>
      </c>
      <c r="D3919" s="4" t="s">
        <v>1020</v>
      </c>
      <c r="E3919" s="4" t="s">
        <v>2028</v>
      </c>
      <c r="F3919" s="1">
        <v>46125</v>
      </c>
      <c r="G3919" t="str">
        <f t="shared" si="120"/>
        <v>Apr -2026</v>
      </c>
    </row>
    <row r="3920" spans="1:7" x14ac:dyDescent="0.3">
      <c r="A3920" s="4">
        <v>2417501</v>
      </c>
      <c r="B3920" t="s">
        <v>2878</v>
      </c>
      <c r="C3920" s="4" t="s">
        <v>1010</v>
      </c>
      <c r="D3920" s="4" t="s">
        <v>1020</v>
      </c>
      <c r="E3920" s="4" t="s">
        <v>2028</v>
      </c>
      <c r="F3920" s="1">
        <v>46125</v>
      </c>
      <c r="G3920" t="str">
        <f t="shared" si="120"/>
        <v>Apr -2026</v>
      </c>
    </row>
    <row r="3921" spans="1:7" x14ac:dyDescent="0.3">
      <c r="A3921" s="4">
        <v>2420412</v>
      </c>
      <c r="B3921" t="s">
        <v>2884</v>
      </c>
      <c r="C3921" s="4" t="s">
        <v>1010</v>
      </c>
      <c r="D3921" s="4" t="s">
        <v>1020</v>
      </c>
      <c r="E3921" s="4" t="s">
        <v>2310</v>
      </c>
      <c r="F3921" s="1">
        <v>46125</v>
      </c>
      <c r="G3921" t="str">
        <f t="shared" si="120"/>
        <v>Apr -2026</v>
      </c>
    </row>
    <row r="3922" spans="1:7" x14ac:dyDescent="0.3">
      <c r="A3922" s="4">
        <v>2425858</v>
      </c>
      <c r="B3922" t="s">
        <v>2885</v>
      </c>
      <c r="C3922" s="4" t="s">
        <v>1010</v>
      </c>
      <c r="D3922" s="4" t="s">
        <v>1259</v>
      </c>
      <c r="E3922" s="4" t="s">
        <v>228</v>
      </c>
      <c r="F3922" s="1">
        <v>46125</v>
      </c>
      <c r="G3922" t="str">
        <f t="shared" si="120"/>
        <v>Apr -2026</v>
      </c>
    </row>
    <row r="3923" spans="1:7" x14ac:dyDescent="0.3">
      <c r="A3923" s="4">
        <v>2426813</v>
      </c>
      <c r="B3923" t="s">
        <v>2886</v>
      </c>
      <c r="C3923" s="4" t="s">
        <v>1010</v>
      </c>
      <c r="D3923" s="4" t="s">
        <v>209</v>
      </c>
      <c r="E3923" s="4" t="s">
        <v>375</v>
      </c>
      <c r="F3923" s="1">
        <v>46125</v>
      </c>
      <c r="G3923" t="str">
        <f t="shared" si="120"/>
        <v>Apr -2026</v>
      </c>
    </row>
    <row r="3924" spans="1:7" x14ac:dyDescent="0.3">
      <c r="A3924" s="4">
        <v>2421208</v>
      </c>
      <c r="B3924" t="s">
        <v>2887</v>
      </c>
      <c r="C3924" s="4" t="s">
        <v>1010</v>
      </c>
      <c r="D3924" s="4" t="s">
        <v>1259</v>
      </c>
      <c r="E3924" s="4" t="s">
        <v>228</v>
      </c>
      <c r="F3924" s="1">
        <v>46125</v>
      </c>
      <c r="G3924" t="str">
        <f t="shared" si="120"/>
        <v>Apr -2026</v>
      </c>
    </row>
    <row r="3925" spans="1:7" x14ac:dyDescent="0.3">
      <c r="A3925" s="4">
        <v>2427241</v>
      </c>
      <c r="B3925" t="s">
        <v>2888</v>
      </c>
      <c r="C3925" s="4" t="s">
        <v>1010</v>
      </c>
      <c r="D3925" s="4" t="s">
        <v>209</v>
      </c>
      <c r="E3925" s="4" t="s">
        <v>291</v>
      </c>
      <c r="F3925" s="1">
        <v>46125</v>
      </c>
      <c r="G3925" t="str">
        <f t="shared" si="120"/>
        <v>Apr -2026</v>
      </c>
    </row>
    <row r="3926" spans="1:7" x14ac:dyDescent="0.3">
      <c r="A3926" s="4">
        <v>2426738</v>
      </c>
      <c r="B3926" t="s">
        <v>2889</v>
      </c>
      <c r="C3926" s="4" t="s">
        <v>1010</v>
      </c>
      <c r="D3926" s="4" t="s">
        <v>364</v>
      </c>
      <c r="E3926" s="4" t="s">
        <v>15</v>
      </c>
      <c r="F3926" s="1">
        <v>46125</v>
      </c>
      <c r="G3926" t="str">
        <f t="shared" si="120"/>
        <v>Apr -2026</v>
      </c>
    </row>
    <row r="3927" spans="1:7" x14ac:dyDescent="0.3">
      <c r="A3927" s="4">
        <v>2421060</v>
      </c>
      <c r="B3927" t="s">
        <v>2890</v>
      </c>
      <c r="C3927" s="4" t="s">
        <v>1010</v>
      </c>
      <c r="D3927" s="4" t="s">
        <v>1259</v>
      </c>
      <c r="E3927" s="4" t="s">
        <v>228</v>
      </c>
      <c r="F3927" s="1">
        <v>46125</v>
      </c>
      <c r="G3927" t="str">
        <f t="shared" si="120"/>
        <v>Apr -2026</v>
      </c>
    </row>
    <row r="3928" spans="1:7" x14ac:dyDescent="0.3">
      <c r="A3928" s="4">
        <v>2421136</v>
      </c>
      <c r="B3928" t="s">
        <v>2891</v>
      </c>
      <c r="C3928" s="4" t="s">
        <v>1010</v>
      </c>
      <c r="D3928" s="4" t="s">
        <v>1259</v>
      </c>
      <c r="E3928" s="4" t="s">
        <v>228</v>
      </c>
      <c r="F3928" s="1">
        <v>46125</v>
      </c>
      <c r="G3928" t="str">
        <f t="shared" si="120"/>
        <v>Apr -2026</v>
      </c>
    </row>
    <row r="3929" spans="1:7" x14ac:dyDescent="0.3">
      <c r="A3929" s="4">
        <v>2427290</v>
      </c>
      <c r="B3929" t="s">
        <v>2892</v>
      </c>
      <c r="C3929" s="4" t="s">
        <v>1010</v>
      </c>
      <c r="D3929" s="4" t="s">
        <v>1020</v>
      </c>
      <c r="E3929" s="4" t="s">
        <v>2310</v>
      </c>
      <c r="F3929" s="1">
        <v>46125</v>
      </c>
      <c r="G3929" t="str">
        <f t="shared" si="120"/>
        <v>Apr -2026</v>
      </c>
    </row>
    <row r="3930" spans="1:7" x14ac:dyDescent="0.3">
      <c r="A3930" s="4">
        <v>2417999</v>
      </c>
      <c r="B3930" t="s">
        <v>2893</v>
      </c>
      <c r="C3930" s="4" t="s">
        <v>1010</v>
      </c>
      <c r="D3930" s="4" t="s">
        <v>1020</v>
      </c>
      <c r="E3930" s="4" t="s">
        <v>2028</v>
      </c>
      <c r="F3930" s="1">
        <v>46125</v>
      </c>
      <c r="G3930" t="str">
        <f t="shared" si="120"/>
        <v>Apr -2026</v>
      </c>
    </row>
    <row r="3931" spans="1:7" x14ac:dyDescent="0.3">
      <c r="A3931" s="4">
        <v>2426996</v>
      </c>
      <c r="B3931" t="s">
        <v>2894</v>
      </c>
      <c r="C3931" s="4" t="s">
        <v>1010</v>
      </c>
      <c r="D3931" s="4" t="s">
        <v>1020</v>
      </c>
      <c r="E3931" s="4" t="s">
        <v>435</v>
      </c>
      <c r="F3931" s="1">
        <v>46125</v>
      </c>
      <c r="G3931" t="str">
        <f t="shared" si="120"/>
        <v>Apr -2026</v>
      </c>
    </row>
    <row r="3932" spans="1:7" x14ac:dyDescent="0.3">
      <c r="A3932" s="4">
        <v>2427002</v>
      </c>
      <c r="B3932" t="s">
        <v>2895</v>
      </c>
      <c r="C3932" s="4" t="s">
        <v>1010</v>
      </c>
      <c r="D3932" s="4" t="s">
        <v>1020</v>
      </c>
      <c r="E3932" s="4" t="s">
        <v>435</v>
      </c>
      <c r="F3932" s="1">
        <v>46125</v>
      </c>
      <c r="G3932" t="str">
        <f t="shared" si="120"/>
        <v>Apr -2026</v>
      </c>
    </row>
    <row r="3933" spans="1:7" x14ac:dyDescent="0.3">
      <c r="A3933" s="4">
        <v>2426870</v>
      </c>
      <c r="B3933" t="s">
        <v>2896</v>
      </c>
      <c r="C3933" s="4" t="s">
        <v>1010</v>
      </c>
      <c r="D3933" s="4" t="s">
        <v>1020</v>
      </c>
      <c r="E3933" s="4" t="s">
        <v>435</v>
      </c>
      <c r="F3933" s="1">
        <v>46125</v>
      </c>
      <c r="G3933" t="str">
        <f t="shared" si="120"/>
        <v>Apr -2026</v>
      </c>
    </row>
    <row r="3934" spans="1:7" x14ac:dyDescent="0.3">
      <c r="A3934" s="4">
        <v>900007218</v>
      </c>
      <c r="B3934" t="s">
        <v>2897</v>
      </c>
      <c r="C3934" s="4" t="s">
        <v>1010</v>
      </c>
      <c r="D3934" s="4" t="s">
        <v>1551</v>
      </c>
      <c r="E3934" s="4" t="s">
        <v>1877</v>
      </c>
      <c r="F3934" s="1">
        <v>46125</v>
      </c>
      <c r="G3934" t="str">
        <f t="shared" si="120"/>
        <v>Apr -2026</v>
      </c>
    </row>
    <row r="3935" spans="1:7" x14ac:dyDescent="0.3">
      <c r="A3935" s="4">
        <v>900007240</v>
      </c>
      <c r="B3935" t="s">
        <v>2898</v>
      </c>
      <c r="C3935" s="4" t="s">
        <v>1010</v>
      </c>
      <c r="D3935" s="4" t="s">
        <v>1551</v>
      </c>
      <c r="E3935" s="4" t="s">
        <v>1877</v>
      </c>
      <c r="F3935" s="1">
        <v>46125</v>
      </c>
      <c r="G3935" t="str">
        <f t="shared" si="120"/>
        <v>Apr -2026</v>
      </c>
    </row>
    <row r="3936" spans="1:7" x14ac:dyDescent="0.3">
      <c r="A3936" s="4">
        <v>2417152</v>
      </c>
      <c r="B3936" t="s">
        <v>2899</v>
      </c>
      <c r="C3936" s="4" t="s">
        <v>1010</v>
      </c>
      <c r="D3936" s="4" t="s">
        <v>1020</v>
      </c>
      <c r="E3936" s="4" t="s">
        <v>2310</v>
      </c>
      <c r="F3936" s="1">
        <v>46125</v>
      </c>
      <c r="G3936" t="str">
        <f t="shared" si="120"/>
        <v>Apr -2026</v>
      </c>
    </row>
    <row r="3937" spans="1:7" x14ac:dyDescent="0.3">
      <c r="A3937" s="4">
        <v>2410391</v>
      </c>
      <c r="B3937" t="s">
        <v>2900</v>
      </c>
      <c r="C3937" s="4" t="s">
        <v>1010</v>
      </c>
      <c r="D3937" s="4" t="s">
        <v>1020</v>
      </c>
      <c r="E3937" s="4" t="s">
        <v>2028</v>
      </c>
      <c r="F3937" s="1">
        <v>46125</v>
      </c>
      <c r="G3937" t="str">
        <f t="shared" si="120"/>
        <v>Apr -2026</v>
      </c>
    </row>
    <row r="3938" spans="1:7" x14ac:dyDescent="0.3">
      <c r="A3938" s="4">
        <v>2417433</v>
      </c>
      <c r="B3938" t="s">
        <v>2901</v>
      </c>
      <c r="C3938" s="4" t="s">
        <v>1010</v>
      </c>
      <c r="D3938" s="4" t="s">
        <v>1020</v>
      </c>
      <c r="E3938" s="4" t="s">
        <v>2028</v>
      </c>
      <c r="F3938" s="1">
        <v>46125</v>
      </c>
      <c r="G3938" t="str">
        <f t="shared" si="120"/>
        <v>Apr -2026</v>
      </c>
    </row>
    <row r="3939" spans="1:7" x14ac:dyDescent="0.3">
      <c r="A3939" s="4">
        <v>900007262</v>
      </c>
      <c r="B3939" t="s">
        <v>2902</v>
      </c>
      <c r="C3939" s="4" t="s">
        <v>1010</v>
      </c>
      <c r="D3939" s="4" t="s">
        <v>209</v>
      </c>
      <c r="E3939" s="4" t="s">
        <v>1877</v>
      </c>
      <c r="F3939" s="1">
        <v>46125</v>
      </c>
      <c r="G3939" t="str">
        <f t="shared" si="120"/>
        <v>Apr -2026</v>
      </c>
    </row>
    <row r="3940" spans="1:7" x14ac:dyDescent="0.3">
      <c r="A3940" s="4">
        <v>100006005</v>
      </c>
      <c r="B3940" t="s">
        <v>2903</v>
      </c>
      <c r="C3940" s="3" t="s">
        <v>1011</v>
      </c>
      <c r="D3940" s="4" t="s">
        <v>2015</v>
      </c>
      <c r="E3940" s="4" t="s">
        <v>981</v>
      </c>
      <c r="F3940" s="1">
        <v>46125</v>
      </c>
      <c r="G3940" t="str">
        <f t="shared" si="120"/>
        <v>Apr -2026</v>
      </c>
    </row>
    <row r="3941" spans="1:7" x14ac:dyDescent="0.3">
      <c r="A3941" s="4">
        <v>100006021</v>
      </c>
      <c r="B3941" t="s">
        <v>2904</v>
      </c>
      <c r="C3941" s="3" t="s">
        <v>1011</v>
      </c>
      <c r="D3941" s="4" t="s">
        <v>2015</v>
      </c>
      <c r="E3941" s="4" t="s">
        <v>1569</v>
      </c>
      <c r="F3941" s="1">
        <v>46125</v>
      </c>
      <c r="G3941" t="str">
        <f t="shared" si="120"/>
        <v>Apr -2026</v>
      </c>
    </row>
    <row r="3942" spans="1:7" x14ac:dyDescent="0.3">
      <c r="A3942" s="4">
        <v>2429031</v>
      </c>
      <c r="B3942" t="s">
        <v>2905</v>
      </c>
      <c r="C3942" s="4" t="s">
        <v>1010</v>
      </c>
      <c r="D3942" s="4" t="s">
        <v>209</v>
      </c>
      <c r="E3942" s="4" t="s">
        <v>210</v>
      </c>
      <c r="F3942" s="1">
        <v>46126</v>
      </c>
      <c r="G3942" t="str">
        <f t="shared" si="120"/>
        <v>Apr -2026</v>
      </c>
    </row>
    <row r="3943" spans="1:7" x14ac:dyDescent="0.3">
      <c r="A3943" s="4">
        <v>2428419</v>
      </c>
      <c r="B3943" t="s">
        <v>2906</v>
      </c>
      <c r="C3943" s="4" t="s">
        <v>1010</v>
      </c>
      <c r="D3943" s="4" t="s">
        <v>209</v>
      </c>
      <c r="E3943" s="4" t="s">
        <v>210</v>
      </c>
      <c r="F3943" s="1">
        <v>46126</v>
      </c>
      <c r="G3943" t="str">
        <f t="shared" si="120"/>
        <v>Apr -2026</v>
      </c>
    </row>
    <row r="3944" spans="1:7" x14ac:dyDescent="0.3">
      <c r="A3944" s="4">
        <v>2428732</v>
      </c>
      <c r="B3944" t="s">
        <v>2907</v>
      </c>
      <c r="C3944" s="4" t="s">
        <v>1010</v>
      </c>
      <c r="D3944" s="4" t="s">
        <v>209</v>
      </c>
      <c r="E3944" s="4" t="s">
        <v>210</v>
      </c>
      <c r="F3944" s="1">
        <v>46126</v>
      </c>
      <c r="G3944" t="str">
        <f t="shared" si="120"/>
        <v>Apr -2026</v>
      </c>
    </row>
    <row r="3945" spans="1:7" x14ac:dyDescent="0.3">
      <c r="A3945" s="4">
        <v>2426957</v>
      </c>
      <c r="B3945" t="s">
        <v>2908</v>
      </c>
      <c r="C3945" s="4" t="s">
        <v>1010</v>
      </c>
      <c r="D3945" s="4" t="s">
        <v>1020</v>
      </c>
      <c r="E3945" s="4" t="s">
        <v>2028</v>
      </c>
      <c r="F3945" s="1">
        <v>46126</v>
      </c>
      <c r="G3945" t="str">
        <f t="shared" si="120"/>
        <v>Apr -2026</v>
      </c>
    </row>
    <row r="3946" spans="1:7" x14ac:dyDescent="0.3">
      <c r="A3946" s="4">
        <v>2427341</v>
      </c>
      <c r="B3946" t="s">
        <v>2909</v>
      </c>
      <c r="C3946" s="4" t="s">
        <v>1010</v>
      </c>
      <c r="D3946" s="4" t="s">
        <v>1020</v>
      </c>
      <c r="E3946" s="4" t="s">
        <v>2028</v>
      </c>
      <c r="F3946" s="1">
        <v>46126</v>
      </c>
      <c r="G3946" t="str">
        <f t="shared" si="120"/>
        <v>Apr -2026</v>
      </c>
    </row>
    <row r="3947" spans="1:7" x14ac:dyDescent="0.3">
      <c r="A3947" s="4">
        <v>2427305</v>
      </c>
      <c r="B3947" t="s">
        <v>2910</v>
      </c>
      <c r="C3947" s="4" t="s">
        <v>1010</v>
      </c>
      <c r="D3947" s="4" t="s">
        <v>1020</v>
      </c>
      <c r="E3947" s="4" t="s">
        <v>2028</v>
      </c>
      <c r="F3947" s="1">
        <v>46126</v>
      </c>
      <c r="G3947" t="str">
        <f t="shared" si="120"/>
        <v>Apr -2026</v>
      </c>
    </row>
    <row r="3948" spans="1:7" x14ac:dyDescent="0.3">
      <c r="A3948" s="4">
        <v>2429487</v>
      </c>
      <c r="B3948" t="s">
        <v>2911</v>
      </c>
      <c r="C3948" s="4" t="s">
        <v>1010</v>
      </c>
      <c r="D3948" s="4" t="s">
        <v>1020</v>
      </c>
      <c r="E3948" s="4" t="s">
        <v>2310</v>
      </c>
      <c r="F3948" s="1">
        <v>46126</v>
      </c>
      <c r="G3948" t="str">
        <f t="shared" si="120"/>
        <v>Apr -2026</v>
      </c>
    </row>
    <row r="3949" spans="1:7" x14ac:dyDescent="0.3">
      <c r="A3949" s="4">
        <v>2429741</v>
      </c>
      <c r="B3949" t="s">
        <v>2912</v>
      </c>
      <c r="C3949" s="4" t="s">
        <v>1010</v>
      </c>
      <c r="D3949" s="4" t="s">
        <v>1020</v>
      </c>
      <c r="E3949" s="4" t="s">
        <v>2310</v>
      </c>
      <c r="F3949" s="1">
        <v>46126</v>
      </c>
      <c r="G3949" t="str">
        <f t="shared" si="120"/>
        <v>Apr -2026</v>
      </c>
    </row>
    <row r="3950" spans="1:7" x14ac:dyDescent="0.3">
      <c r="A3950" s="4">
        <v>2429736</v>
      </c>
      <c r="B3950" t="s">
        <v>2913</v>
      </c>
      <c r="C3950" s="4" t="s">
        <v>1010</v>
      </c>
      <c r="D3950" s="4" t="s">
        <v>1020</v>
      </c>
      <c r="E3950" s="4" t="s">
        <v>2310</v>
      </c>
      <c r="F3950" s="1">
        <v>46126</v>
      </c>
      <c r="G3950" t="str">
        <f t="shared" si="120"/>
        <v>Apr -2026</v>
      </c>
    </row>
    <row r="3951" spans="1:7" x14ac:dyDescent="0.3">
      <c r="A3951" s="4">
        <v>2421038</v>
      </c>
      <c r="B3951" t="s">
        <v>2914</v>
      </c>
      <c r="C3951" s="4" t="s">
        <v>1010</v>
      </c>
      <c r="D3951" s="4" t="s">
        <v>1020</v>
      </c>
      <c r="E3951" s="4" t="s">
        <v>2028</v>
      </c>
      <c r="F3951" s="1">
        <v>46126</v>
      </c>
      <c r="G3951" t="str">
        <f t="shared" si="120"/>
        <v>Apr -2026</v>
      </c>
    </row>
    <row r="3952" spans="1:7" x14ac:dyDescent="0.3">
      <c r="A3952" s="4">
        <v>2429866</v>
      </c>
      <c r="B3952" t="s">
        <v>2915</v>
      </c>
      <c r="C3952" s="4" t="s">
        <v>1010</v>
      </c>
      <c r="D3952" s="4" t="s">
        <v>1020</v>
      </c>
      <c r="E3952" s="4" t="s">
        <v>2310</v>
      </c>
      <c r="F3952" s="1">
        <v>46126</v>
      </c>
      <c r="G3952" t="str">
        <f t="shared" si="120"/>
        <v>Apr -2026</v>
      </c>
    </row>
    <row r="3953" spans="1:7" x14ac:dyDescent="0.3">
      <c r="A3953" s="4">
        <v>2426817</v>
      </c>
      <c r="B3953" t="s">
        <v>2916</v>
      </c>
      <c r="C3953" s="4" t="s">
        <v>1010</v>
      </c>
      <c r="D3953" s="4" t="s">
        <v>1020</v>
      </c>
      <c r="E3953" s="4" t="s">
        <v>435</v>
      </c>
      <c r="F3953" s="1">
        <v>46126</v>
      </c>
      <c r="G3953" t="str">
        <f t="shared" si="120"/>
        <v>Apr -2026</v>
      </c>
    </row>
    <row r="3954" spans="1:7" x14ac:dyDescent="0.3">
      <c r="A3954" s="4">
        <v>2427115</v>
      </c>
      <c r="B3954" t="s">
        <v>2917</v>
      </c>
      <c r="C3954" s="4" t="s">
        <v>1010</v>
      </c>
      <c r="D3954" s="4" t="s">
        <v>1020</v>
      </c>
      <c r="E3954" s="4" t="s">
        <v>435</v>
      </c>
      <c r="F3954" s="1">
        <v>46126</v>
      </c>
      <c r="G3954" t="str">
        <f t="shared" si="120"/>
        <v>Apr -2026</v>
      </c>
    </row>
    <row r="3955" spans="1:7" x14ac:dyDescent="0.3">
      <c r="A3955" s="4">
        <v>2414299</v>
      </c>
      <c r="B3955" t="s">
        <v>2918</v>
      </c>
      <c r="C3955" s="4" t="s">
        <v>1010</v>
      </c>
      <c r="D3955" s="4" t="s">
        <v>1020</v>
      </c>
      <c r="E3955" s="4" t="s">
        <v>435</v>
      </c>
      <c r="F3955" s="1">
        <v>46126</v>
      </c>
      <c r="G3955" t="str">
        <f t="shared" si="120"/>
        <v>Apr -2026</v>
      </c>
    </row>
    <row r="3956" spans="1:7" x14ac:dyDescent="0.3">
      <c r="A3956" s="4">
        <v>2414782</v>
      </c>
      <c r="B3956" t="s">
        <v>2919</v>
      </c>
      <c r="C3956" s="4" t="s">
        <v>1010</v>
      </c>
      <c r="D3956" s="4" t="s">
        <v>1020</v>
      </c>
      <c r="E3956" s="4" t="s">
        <v>435</v>
      </c>
      <c r="F3956" s="1">
        <v>46126</v>
      </c>
      <c r="G3956" t="str">
        <f t="shared" si="120"/>
        <v>Apr -2026</v>
      </c>
    </row>
    <row r="3957" spans="1:7" x14ac:dyDescent="0.3">
      <c r="A3957" s="4">
        <v>2429487</v>
      </c>
      <c r="B3957" t="s">
        <v>2911</v>
      </c>
      <c r="C3957" s="4" t="s">
        <v>1010</v>
      </c>
      <c r="D3957" s="4" t="s">
        <v>1020</v>
      </c>
      <c r="E3957" s="4" t="s">
        <v>2310</v>
      </c>
      <c r="F3957" s="1">
        <v>46126</v>
      </c>
      <c r="G3957" t="str">
        <f t="shared" si="120"/>
        <v>Apr -2026</v>
      </c>
    </row>
    <row r="3958" spans="1:7" x14ac:dyDescent="0.3">
      <c r="A3958" s="4">
        <v>2429741</v>
      </c>
      <c r="B3958" t="s">
        <v>2912</v>
      </c>
      <c r="C3958" s="4" t="s">
        <v>1010</v>
      </c>
      <c r="D3958" s="4" t="s">
        <v>1020</v>
      </c>
      <c r="E3958" s="4" t="s">
        <v>2310</v>
      </c>
      <c r="F3958" s="1">
        <v>46126</v>
      </c>
      <c r="G3958" t="str">
        <f t="shared" si="120"/>
        <v>Apr -2026</v>
      </c>
    </row>
    <row r="3959" spans="1:7" x14ac:dyDescent="0.3">
      <c r="A3959" s="4">
        <v>2429739</v>
      </c>
      <c r="B3959" t="s">
        <v>2920</v>
      </c>
      <c r="C3959" s="4" t="s">
        <v>1010</v>
      </c>
      <c r="D3959" s="4" t="s">
        <v>1020</v>
      </c>
      <c r="E3959" s="4" t="s">
        <v>228</v>
      </c>
      <c r="F3959" s="1">
        <v>46126</v>
      </c>
      <c r="G3959" t="str">
        <f t="shared" si="120"/>
        <v>Apr -2026</v>
      </c>
    </row>
    <row r="3960" spans="1:7" x14ac:dyDescent="0.3">
      <c r="A3960" s="4">
        <v>2263256</v>
      </c>
      <c r="B3960" t="s">
        <v>2921</v>
      </c>
      <c r="C3960" s="4" t="s">
        <v>1010</v>
      </c>
      <c r="D3960" s="4" t="s">
        <v>1020</v>
      </c>
      <c r="E3960" s="4" t="s">
        <v>435</v>
      </c>
      <c r="F3960" s="1">
        <v>46126</v>
      </c>
      <c r="G3960" t="str">
        <f t="shared" si="120"/>
        <v>Apr -2026</v>
      </c>
    </row>
    <row r="3961" spans="1:7" x14ac:dyDescent="0.3">
      <c r="A3961" s="4">
        <v>900007239</v>
      </c>
      <c r="B3961" t="s">
        <v>2922</v>
      </c>
      <c r="C3961" s="4" t="s">
        <v>1010</v>
      </c>
      <c r="D3961" s="4" t="s">
        <v>1020</v>
      </c>
      <c r="E3961" s="4" t="s">
        <v>1877</v>
      </c>
      <c r="F3961" s="1">
        <v>46126</v>
      </c>
      <c r="G3961" t="str">
        <f t="shared" si="120"/>
        <v>Apr -2026</v>
      </c>
    </row>
    <row r="3962" spans="1:7" x14ac:dyDescent="0.3">
      <c r="A3962" s="4">
        <v>2430477</v>
      </c>
      <c r="B3962" t="s">
        <v>2910</v>
      </c>
      <c r="C3962" s="4" t="s">
        <v>1010</v>
      </c>
      <c r="D3962" s="4" t="s">
        <v>1020</v>
      </c>
      <c r="E3962" s="4" t="s">
        <v>1877</v>
      </c>
      <c r="F3962" s="1">
        <v>46126</v>
      </c>
      <c r="G3962" t="str">
        <f t="shared" si="120"/>
        <v>Apr -2026</v>
      </c>
    </row>
    <row r="3963" spans="1:7" x14ac:dyDescent="0.3">
      <c r="A3963" s="4">
        <v>100006015</v>
      </c>
      <c r="B3963" t="s">
        <v>2923</v>
      </c>
      <c r="C3963" s="3" t="s">
        <v>1011</v>
      </c>
      <c r="D3963" s="4" t="s">
        <v>2015</v>
      </c>
      <c r="E3963" s="4" t="s">
        <v>2924</v>
      </c>
      <c r="F3963" s="1">
        <v>46126</v>
      </c>
      <c r="G3963" t="str">
        <f t="shared" ref="G3963:G4026" si="121">TEXT(F3963,"mmm -YYYY")</f>
        <v>Apr -2026</v>
      </c>
    </row>
    <row r="3964" spans="1:7" x14ac:dyDescent="0.3">
      <c r="A3964" s="4" t="s">
        <v>2925</v>
      </c>
      <c r="B3964" t="s">
        <v>2923</v>
      </c>
      <c r="C3964" s="3" t="s">
        <v>1011</v>
      </c>
      <c r="D3964" s="4" t="s">
        <v>2015</v>
      </c>
      <c r="E3964" s="4" t="s">
        <v>2924</v>
      </c>
      <c r="F3964" s="1">
        <v>46126</v>
      </c>
      <c r="G3964" t="str">
        <f t="shared" si="121"/>
        <v>Apr -2026</v>
      </c>
    </row>
    <row r="3965" spans="1:7" x14ac:dyDescent="0.3">
      <c r="A3965" s="4">
        <v>900007163</v>
      </c>
      <c r="B3965" t="s">
        <v>2926</v>
      </c>
      <c r="C3965" s="3" t="s">
        <v>1604</v>
      </c>
      <c r="D3965" s="4" t="s">
        <v>2031</v>
      </c>
      <c r="E3965" s="4" t="s">
        <v>1877</v>
      </c>
      <c r="F3965" s="1">
        <v>46126</v>
      </c>
      <c r="G3965" t="str">
        <f t="shared" si="121"/>
        <v>Apr -2026</v>
      </c>
    </row>
    <row r="3966" spans="1:7" x14ac:dyDescent="0.3">
      <c r="A3966" s="4">
        <v>100005967</v>
      </c>
      <c r="B3966" t="s">
        <v>2927</v>
      </c>
      <c r="C3966" s="3" t="s">
        <v>1011</v>
      </c>
      <c r="D3966" s="4" t="s">
        <v>2015</v>
      </c>
      <c r="E3966" s="4" t="s">
        <v>1569</v>
      </c>
      <c r="F3966" s="1">
        <v>46126</v>
      </c>
      <c r="G3966" t="str">
        <f t="shared" si="121"/>
        <v>Apr -2026</v>
      </c>
    </row>
    <row r="3967" spans="1:7" x14ac:dyDescent="0.3">
      <c r="A3967" s="4">
        <v>900007253</v>
      </c>
      <c r="B3967" t="s">
        <v>2928</v>
      </c>
      <c r="C3967" s="3" t="s">
        <v>1604</v>
      </c>
      <c r="D3967" s="4" t="s">
        <v>2031</v>
      </c>
      <c r="E3967" s="4" t="s">
        <v>1877</v>
      </c>
      <c r="F3967" s="1">
        <v>46126</v>
      </c>
      <c r="G3967" t="str">
        <f t="shared" si="121"/>
        <v>Apr -2026</v>
      </c>
    </row>
    <row r="3968" spans="1:7" x14ac:dyDescent="0.3">
      <c r="A3968" s="4">
        <v>2431738</v>
      </c>
      <c r="B3968" t="s">
        <v>2907</v>
      </c>
      <c r="C3968" s="4" t="s">
        <v>1010</v>
      </c>
      <c r="D3968" s="4" t="s">
        <v>209</v>
      </c>
      <c r="E3968" s="4" t="s">
        <v>210</v>
      </c>
      <c r="F3968" s="1">
        <v>46127</v>
      </c>
      <c r="G3968" t="str">
        <f t="shared" si="121"/>
        <v>Apr -2026</v>
      </c>
    </row>
    <row r="3969" spans="1:7" x14ac:dyDescent="0.3">
      <c r="A3969" s="4">
        <v>2431903</v>
      </c>
      <c r="B3969" t="s">
        <v>2907</v>
      </c>
      <c r="C3969" s="4" t="s">
        <v>1010</v>
      </c>
      <c r="D3969" s="4" t="s">
        <v>209</v>
      </c>
      <c r="E3969" s="4" t="s">
        <v>210</v>
      </c>
      <c r="F3969" s="1">
        <v>46127</v>
      </c>
      <c r="G3969" t="str">
        <f t="shared" si="121"/>
        <v>Apr -2026</v>
      </c>
    </row>
    <row r="3970" spans="1:7" x14ac:dyDescent="0.3">
      <c r="A3970" s="4">
        <v>2431870</v>
      </c>
      <c r="B3970" t="s">
        <v>2907</v>
      </c>
      <c r="C3970" s="4" t="s">
        <v>1010</v>
      </c>
      <c r="D3970" s="4" t="s">
        <v>209</v>
      </c>
      <c r="E3970" s="4" t="s">
        <v>210</v>
      </c>
      <c r="F3970" s="1">
        <v>46127</v>
      </c>
      <c r="G3970" t="str">
        <f t="shared" si="121"/>
        <v>Apr -2026</v>
      </c>
    </row>
    <row r="3971" spans="1:7" x14ac:dyDescent="0.3">
      <c r="A3971" s="4">
        <v>2431885</v>
      </c>
      <c r="B3971" t="s">
        <v>2907</v>
      </c>
      <c r="C3971" s="4" t="s">
        <v>1010</v>
      </c>
      <c r="D3971" s="4" t="s">
        <v>209</v>
      </c>
      <c r="E3971" s="4" t="s">
        <v>210</v>
      </c>
      <c r="F3971" s="1">
        <v>46127</v>
      </c>
      <c r="G3971" t="str">
        <f t="shared" si="121"/>
        <v>Apr -2026</v>
      </c>
    </row>
    <row r="3972" spans="1:7" x14ac:dyDescent="0.3">
      <c r="A3972" s="4">
        <v>2431958</v>
      </c>
      <c r="B3972" t="s">
        <v>2907</v>
      </c>
      <c r="C3972" s="4" t="s">
        <v>1010</v>
      </c>
      <c r="D3972" s="4" t="s">
        <v>209</v>
      </c>
      <c r="E3972" s="4" t="s">
        <v>210</v>
      </c>
      <c r="F3972" s="1">
        <v>46127</v>
      </c>
      <c r="G3972" t="str">
        <f t="shared" si="121"/>
        <v>Apr -2026</v>
      </c>
    </row>
    <row r="3973" spans="1:7" x14ac:dyDescent="0.3">
      <c r="A3973" s="4">
        <v>2431819</v>
      </c>
      <c r="B3973" t="s">
        <v>2907</v>
      </c>
      <c r="C3973" s="4" t="s">
        <v>1010</v>
      </c>
      <c r="D3973" s="4" t="s">
        <v>209</v>
      </c>
      <c r="E3973" s="4" t="s">
        <v>210</v>
      </c>
      <c r="F3973" s="1">
        <v>46127</v>
      </c>
      <c r="G3973" t="str">
        <f t="shared" si="121"/>
        <v>Apr -2026</v>
      </c>
    </row>
    <row r="3974" spans="1:7" x14ac:dyDescent="0.3">
      <c r="A3974" s="4">
        <v>2431897</v>
      </c>
      <c r="B3974" t="s">
        <v>2907</v>
      </c>
      <c r="C3974" s="4" t="s">
        <v>1010</v>
      </c>
      <c r="D3974" s="4" t="s">
        <v>209</v>
      </c>
      <c r="E3974" s="4" t="s">
        <v>210</v>
      </c>
      <c r="F3974" s="1">
        <v>46127</v>
      </c>
      <c r="G3974" t="str">
        <f t="shared" si="121"/>
        <v>Apr -2026</v>
      </c>
    </row>
    <row r="3975" spans="1:7" x14ac:dyDescent="0.3">
      <c r="A3975" s="4">
        <v>2431898</v>
      </c>
      <c r="B3975" t="s">
        <v>2907</v>
      </c>
      <c r="C3975" s="4" t="s">
        <v>1010</v>
      </c>
      <c r="D3975" s="4" t="s">
        <v>209</v>
      </c>
      <c r="E3975" s="4" t="s">
        <v>210</v>
      </c>
      <c r="F3975" s="1">
        <v>46127</v>
      </c>
      <c r="G3975" t="str">
        <f t="shared" si="121"/>
        <v>Apr -2026</v>
      </c>
    </row>
    <row r="3976" spans="1:7" x14ac:dyDescent="0.3">
      <c r="A3976" s="4">
        <v>2431934</v>
      </c>
      <c r="B3976" t="s">
        <v>2907</v>
      </c>
      <c r="C3976" s="4" t="s">
        <v>1010</v>
      </c>
      <c r="D3976" s="4" t="s">
        <v>209</v>
      </c>
      <c r="E3976" s="4" t="s">
        <v>210</v>
      </c>
      <c r="F3976" s="1">
        <v>46127</v>
      </c>
      <c r="G3976" t="str">
        <f t="shared" si="121"/>
        <v>Apr -2026</v>
      </c>
    </row>
    <row r="3977" spans="1:7" x14ac:dyDescent="0.3">
      <c r="A3977" s="4">
        <v>2431986</v>
      </c>
      <c r="B3977" t="s">
        <v>2907</v>
      </c>
      <c r="C3977" s="4" t="s">
        <v>1010</v>
      </c>
      <c r="D3977" s="4" t="s">
        <v>209</v>
      </c>
      <c r="E3977" s="4" t="s">
        <v>210</v>
      </c>
      <c r="F3977" s="1">
        <v>46127</v>
      </c>
      <c r="G3977" t="str">
        <f t="shared" si="121"/>
        <v>Apr -2026</v>
      </c>
    </row>
    <row r="3978" spans="1:7" x14ac:dyDescent="0.3">
      <c r="A3978" s="4">
        <v>2432045</v>
      </c>
      <c r="B3978" t="s">
        <v>2929</v>
      </c>
      <c r="C3978" s="4" t="s">
        <v>1010</v>
      </c>
      <c r="D3978" s="4" t="s">
        <v>209</v>
      </c>
      <c r="E3978" s="4" t="s">
        <v>210</v>
      </c>
      <c r="F3978" s="1">
        <v>46127</v>
      </c>
      <c r="G3978" t="str">
        <f t="shared" si="121"/>
        <v>Apr -2026</v>
      </c>
    </row>
    <row r="3979" spans="1:7" x14ac:dyDescent="0.3">
      <c r="A3979" s="4">
        <v>2430347</v>
      </c>
      <c r="B3979" t="s">
        <v>2930</v>
      </c>
      <c r="C3979" s="4" t="s">
        <v>1010</v>
      </c>
      <c r="D3979" s="4" t="s">
        <v>209</v>
      </c>
      <c r="E3979" s="4" t="s">
        <v>2305</v>
      </c>
      <c r="F3979" s="1">
        <v>46127</v>
      </c>
      <c r="G3979" t="str">
        <f t="shared" si="121"/>
        <v>Apr -2026</v>
      </c>
    </row>
    <row r="3980" spans="1:7" x14ac:dyDescent="0.3">
      <c r="A3980" s="4">
        <v>2432078</v>
      </c>
      <c r="B3980" t="s">
        <v>2931</v>
      </c>
      <c r="C3980" s="4" t="s">
        <v>1010</v>
      </c>
      <c r="D3980" s="4" t="s">
        <v>209</v>
      </c>
      <c r="E3980" s="4" t="s">
        <v>375</v>
      </c>
      <c r="F3980" s="1">
        <v>46127</v>
      </c>
      <c r="G3980" t="str">
        <f t="shared" si="121"/>
        <v>Apr -2026</v>
      </c>
    </row>
    <row r="3981" spans="1:7" x14ac:dyDescent="0.3">
      <c r="A3981" s="4">
        <v>900007330</v>
      </c>
      <c r="B3981" t="s">
        <v>2932</v>
      </c>
      <c r="C3981" s="4" t="s">
        <v>1010</v>
      </c>
      <c r="D3981" s="4" t="s">
        <v>209</v>
      </c>
      <c r="E3981" s="4" t="s">
        <v>1877</v>
      </c>
      <c r="F3981" s="1">
        <v>46127</v>
      </c>
      <c r="G3981" t="str">
        <f t="shared" si="121"/>
        <v>Apr -2026</v>
      </c>
    </row>
    <row r="3982" spans="1:7" x14ac:dyDescent="0.3">
      <c r="A3982" s="4">
        <v>2430865</v>
      </c>
      <c r="B3982" t="s">
        <v>2933</v>
      </c>
      <c r="C3982" s="4" t="s">
        <v>1010</v>
      </c>
      <c r="D3982" s="4" t="s">
        <v>209</v>
      </c>
      <c r="E3982" s="4" t="s">
        <v>375</v>
      </c>
      <c r="F3982" s="1">
        <v>46127</v>
      </c>
      <c r="G3982" t="str">
        <f t="shared" si="121"/>
        <v>Apr -2026</v>
      </c>
    </row>
    <row r="3983" spans="1:7" x14ac:dyDescent="0.3">
      <c r="A3983" s="4">
        <v>900007209</v>
      </c>
      <c r="B3983" t="s">
        <v>2934</v>
      </c>
      <c r="C3983" s="4" t="s">
        <v>1010</v>
      </c>
      <c r="D3983" s="4" t="s">
        <v>209</v>
      </c>
      <c r="E3983" s="4" t="s">
        <v>1877</v>
      </c>
      <c r="F3983" s="1">
        <v>46127</v>
      </c>
      <c r="G3983" t="str">
        <f t="shared" si="121"/>
        <v>Apr -2026</v>
      </c>
    </row>
    <row r="3984" spans="1:7" x14ac:dyDescent="0.3">
      <c r="A3984" s="4">
        <v>2430424</v>
      </c>
      <c r="B3984" t="s">
        <v>2935</v>
      </c>
      <c r="C3984" s="4" t="s">
        <v>1010</v>
      </c>
      <c r="D3984" s="4" t="s">
        <v>1020</v>
      </c>
      <c r="E3984" s="4" t="s">
        <v>2310</v>
      </c>
      <c r="F3984" s="1">
        <v>46127</v>
      </c>
      <c r="G3984" t="str">
        <f t="shared" si="121"/>
        <v>Apr -2026</v>
      </c>
    </row>
    <row r="3985" spans="1:7" x14ac:dyDescent="0.3">
      <c r="A3985" s="4">
        <v>2430418</v>
      </c>
      <c r="B3985" t="s">
        <v>2936</v>
      </c>
      <c r="C3985" s="4" t="s">
        <v>1010</v>
      </c>
      <c r="D3985" s="4" t="s">
        <v>1020</v>
      </c>
      <c r="E3985" s="4" t="s">
        <v>2310</v>
      </c>
      <c r="F3985" s="1">
        <v>46127</v>
      </c>
      <c r="G3985" t="str">
        <f t="shared" si="121"/>
        <v>Apr -2026</v>
      </c>
    </row>
    <row r="3986" spans="1:7" x14ac:dyDescent="0.3">
      <c r="A3986" s="4">
        <v>2430346</v>
      </c>
      <c r="B3986" t="s">
        <v>2937</v>
      </c>
      <c r="C3986" s="4" t="s">
        <v>1010</v>
      </c>
      <c r="D3986" s="4" t="s">
        <v>1020</v>
      </c>
      <c r="E3986" s="4" t="s">
        <v>2310</v>
      </c>
      <c r="F3986" s="1">
        <v>46127</v>
      </c>
      <c r="G3986" t="str">
        <f t="shared" si="121"/>
        <v>Apr -2026</v>
      </c>
    </row>
    <row r="3987" spans="1:7" x14ac:dyDescent="0.3">
      <c r="A3987" s="4">
        <v>900007271</v>
      </c>
      <c r="B3987" t="s">
        <v>2938</v>
      </c>
      <c r="C3987" s="4" t="s">
        <v>1010</v>
      </c>
      <c r="D3987" s="4" t="s">
        <v>209</v>
      </c>
      <c r="E3987" s="4" t="s">
        <v>1877</v>
      </c>
      <c r="F3987" s="1">
        <v>46127</v>
      </c>
      <c r="G3987" t="str">
        <f t="shared" si="121"/>
        <v>Apr -2026</v>
      </c>
    </row>
    <row r="3988" spans="1:7" x14ac:dyDescent="0.3">
      <c r="A3988" s="4">
        <v>2432480</v>
      </c>
      <c r="B3988" t="s">
        <v>2939</v>
      </c>
      <c r="C3988" s="4" t="s">
        <v>1010</v>
      </c>
      <c r="D3988" s="4" t="s">
        <v>1020</v>
      </c>
      <c r="E3988" s="4" t="s">
        <v>2940</v>
      </c>
      <c r="F3988" s="1">
        <v>46127</v>
      </c>
      <c r="G3988" t="str">
        <f t="shared" si="121"/>
        <v>Apr -2026</v>
      </c>
    </row>
    <row r="3989" spans="1:7" x14ac:dyDescent="0.3">
      <c r="A3989" s="4">
        <v>2433036</v>
      </c>
      <c r="B3989" t="s">
        <v>2941</v>
      </c>
      <c r="C3989" s="4" t="s">
        <v>1010</v>
      </c>
      <c r="D3989" s="4" t="s">
        <v>1020</v>
      </c>
      <c r="E3989" s="4" t="s">
        <v>2940</v>
      </c>
      <c r="F3989" s="1">
        <v>46127</v>
      </c>
      <c r="G3989" t="str">
        <f t="shared" si="121"/>
        <v>Apr -2026</v>
      </c>
    </row>
    <row r="3990" spans="1:7" x14ac:dyDescent="0.3">
      <c r="A3990" s="4">
        <v>100006022</v>
      </c>
      <c r="B3990" t="s">
        <v>2942</v>
      </c>
      <c r="C3990" s="3" t="s">
        <v>1011</v>
      </c>
      <c r="D3990" s="4" t="s">
        <v>2015</v>
      </c>
      <c r="E3990" s="4" t="s">
        <v>1569</v>
      </c>
      <c r="F3990" s="1">
        <v>46127</v>
      </c>
      <c r="G3990" t="str">
        <f t="shared" si="121"/>
        <v>Apr -2026</v>
      </c>
    </row>
    <row r="3991" spans="1:7" x14ac:dyDescent="0.3">
      <c r="A3991" s="4">
        <v>100006044</v>
      </c>
      <c r="B3991" t="s">
        <v>2943</v>
      </c>
      <c r="C3991" s="3" t="s">
        <v>1604</v>
      </c>
      <c r="D3991" s="4" t="s">
        <v>2018</v>
      </c>
      <c r="E3991" s="4" t="s">
        <v>1877</v>
      </c>
      <c r="F3991" s="1">
        <v>46127</v>
      </c>
      <c r="G3991" t="str">
        <f t="shared" si="121"/>
        <v>Apr -2026</v>
      </c>
    </row>
    <row r="3992" spans="1:7" x14ac:dyDescent="0.3">
      <c r="A3992" s="4">
        <v>2417181</v>
      </c>
      <c r="B3992" t="s">
        <v>2944</v>
      </c>
      <c r="C3992" s="4" t="s">
        <v>1010</v>
      </c>
      <c r="D3992" s="4" t="s">
        <v>1020</v>
      </c>
      <c r="E3992" s="4" t="s">
        <v>2940</v>
      </c>
      <c r="F3992" s="1">
        <v>46127</v>
      </c>
      <c r="G3992" t="str">
        <f t="shared" si="121"/>
        <v>Apr -2026</v>
      </c>
    </row>
    <row r="3993" spans="1:7" x14ac:dyDescent="0.3">
      <c r="A3993" s="4">
        <v>2431819</v>
      </c>
      <c r="B3993" t="s">
        <v>2907</v>
      </c>
      <c r="C3993" s="4" t="s">
        <v>1010</v>
      </c>
      <c r="D3993" s="4" t="s">
        <v>209</v>
      </c>
      <c r="E3993" s="4" t="s">
        <v>210</v>
      </c>
      <c r="F3993" s="1">
        <v>46128</v>
      </c>
      <c r="G3993" t="str">
        <f t="shared" si="121"/>
        <v>Apr -2026</v>
      </c>
    </row>
    <row r="3994" spans="1:7" x14ac:dyDescent="0.3">
      <c r="A3994" s="4">
        <v>2434792</v>
      </c>
      <c r="B3994" t="s">
        <v>2907</v>
      </c>
      <c r="C3994" s="4" t="s">
        <v>1010</v>
      </c>
      <c r="D3994" s="4" t="s">
        <v>209</v>
      </c>
      <c r="E3994" s="4" t="s">
        <v>2305</v>
      </c>
      <c r="F3994" s="1">
        <v>46128</v>
      </c>
      <c r="G3994" t="str">
        <f t="shared" si="121"/>
        <v>Apr -2026</v>
      </c>
    </row>
    <row r="3995" spans="1:7" x14ac:dyDescent="0.3">
      <c r="A3995" s="4">
        <v>2434071</v>
      </c>
      <c r="B3995" t="s">
        <v>2945</v>
      </c>
      <c r="C3995" s="4" t="s">
        <v>1010</v>
      </c>
      <c r="D3995" s="4" t="s">
        <v>209</v>
      </c>
      <c r="E3995" s="4" t="s">
        <v>375</v>
      </c>
      <c r="F3995" s="1">
        <v>46128</v>
      </c>
      <c r="G3995" t="str">
        <f t="shared" si="121"/>
        <v>Apr -2026</v>
      </c>
    </row>
    <row r="3996" spans="1:7" x14ac:dyDescent="0.3">
      <c r="A3996" s="4">
        <v>2434090</v>
      </c>
      <c r="B3996" t="s">
        <v>2945</v>
      </c>
      <c r="C3996" s="4" t="s">
        <v>1010</v>
      </c>
      <c r="D3996" s="4" t="s">
        <v>209</v>
      </c>
      <c r="E3996" s="4" t="s">
        <v>375</v>
      </c>
      <c r="F3996" s="1">
        <v>46128</v>
      </c>
      <c r="G3996" t="str">
        <f t="shared" si="121"/>
        <v>Apr -2026</v>
      </c>
    </row>
    <row r="3997" spans="1:7" x14ac:dyDescent="0.3">
      <c r="A3997" s="4">
        <v>2434532</v>
      </c>
      <c r="B3997" t="s">
        <v>2946</v>
      </c>
      <c r="C3997" s="4" t="s">
        <v>1010</v>
      </c>
      <c r="D3997" s="4" t="s">
        <v>209</v>
      </c>
      <c r="E3997" s="4" t="s">
        <v>375</v>
      </c>
      <c r="F3997" s="1">
        <v>46128</v>
      </c>
      <c r="G3997" t="str">
        <f t="shared" si="121"/>
        <v>Apr -2026</v>
      </c>
    </row>
    <row r="3998" spans="1:7" x14ac:dyDescent="0.3">
      <c r="A3998" s="4">
        <v>2434605</v>
      </c>
      <c r="B3998" t="s">
        <v>2947</v>
      </c>
      <c r="C3998" s="4" t="s">
        <v>1010</v>
      </c>
      <c r="D3998" s="4" t="s">
        <v>209</v>
      </c>
      <c r="E3998" s="4" t="s">
        <v>375</v>
      </c>
      <c r="F3998" s="1">
        <v>46128</v>
      </c>
      <c r="G3998" t="str">
        <f t="shared" si="121"/>
        <v>Apr -2026</v>
      </c>
    </row>
    <row r="3999" spans="1:7" x14ac:dyDescent="0.3">
      <c r="A3999" s="4">
        <v>2432888</v>
      </c>
      <c r="B3999" t="s">
        <v>2948</v>
      </c>
      <c r="C3999" s="4" t="s">
        <v>1010</v>
      </c>
      <c r="D3999" s="4" t="s">
        <v>209</v>
      </c>
      <c r="E3999" s="4" t="s">
        <v>228</v>
      </c>
      <c r="F3999" s="1">
        <v>46128</v>
      </c>
      <c r="G3999" t="str">
        <f t="shared" si="121"/>
        <v>Apr -2026</v>
      </c>
    </row>
    <row r="4000" spans="1:7" x14ac:dyDescent="0.3">
      <c r="A4000" s="4">
        <v>2432902</v>
      </c>
      <c r="B4000" t="s">
        <v>2948</v>
      </c>
      <c r="C4000" s="4" t="s">
        <v>1010</v>
      </c>
      <c r="D4000" s="4" t="s">
        <v>209</v>
      </c>
      <c r="E4000" s="4" t="s">
        <v>228</v>
      </c>
      <c r="F4000" s="1">
        <v>46128</v>
      </c>
      <c r="G4000" t="str">
        <f t="shared" si="121"/>
        <v>Apr -2026</v>
      </c>
    </row>
    <row r="4001" spans="1:7" x14ac:dyDescent="0.3">
      <c r="A4001" s="4">
        <v>2432903</v>
      </c>
      <c r="B4001" t="s">
        <v>2948</v>
      </c>
      <c r="C4001" s="4" t="s">
        <v>1010</v>
      </c>
      <c r="D4001" s="4" t="s">
        <v>209</v>
      </c>
      <c r="E4001" s="4" t="s">
        <v>228</v>
      </c>
      <c r="F4001" s="1">
        <v>46128</v>
      </c>
      <c r="G4001" t="str">
        <f t="shared" si="121"/>
        <v>Apr -2026</v>
      </c>
    </row>
    <row r="4002" spans="1:7" x14ac:dyDescent="0.3">
      <c r="A4002" s="4">
        <v>2432905</v>
      </c>
      <c r="B4002" t="s">
        <v>2948</v>
      </c>
      <c r="C4002" s="4" t="s">
        <v>1010</v>
      </c>
      <c r="D4002" s="4" t="s">
        <v>209</v>
      </c>
      <c r="E4002" s="4" t="s">
        <v>228</v>
      </c>
      <c r="F4002" s="1">
        <v>46128</v>
      </c>
      <c r="G4002" t="str">
        <f t="shared" si="121"/>
        <v>Apr -2026</v>
      </c>
    </row>
    <row r="4003" spans="1:7" x14ac:dyDescent="0.3">
      <c r="A4003" s="4">
        <v>2432906</v>
      </c>
      <c r="B4003" t="s">
        <v>2948</v>
      </c>
      <c r="C4003" s="4" t="s">
        <v>1010</v>
      </c>
      <c r="D4003" s="4" t="s">
        <v>209</v>
      </c>
      <c r="E4003" s="4" t="s">
        <v>228</v>
      </c>
      <c r="F4003" s="1">
        <v>46128</v>
      </c>
      <c r="G4003" t="str">
        <f t="shared" si="121"/>
        <v>Apr -2026</v>
      </c>
    </row>
    <row r="4004" spans="1:7" x14ac:dyDescent="0.3">
      <c r="A4004" s="4">
        <v>2432952</v>
      </c>
      <c r="B4004" t="s">
        <v>2948</v>
      </c>
      <c r="C4004" s="4" t="s">
        <v>1010</v>
      </c>
      <c r="D4004" s="4" t="s">
        <v>209</v>
      </c>
      <c r="E4004" s="4" t="s">
        <v>228</v>
      </c>
      <c r="F4004" s="1">
        <v>46128</v>
      </c>
      <c r="G4004" t="str">
        <f t="shared" si="121"/>
        <v>Apr -2026</v>
      </c>
    </row>
    <row r="4005" spans="1:7" x14ac:dyDescent="0.3">
      <c r="A4005" s="4">
        <v>2433414</v>
      </c>
      <c r="B4005" t="s">
        <v>2949</v>
      </c>
      <c r="C4005" s="4" t="s">
        <v>1010</v>
      </c>
      <c r="D4005" s="4" t="s">
        <v>1020</v>
      </c>
      <c r="E4005" s="4" t="s">
        <v>435</v>
      </c>
      <c r="F4005" s="1">
        <v>46128</v>
      </c>
      <c r="G4005" t="str">
        <f t="shared" si="121"/>
        <v>Apr -2026</v>
      </c>
    </row>
    <row r="4006" spans="1:7" x14ac:dyDescent="0.3">
      <c r="A4006" s="4">
        <v>2433166</v>
      </c>
      <c r="B4006" t="s">
        <v>2950</v>
      </c>
      <c r="C4006" s="4" t="s">
        <v>1010</v>
      </c>
      <c r="D4006" s="4" t="s">
        <v>1020</v>
      </c>
      <c r="E4006" s="4" t="s">
        <v>435</v>
      </c>
      <c r="F4006" s="1">
        <v>46128</v>
      </c>
      <c r="G4006" t="str">
        <f t="shared" si="121"/>
        <v>Apr -2026</v>
      </c>
    </row>
    <row r="4007" spans="1:7" x14ac:dyDescent="0.3">
      <c r="A4007" s="4">
        <v>2433305</v>
      </c>
      <c r="B4007" t="s">
        <v>2951</v>
      </c>
      <c r="C4007" s="4" t="s">
        <v>1010</v>
      </c>
      <c r="D4007" s="4" t="s">
        <v>1020</v>
      </c>
      <c r="E4007" s="4" t="s">
        <v>435</v>
      </c>
      <c r="F4007" s="1">
        <v>46128</v>
      </c>
      <c r="G4007" t="str">
        <f t="shared" si="121"/>
        <v>Apr -2026</v>
      </c>
    </row>
    <row r="4008" spans="1:7" x14ac:dyDescent="0.3">
      <c r="A4008" s="4">
        <v>2426817</v>
      </c>
      <c r="B4008" t="s">
        <v>2916</v>
      </c>
      <c r="C4008" s="4" t="s">
        <v>1010</v>
      </c>
      <c r="D4008" s="4" t="s">
        <v>1020</v>
      </c>
      <c r="E4008" s="4" t="s">
        <v>435</v>
      </c>
      <c r="F4008" s="1">
        <v>46128</v>
      </c>
      <c r="G4008" t="str">
        <f t="shared" si="121"/>
        <v>Apr -2026</v>
      </c>
    </row>
    <row r="4009" spans="1:7" x14ac:dyDescent="0.3">
      <c r="A4009" s="4">
        <v>2435936</v>
      </c>
      <c r="B4009" t="s">
        <v>2952</v>
      </c>
      <c r="C4009" s="4" t="s">
        <v>1010</v>
      </c>
      <c r="D4009" s="4" t="s">
        <v>1020</v>
      </c>
      <c r="E4009" s="4" t="s">
        <v>228</v>
      </c>
      <c r="F4009" s="1">
        <v>46128</v>
      </c>
      <c r="G4009" t="str">
        <f t="shared" si="121"/>
        <v>Apr -2026</v>
      </c>
    </row>
    <row r="4010" spans="1:7" x14ac:dyDescent="0.3">
      <c r="A4010" s="4">
        <v>2417181</v>
      </c>
      <c r="B4010" t="s">
        <v>2944</v>
      </c>
      <c r="C4010" s="4" t="s">
        <v>1010</v>
      </c>
      <c r="D4010" s="4" t="s">
        <v>1020</v>
      </c>
      <c r="E4010" s="4" t="s">
        <v>2940</v>
      </c>
      <c r="F4010" s="1">
        <v>46128</v>
      </c>
      <c r="G4010" t="str">
        <f t="shared" si="121"/>
        <v>Apr -2026</v>
      </c>
    </row>
    <row r="4011" spans="1:7" x14ac:dyDescent="0.3">
      <c r="A4011" s="4">
        <v>2436047</v>
      </c>
      <c r="B4011" t="s">
        <v>2953</v>
      </c>
      <c r="C4011" s="4" t="s">
        <v>1010</v>
      </c>
      <c r="D4011" s="4" t="s">
        <v>1020</v>
      </c>
      <c r="E4011" s="4" t="s">
        <v>2954</v>
      </c>
      <c r="F4011" s="1">
        <v>46128</v>
      </c>
      <c r="G4011" t="str">
        <f t="shared" si="121"/>
        <v>Apr -2026</v>
      </c>
    </row>
    <row r="4012" spans="1:7" x14ac:dyDescent="0.3">
      <c r="A4012" s="4">
        <v>2436084</v>
      </c>
      <c r="B4012" t="s">
        <v>2941</v>
      </c>
      <c r="C4012" s="4" t="s">
        <v>1010</v>
      </c>
      <c r="D4012" s="4" t="s">
        <v>1020</v>
      </c>
      <c r="E4012" s="4" t="s">
        <v>2940</v>
      </c>
      <c r="F4012" s="1">
        <v>46128</v>
      </c>
      <c r="G4012" t="str">
        <f t="shared" si="121"/>
        <v>Apr -2026</v>
      </c>
    </row>
    <row r="4013" spans="1:7" x14ac:dyDescent="0.3">
      <c r="A4013" s="4">
        <v>900007277</v>
      </c>
      <c r="B4013" t="s">
        <v>2955</v>
      </c>
      <c r="C4013" s="4" t="s">
        <v>1010</v>
      </c>
      <c r="D4013" s="4" t="s">
        <v>209</v>
      </c>
      <c r="E4013" s="4" t="s">
        <v>1877</v>
      </c>
      <c r="F4013" s="1">
        <v>46128</v>
      </c>
      <c r="G4013" t="str">
        <f t="shared" si="121"/>
        <v>Apr -2026</v>
      </c>
    </row>
    <row r="4014" spans="1:7" x14ac:dyDescent="0.3">
      <c r="A4014" s="4">
        <v>900007351</v>
      </c>
      <c r="B4014" t="s">
        <v>2956</v>
      </c>
      <c r="C4014" s="4" t="s">
        <v>1010</v>
      </c>
      <c r="D4014" s="4" t="s">
        <v>209</v>
      </c>
      <c r="E4014" s="4" t="s">
        <v>1877</v>
      </c>
      <c r="F4014" s="1">
        <v>46128</v>
      </c>
      <c r="G4014" t="str">
        <f t="shared" si="121"/>
        <v>Apr -2026</v>
      </c>
    </row>
    <row r="4015" spans="1:7" x14ac:dyDescent="0.3">
      <c r="A4015" s="4">
        <v>2436392</v>
      </c>
      <c r="B4015" t="s">
        <v>2941</v>
      </c>
      <c r="C4015" s="4" t="s">
        <v>1010</v>
      </c>
      <c r="D4015" s="4" t="s">
        <v>1020</v>
      </c>
      <c r="E4015" s="4" t="s">
        <v>2940</v>
      </c>
      <c r="F4015" s="1">
        <v>46128</v>
      </c>
      <c r="G4015" t="str">
        <f t="shared" si="121"/>
        <v>Apr -2026</v>
      </c>
    </row>
    <row r="4016" spans="1:7" x14ac:dyDescent="0.3">
      <c r="A4016" s="4">
        <v>2436548</v>
      </c>
      <c r="B4016" t="s">
        <v>2941</v>
      </c>
      <c r="C4016" s="4" t="s">
        <v>1010</v>
      </c>
      <c r="D4016" s="4" t="s">
        <v>1020</v>
      </c>
      <c r="E4016" s="4" t="s">
        <v>2940</v>
      </c>
      <c r="F4016" s="1">
        <v>46128</v>
      </c>
      <c r="G4016" t="str">
        <f t="shared" si="121"/>
        <v>Apr -2026</v>
      </c>
    </row>
    <row r="4017" spans="1:7" x14ac:dyDescent="0.3">
      <c r="A4017" s="4">
        <v>2436671</v>
      </c>
      <c r="B4017" t="s">
        <v>2941</v>
      </c>
      <c r="C4017" s="4" t="s">
        <v>1010</v>
      </c>
      <c r="D4017" s="4" t="s">
        <v>1020</v>
      </c>
      <c r="E4017" s="4" t="s">
        <v>2940</v>
      </c>
      <c r="F4017" s="1">
        <v>46128</v>
      </c>
      <c r="G4017" t="str">
        <f t="shared" si="121"/>
        <v>Apr -2026</v>
      </c>
    </row>
    <row r="4018" spans="1:7" x14ac:dyDescent="0.3">
      <c r="A4018" s="4">
        <v>100006073</v>
      </c>
      <c r="B4018" t="s">
        <v>2957</v>
      </c>
      <c r="C4018" s="3" t="s">
        <v>1011</v>
      </c>
      <c r="D4018" s="4" t="s">
        <v>2015</v>
      </c>
      <c r="E4018" s="4" t="s">
        <v>1569</v>
      </c>
      <c r="F4018" s="1">
        <v>46128</v>
      </c>
      <c r="G4018" t="str">
        <f t="shared" si="121"/>
        <v>Apr -2026</v>
      </c>
    </row>
    <row r="4019" spans="1:7" x14ac:dyDescent="0.3">
      <c r="A4019" s="4">
        <v>100006082</v>
      </c>
      <c r="B4019" t="s">
        <v>2958</v>
      </c>
      <c r="C4019" s="3" t="s">
        <v>1011</v>
      </c>
      <c r="D4019" s="4" t="s">
        <v>2015</v>
      </c>
      <c r="E4019" s="4" t="s">
        <v>1569</v>
      </c>
      <c r="F4019" s="1">
        <v>46128</v>
      </c>
      <c r="G4019" t="str">
        <f t="shared" si="121"/>
        <v>Apr -2026</v>
      </c>
    </row>
    <row r="4020" spans="1:7" x14ac:dyDescent="0.3">
      <c r="A4020" s="4">
        <v>100006090</v>
      </c>
      <c r="B4020" t="s">
        <v>2959</v>
      </c>
      <c r="C4020" s="3" t="s">
        <v>1011</v>
      </c>
      <c r="D4020" s="4" t="s">
        <v>2015</v>
      </c>
      <c r="E4020" s="4" t="s">
        <v>1369</v>
      </c>
      <c r="F4020" s="1">
        <v>46128</v>
      </c>
      <c r="G4020" t="str">
        <f t="shared" si="121"/>
        <v>Apr -2026</v>
      </c>
    </row>
    <row r="4021" spans="1:7" x14ac:dyDescent="0.3">
      <c r="A4021" s="4">
        <v>100006066</v>
      </c>
      <c r="B4021" t="s">
        <v>2960</v>
      </c>
      <c r="C4021" s="3" t="s">
        <v>1011</v>
      </c>
      <c r="D4021" s="4" t="s">
        <v>2015</v>
      </c>
      <c r="E4021" s="4" t="s">
        <v>976</v>
      </c>
      <c r="F4021" s="1">
        <v>46128</v>
      </c>
      <c r="G4021" t="str">
        <f t="shared" si="121"/>
        <v>Apr -2026</v>
      </c>
    </row>
    <row r="4022" spans="1:7" x14ac:dyDescent="0.3">
      <c r="A4022" s="4">
        <v>2434070</v>
      </c>
      <c r="B4022" t="s">
        <v>2961</v>
      </c>
      <c r="C4022" s="4" t="s">
        <v>1010</v>
      </c>
      <c r="D4022" s="4" t="s">
        <v>209</v>
      </c>
      <c r="E4022" s="4" t="s">
        <v>375</v>
      </c>
      <c r="F4022" s="1">
        <v>46129</v>
      </c>
      <c r="G4022" t="str">
        <f t="shared" si="121"/>
        <v>Apr -2026</v>
      </c>
    </row>
    <row r="4023" spans="1:7" x14ac:dyDescent="0.3">
      <c r="A4023" s="4">
        <v>2434052</v>
      </c>
      <c r="B4023" t="s">
        <v>2962</v>
      </c>
      <c r="C4023" s="4" t="s">
        <v>1010</v>
      </c>
      <c r="D4023" s="4" t="s">
        <v>209</v>
      </c>
      <c r="E4023" s="4" t="s">
        <v>375</v>
      </c>
      <c r="F4023" s="1">
        <v>46129</v>
      </c>
      <c r="G4023" t="str">
        <f t="shared" si="121"/>
        <v>Apr -2026</v>
      </c>
    </row>
    <row r="4024" spans="1:7" x14ac:dyDescent="0.3">
      <c r="A4024" s="4">
        <v>2433833</v>
      </c>
      <c r="B4024" t="s">
        <v>2963</v>
      </c>
      <c r="C4024" s="4" t="s">
        <v>1010</v>
      </c>
      <c r="D4024" s="4" t="s">
        <v>209</v>
      </c>
      <c r="E4024" s="4" t="s">
        <v>375</v>
      </c>
      <c r="F4024" s="1">
        <v>46129</v>
      </c>
      <c r="G4024" t="str">
        <f t="shared" si="121"/>
        <v>Apr -2026</v>
      </c>
    </row>
    <row r="4025" spans="1:7" x14ac:dyDescent="0.3">
      <c r="A4025" s="4">
        <v>2434024</v>
      </c>
      <c r="B4025" t="s">
        <v>2964</v>
      </c>
      <c r="C4025" s="4" t="s">
        <v>1010</v>
      </c>
      <c r="D4025" s="4" t="s">
        <v>209</v>
      </c>
      <c r="E4025" s="4" t="s">
        <v>375</v>
      </c>
      <c r="F4025" s="1">
        <v>46129</v>
      </c>
      <c r="G4025" t="str">
        <f t="shared" si="121"/>
        <v>Apr -2026</v>
      </c>
    </row>
    <row r="4026" spans="1:7" x14ac:dyDescent="0.3">
      <c r="A4026" s="4">
        <v>2434112</v>
      </c>
      <c r="B4026" t="s">
        <v>2965</v>
      </c>
      <c r="C4026" s="4" t="s">
        <v>1010</v>
      </c>
      <c r="D4026" s="4" t="s">
        <v>209</v>
      </c>
      <c r="E4026" s="4" t="s">
        <v>375</v>
      </c>
      <c r="F4026" s="1">
        <v>46129</v>
      </c>
      <c r="G4026" t="str">
        <f t="shared" si="121"/>
        <v>Apr -2026</v>
      </c>
    </row>
    <row r="4027" spans="1:7" x14ac:dyDescent="0.3">
      <c r="A4027" s="4">
        <v>2434004</v>
      </c>
      <c r="B4027" t="s">
        <v>2966</v>
      </c>
      <c r="C4027" s="4" t="s">
        <v>1010</v>
      </c>
      <c r="D4027" s="4" t="s">
        <v>209</v>
      </c>
      <c r="E4027" s="4" t="s">
        <v>375</v>
      </c>
      <c r="F4027" s="1">
        <v>46129</v>
      </c>
      <c r="G4027" t="str">
        <f t="shared" ref="G4027:G4090" si="122">TEXT(F4027,"mmm -YYYY")</f>
        <v>Apr -2026</v>
      </c>
    </row>
    <row r="4028" spans="1:7" x14ac:dyDescent="0.3">
      <c r="A4028" s="4">
        <v>2434005</v>
      </c>
      <c r="B4028" t="s">
        <v>2967</v>
      </c>
      <c r="C4028" s="4" t="s">
        <v>1010</v>
      </c>
      <c r="D4028" s="4" t="s">
        <v>209</v>
      </c>
      <c r="E4028" s="4" t="s">
        <v>375</v>
      </c>
      <c r="F4028" s="1">
        <v>46129</v>
      </c>
      <c r="G4028" t="str">
        <f t="shared" si="122"/>
        <v>Apr -2026</v>
      </c>
    </row>
    <row r="4029" spans="1:7" x14ac:dyDescent="0.3">
      <c r="A4029" s="4">
        <v>2436547</v>
      </c>
      <c r="B4029" t="s">
        <v>2968</v>
      </c>
      <c r="C4029" s="4" t="s">
        <v>1010</v>
      </c>
      <c r="D4029" s="4" t="s">
        <v>209</v>
      </c>
      <c r="E4029" s="4" t="s">
        <v>375</v>
      </c>
      <c r="F4029" s="1">
        <v>46129</v>
      </c>
      <c r="G4029" t="str">
        <f t="shared" si="122"/>
        <v>Apr -2026</v>
      </c>
    </row>
    <row r="4030" spans="1:7" x14ac:dyDescent="0.3">
      <c r="A4030" s="4">
        <v>2436490</v>
      </c>
      <c r="B4030" t="s">
        <v>2969</v>
      </c>
      <c r="C4030" s="4" t="s">
        <v>1010</v>
      </c>
      <c r="D4030" s="4" t="s">
        <v>209</v>
      </c>
      <c r="E4030" s="4" t="s">
        <v>375</v>
      </c>
      <c r="F4030" s="1">
        <v>46129</v>
      </c>
      <c r="G4030" t="str">
        <f t="shared" si="122"/>
        <v>Apr -2026</v>
      </c>
    </row>
    <row r="4031" spans="1:7" x14ac:dyDescent="0.3">
      <c r="A4031" s="4">
        <v>2426813</v>
      </c>
      <c r="B4031" t="s">
        <v>2886</v>
      </c>
      <c r="C4031" s="4" t="s">
        <v>1010</v>
      </c>
      <c r="D4031" s="4" t="s">
        <v>209</v>
      </c>
      <c r="E4031" s="4" t="s">
        <v>375</v>
      </c>
      <c r="F4031" s="1">
        <v>46129</v>
      </c>
      <c r="G4031" t="str">
        <f t="shared" si="122"/>
        <v>Apr -2026</v>
      </c>
    </row>
    <row r="4032" spans="1:7" x14ac:dyDescent="0.3">
      <c r="A4032" s="4">
        <v>2438786</v>
      </c>
      <c r="B4032" t="s">
        <v>2941</v>
      </c>
      <c r="C4032" s="4" t="s">
        <v>1010</v>
      </c>
      <c r="D4032" s="4" t="s">
        <v>209</v>
      </c>
      <c r="E4032" s="4" t="s">
        <v>375</v>
      </c>
      <c r="F4032" s="1">
        <v>46129</v>
      </c>
      <c r="G4032" t="str">
        <f t="shared" si="122"/>
        <v>Apr -2026</v>
      </c>
    </row>
    <row r="4033" spans="1:7" x14ac:dyDescent="0.3">
      <c r="A4033" s="4">
        <v>2438873</v>
      </c>
      <c r="B4033" t="s">
        <v>2970</v>
      </c>
      <c r="C4033" s="4" t="s">
        <v>1010</v>
      </c>
      <c r="D4033" s="4" t="s">
        <v>209</v>
      </c>
      <c r="E4033" s="4" t="s">
        <v>210</v>
      </c>
      <c r="F4033" s="1">
        <v>46129</v>
      </c>
      <c r="G4033" t="str">
        <f t="shared" si="122"/>
        <v>Apr -2026</v>
      </c>
    </row>
    <row r="4034" spans="1:7" x14ac:dyDescent="0.3">
      <c r="A4034" s="4">
        <v>100005227</v>
      </c>
      <c r="B4034" t="s">
        <v>2971</v>
      </c>
      <c r="C4034" s="4" t="s">
        <v>1010</v>
      </c>
      <c r="D4034" s="4" t="s">
        <v>209</v>
      </c>
      <c r="E4034" s="4" t="s">
        <v>1877</v>
      </c>
      <c r="F4034" s="1">
        <v>46129</v>
      </c>
      <c r="G4034" t="str">
        <f t="shared" si="122"/>
        <v>Apr -2026</v>
      </c>
    </row>
    <row r="4035" spans="1:7" x14ac:dyDescent="0.3">
      <c r="A4035" s="4">
        <v>100005595</v>
      </c>
      <c r="B4035" t="s">
        <v>2972</v>
      </c>
      <c r="C4035" s="4" t="s">
        <v>1010</v>
      </c>
      <c r="D4035" s="4" t="s">
        <v>209</v>
      </c>
      <c r="E4035" s="4" t="s">
        <v>1877</v>
      </c>
      <c r="F4035" s="1">
        <v>46129</v>
      </c>
      <c r="G4035" t="str">
        <f t="shared" si="122"/>
        <v>Apr -2026</v>
      </c>
    </row>
    <row r="4036" spans="1:7" x14ac:dyDescent="0.3">
      <c r="A4036" s="4">
        <v>100005184</v>
      </c>
      <c r="B4036" t="s">
        <v>2973</v>
      </c>
      <c r="C4036" s="4" t="s">
        <v>1010</v>
      </c>
      <c r="D4036" s="4" t="s">
        <v>209</v>
      </c>
      <c r="E4036" s="4" t="s">
        <v>1877</v>
      </c>
      <c r="F4036" s="1">
        <v>46129</v>
      </c>
      <c r="G4036" t="str">
        <f t="shared" si="122"/>
        <v>Apr -2026</v>
      </c>
    </row>
    <row r="4037" spans="1:7" x14ac:dyDescent="0.3">
      <c r="A4037" s="4">
        <v>100004534</v>
      </c>
      <c r="B4037" t="s">
        <v>2974</v>
      </c>
      <c r="C4037" s="4" t="s">
        <v>1010</v>
      </c>
      <c r="D4037" s="4" t="s">
        <v>209</v>
      </c>
      <c r="E4037" s="4" t="s">
        <v>1877</v>
      </c>
      <c r="F4037" s="1">
        <v>46129</v>
      </c>
      <c r="G4037" t="str">
        <f t="shared" si="122"/>
        <v>Apr -2026</v>
      </c>
    </row>
    <row r="4038" spans="1:7" x14ac:dyDescent="0.3">
      <c r="A4038" s="4">
        <v>100004522</v>
      </c>
      <c r="B4038" t="s">
        <v>2975</v>
      </c>
      <c r="C4038" s="4" t="s">
        <v>1010</v>
      </c>
      <c r="D4038" s="4" t="s">
        <v>209</v>
      </c>
      <c r="E4038" s="4" t="s">
        <v>1877</v>
      </c>
      <c r="F4038" s="1">
        <v>46129</v>
      </c>
      <c r="G4038" t="str">
        <f t="shared" si="122"/>
        <v>Apr -2026</v>
      </c>
    </row>
    <row r="4039" spans="1:7" x14ac:dyDescent="0.3">
      <c r="A4039" s="4">
        <v>900007262</v>
      </c>
      <c r="B4039" t="s">
        <v>2902</v>
      </c>
      <c r="C4039" s="4" t="s">
        <v>1010</v>
      </c>
      <c r="D4039" s="4" t="s">
        <v>209</v>
      </c>
      <c r="E4039" s="4" t="s">
        <v>1877</v>
      </c>
      <c r="F4039" s="1">
        <v>46129</v>
      </c>
      <c r="G4039" t="str">
        <f t="shared" si="122"/>
        <v>Apr -2026</v>
      </c>
    </row>
    <row r="4040" spans="1:7" x14ac:dyDescent="0.3">
      <c r="A4040" s="4">
        <v>2436093</v>
      </c>
      <c r="B4040" t="s">
        <v>2976</v>
      </c>
      <c r="C4040" s="4" t="s">
        <v>1010</v>
      </c>
      <c r="D4040" s="4" t="s">
        <v>1020</v>
      </c>
      <c r="E4040" s="4" t="s">
        <v>2310</v>
      </c>
      <c r="F4040" s="1">
        <v>46129</v>
      </c>
      <c r="G4040" t="str">
        <f t="shared" si="122"/>
        <v>Apr -2026</v>
      </c>
    </row>
    <row r="4041" spans="1:7" x14ac:dyDescent="0.3">
      <c r="A4041" s="4">
        <v>900007315</v>
      </c>
      <c r="B4041" t="s">
        <v>2977</v>
      </c>
      <c r="C4041" s="4" t="s">
        <v>1010</v>
      </c>
      <c r="D4041" s="4" t="s">
        <v>209</v>
      </c>
      <c r="E4041" s="4" t="s">
        <v>1877</v>
      </c>
      <c r="F4041" s="1">
        <v>46129</v>
      </c>
      <c r="G4041" t="str">
        <f t="shared" si="122"/>
        <v>Apr -2026</v>
      </c>
    </row>
    <row r="4042" spans="1:7" x14ac:dyDescent="0.3">
      <c r="A4042" s="4">
        <v>2439501</v>
      </c>
      <c r="B4042" t="s">
        <v>2978</v>
      </c>
      <c r="C4042" s="4" t="s">
        <v>1010</v>
      </c>
      <c r="D4042" s="4" t="s">
        <v>1020</v>
      </c>
      <c r="E4042" s="4" t="s">
        <v>2954</v>
      </c>
      <c r="F4042" s="1">
        <v>46129</v>
      </c>
      <c r="G4042" t="str">
        <f t="shared" si="122"/>
        <v>Apr -2026</v>
      </c>
    </row>
    <row r="4043" spans="1:7" x14ac:dyDescent="0.3">
      <c r="A4043" s="4">
        <v>2436437</v>
      </c>
      <c r="B4043" t="s">
        <v>2979</v>
      </c>
      <c r="C4043" s="4" t="s">
        <v>1010</v>
      </c>
      <c r="D4043" s="4" t="s">
        <v>1020</v>
      </c>
      <c r="E4043" s="4" t="s">
        <v>2940</v>
      </c>
      <c r="F4043" s="1">
        <v>46129</v>
      </c>
      <c r="G4043" t="str">
        <f t="shared" si="122"/>
        <v>Apr -2026</v>
      </c>
    </row>
    <row r="4044" spans="1:7" x14ac:dyDescent="0.3">
      <c r="A4044" s="4">
        <v>100006054</v>
      </c>
      <c r="B4044" t="s">
        <v>2980</v>
      </c>
      <c r="C4044" s="3" t="s">
        <v>1011</v>
      </c>
      <c r="D4044" s="4" t="s">
        <v>2015</v>
      </c>
      <c r="E4044" s="4" t="s">
        <v>1569</v>
      </c>
      <c r="F4044" s="1">
        <v>46129</v>
      </c>
      <c r="G4044" t="str">
        <f t="shared" si="122"/>
        <v>Apr -2026</v>
      </c>
    </row>
    <row r="4045" spans="1:7" x14ac:dyDescent="0.3">
      <c r="A4045" s="4">
        <v>100006068</v>
      </c>
      <c r="B4045" t="s">
        <v>2981</v>
      </c>
      <c r="C4045" s="3" t="s">
        <v>1011</v>
      </c>
      <c r="D4045" s="4" t="s">
        <v>2015</v>
      </c>
      <c r="E4045" s="4" t="s">
        <v>2653</v>
      </c>
      <c r="F4045" s="1">
        <v>46129</v>
      </c>
      <c r="G4045" t="str">
        <f t="shared" si="122"/>
        <v>Apr -2026</v>
      </c>
    </row>
    <row r="4046" spans="1:7" x14ac:dyDescent="0.3">
      <c r="A4046" s="4">
        <v>100006069</v>
      </c>
      <c r="B4046" t="s">
        <v>2982</v>
      </c>
      <c r="C4046" s="3" t="s">
        <v>1011</v>
      </c>
      <c r="D4046" s="4" t="s">
        <v>2015</v>
      </c>
      <c r="E4046" s="4" t="s">
        <v>1369</v>
      </c>
      <c r="F4046" s="1">
        <v>46129</v>
      </c>
      <c r="G4046" t="str">
        <f t="shared" si="122"/>
        <v>Apr -2026</v>
      </c>
    </row>
    <row r="4047" spans="1:7" x14ac:dyDescent="0.3">
      <c r="A4047" s="4">
        <v>2444176</v>
      </c>
      <c r="B4047" t="s">
        <v>2984</v>
      </c>
      <c r="C4047" s="4" t="s">
        <v>1010</v>
      </c>
      <c r="D4047" s="4" t="s">
        <v>209</v>
      </c>
      <c r="E4047" s="4" t="s">
        <v>196</v>
      </c>
      <c r="F4047" s="1">
        <v>46132</v>
      </c>
      <c r="G4047" t="str">
        <f t="shared" si="122"/>
        <v>Apr -2026</v>
      </c>
    </row>
    <row r="4048" spans="1:7" x14ac:dyDescent="0.3">
      <c r="A4048" s="4">
        <v>2443770</v>
      </c>
      <c r="B4048" t="s">
        <v>2985</v>
      </c>
      <c r="C4048" s="4" t="s">
        <v>1010</v>
      </c>
      <c r="D4048" s="4" t="s">
        <v>209</v>
      </c>
      <c r="E4048" s="4" t="s">
        <v>375</v>
      </c>
      <c r="F4048" s="1">
        <v>46132</v>
      </c>
      <c r="G4048" t="str">
        <f t="shared" si="122"/>
        <v>Apr -2026</v>
      </c>
    </row>
    <row r="4049" spans="1:7" x14ac:dyDescent="0.3">
      <c r="A4049" s="4">
        <v>2444535</v>
      </c>
      <c r="B4049" t="s">
        <v>2986</v>
      </c>
      <c r="C4049" s="4" t="s">
        <v>1010</v>
      </c>
      <c r="D4049" s="4" t="s">
        <v>209</v>
      </c>
      <c r="E4049" s="4" t="s">
        <v>375</v>
      </c>
      <c r="F4049" s="1">
        <v>46132</v>
      </c>
      <c r="G4049" t="str">
        <f t="shared" si="122"/>
        <v>Apr -2026</v>
      </c>
    </row>
    <row r="4050" spans="1:7" x14ac:dyDescent="0.3">
      <c r="A4050" s="4">
        <v>2443735</v>
      </c>
      <c r="B4050" t="s">
        <v>2987</v>
      </c>
      <c r="C4050" s="4" t="s">
        <v>1010</v>
      </c>
      <c r="D4050" s="4" t="s">
        <v>209</v>
      </c>
      <c r="E4050" s="4" t="s">
        <v>375</v>
      </c>
      <c r="F4050" s="1">
        <v>46132</v>
      </c>
      <c r="G4050" t="str">
        <f t="shared" si="122"/>
        <v>Apr -2026</v>
      </c>
    </row>
    <row r="4051" spans="1:7" x14ac:dyDescent="0.3">
      <c r="A4051" s="4">
        <v>2430343</v>
      </c>
      <c r="B4051" t="s">
        <v>47</v>
      </c>
      <c r="C4051" s="4" t="s">
        <v>1010</v>
      </c>
      <c r="D4051" s="4" t="s">
        <v>1020</v>
      </c>
      <c r="E4051" s="4" t="s">
        <v>211</v>
      </c>
      <c r="F4051" s="1">
        <v>46132</v>
      </c>
      <c r="G4051" t="str">
        <f t="shared" si="122"/>
        <v>Apr -2026</v>
      </c>
    </row>
    <row r="4052" spans="1:7" x14ac:dyDescent="0.3">
      <c r="A4052" s="4">
        <v>2432619</v>
      </c>
      <c r="B4052" t="s">
        <v>47</v>
      </c>
      <c r="C4052" s="4" t="s">
        <v>1010</v>
      </c>
      <c r="D4052" s="4" t="s">
        <v>1020</v>
      </c>
      <c r="E4052" s="4" t="s">
        <v>211</v>
      </c>
      <c r="F4052" s="1">
        <v>46132</v>
      </c>
      <c r="G4052" t="str">
        <f t="shared" si="122"/>
        <v>Apr -2026</v>
      </c>
    </row>
    <row r="4053" spans="1:7" x14ac:dyDescent="0.3">
      <c r="A4053" s="4">
        <v>2438556</v>
      </c>
      <c r="B4053" t="s">
        <v>2988</v>
      </c>
      <c r="C4053" s="4" t="s">
        <v>1010</v>
      </c>
      <c r="D4053" s="4" t="s">
        <v>1020</v>
      </c>
      <c r="E4053" s="4" t="s">
        <v>2028</v>
      </c>
      <c r="F4053" s="1">
        <v>46132</v>
      </c>
      <c r="G4053" t="str">
        <f t="shared" si="122"/>
        <v>Apr -2026</v>
      </c>
    </row>
    <row r="4054" spans="1:7" x14ac:dyDescent="0.3">
      <c r="A4054" s="4">
        <v>2444884</v>
      </c>
      <c r="B4054" t="s">
        <v>2989</v>
      </c>
      <c r="C4054" s="4" t="s">
        <v>1010</v>
      </c>
      <c r="D4054" s="4" t="s">
        <v>1020</v>
      </c>
      <c r="E4054" s="4" t="s">
        <v>2310</v>
      </c>
      <c r="F4054" s="1">
        <v>46132</v>
      </c>
      <c r="G4054" t="str">
        <f t="shared" si="122"/>
        <v>Apr -2026</v>
      </c>
    </row>
    <row r="4055" spans="1:7" x14ac:dyDescent="0.3">
      <c r="A4055" s="4">
        <v>2444409</v>
      </c>
      <c r="B4055" t="s">
        <v>2990</v>
      </c>
      <c r="C4055" s="4" t="s">
        <v>1010</v>
      </c>
      <c r="D4055" s="4" t="s">
        <v>209</v>
      </c>
      <c r="E4055" s="4" t="s">
        <v>2305</v>
      </c>
      <c r="F4055" s="1">
        <v>46132</v>
      </c>
      <c r="G4055" t="str">
        <f t="shared" si="122"/>
        <v>Apr -2026</v>
      </c>
    </row>
    <row r="4056" spans="1:7" x14ac:dyDescent="0.3">
      <c r="A4056" s="4">
        <v>2444480</v>
      </c>
      <c r="B4056" t="s">
        <v>2990</v>
      </c>
      <c r="C4056" s="4" t="s">
        <v>1010</v>
      </c>
      <c r="D4056" s="4" t="s">
        <v>209</v>
      </c>
      <c r="E4056" s="4" t="s">
        <v>2305</v>
      </c>
      <c r="F4056" s="1">
        <v>46132</v>
      </c>
      <c r="G4056" t="str">
        <f t="shared" si="122"/>
        <v>Apr -2026</v>
      </c>
    </row>
    <row r="4057" spans="1:7" x14ac:dyDescent="0.3">
      <c r="A4057" s="4">
        <v>900007279</v>
      </c>
      <c r="B4057" t="s">
        <v>2991</v>
      </c>
      <c r="C4057" s="4" t="s">
        <v>1010</v>
      </c>
      <c r="D4057" s="4" t="s">
        <v>209</v>
      </c>
      <c r="E4057" s="4" t="s">
        <v>1877</v>
      </c>
      <c r="F4057" s="1">
        <v>46132</v>
      </c>
      <c r="G4057" t="str">
        <f t="shared" si="122"/>
        <v>Apr -2026</v>
      </c>
    </row>
    <row r="4058" spans="1:7" x14ac:dyDescent="0.3">
      <c r="A4058" s="4">
        <v>900007319</v>
      </c>
      <c r="B4058" t="s">
        <v>2992</v>
      </c>
      <c r="C4058" s="4" t="s">
        <v>1010</v>
      </c>
      <c r="D4058" s="4" t="s">
        <v>209</v>
      </c>
      <c r="E4058" s="4" t="s">
        <v>1877</v>
      </c>
      <c r="F4058" s="1">
        <v>46132</v>
      </c>
      <c r="G4058" t="str">
        <f t="shared" si="122"/>
        <v>Apr -2026</v>
      </c>
    </row>
    <row r="4059" spans="1:7" x14ac:dyDescent="0.3">
      <c r="A4059" s="4">
        <v>900007299</v>
      </c>
      <c r="B4059" t="s">
        <v>438</v>
      </c>
      <c r="C4059" s="4" t="s">
        <v>1010</v>
      </c>
      <c r="D4059" s="4" t="s">
        <v>2993</v>
      </c>
      <c r="E4059" s="4" t="s">
        <v>1877</v>
      </c>
      <c r="F4059" s="1">
        <v>46132</v>
      </c>
      <c r="G4059" t="str">
        <f t="shared" si="122"/>
        <v>Apr -2026</v>
      </c>
    </row>
    <row r="4060" spans="1:7" x14ac:dyDescent="0.3">
      <c r="A4060" s="4">
        <v>2445554</v>
      </c>
      <c r="B4060" t="s">
        <v>2899</v>
      </c>
      <c r="C4060" s="4" t="s">
        <v>1010</v>
      </c>
      <c r="D4060" s="4" t="s">
        <v>1020</v>
      </c>
      <c r="E4060" s="4" t="s">
        <v>2940</v>
      </c>
      <c r="F4060" s="1">
        <v>46132</v>
      </c>
      <c r="G4060" t="str">
        <f t="shared" si="122"/>
        <v>Apr -2026</v>
      </c>
    </row>
    <row r="4061" spans="1:7" x14ac:dyDescent="0.3">
      <c r="A4061" s="4">
        <v>2445942</v>
      </c>
      <c r="B4061" t="s">
        <v>2994</v>
      </c>
      <c r="C4061" s="4" t="s">
        <v>1010</v>
      </c>
      <c r="D4061" s="4" t="s">
        <v>1020</v>
      </c>
      <c r="E4061" s="4" t="s">
        <v>2940</v>
      </c>
      <c r="F4061" s="1">
        <v>46132</v>
      </c>
      <c r="G4061" t="str">
        <f t="shared" si="122"/>
        <v>Apr -2026</v>
      </c>
    </row>
    <row r="4062" spans="1:7" x14ac:dyDescent="0.3">
      <c r="A4062" s="4">
        <v>2445843</v>
      </c>
      <c r="B4062" t="s">
        <v>2994</v>
      </c>
      <c r="C4062" s="4" t="s">
        <v>1010</v>
      </c>
      <c r="D4062" s="4" t="s">
        <v>1020</v>
      </c>
      <c r="E4062" s="4" t="s">
        <v>2940</v>
      </c>
      <c r="F4062" s="1">
        <v>46132</v>
      </c>
      <c r="G4062" t="str">
        <f t="shared" si="122"/>
        <v>Apr -2026</v>
      </c>
    </row>
    <row r="4063" spans="1:7" x14ac:dyDescent="0.3">
      <c r="A4063" s="4">
        <v>2445855</v>
      </c>
      <c r="B4063" t="s">
        <v>2994</v>
      </c>
      <c r="C4063" s="4" t="s">
        <v>1010</v>
      </c>
      <c r="D4063" s="4" t="s">
        <v>1020</v>
      </c>
      <c r="E4063" s="4" t="s">
        <v>2940</v>
      </c>
      <c r="F4063" s="1">
        <v>46132</v>
      </c>
      <c r="G4063" t="str">
        <f t="shared" si="122"/>
        <v>Apr -2026</v>
      </c>
    </row>
    <row r="4064" spans="1:7" x14ac:dyDescent="0.3">
      <c r="A4064" s="4">
        <v>2445857</v>
      </c>
      <c r="B4064" t="s">
        <v>2994</v>
      </c>
      <c r="C4064" s="4" t="s">
        <v>1010</v>
      </c>
      <c r="D4064" s="4" t="s">
        <v>1020</v>
      </c>
      <c r="E4064" s="4" t="s">
        <v>2940</v>
      </c>
      <c r="F4064" s="1">
        <v>46132</v>
      </c>
      <c r="G4064" t="str">
        <f t="shared" si="122"/>
        <v>Apr -2026</v>
      </c>
    </row>
    <row r="4065" spans="1:7" x14ac:dyDescent="0.3">
      <c r="A4065" s="4">
        <v>2446027</v>
      </c>
      <c r="B4065" t="s">
        <v>2995</v>
      </c>
      <c r="C4065" s="4" t="s">
        <v>1010</v>
      </c>
      <c r="D4065" s="4" t="s">
        <v>1020</v>
      </c>
      <c r="E4065" s="4" t="s">
        <v>2940</v>
      </c>
      <c r="F4065" s="1">
        <v>46132</v>
      </c>
      <c r="G4065" t="str">
        <f t="shared" si="122"/>
        <v>Apr -2026</v>
      </c>
    </row>
    <row r="4066" spans="1:7" x14ac:dyDescent="0.3">
      <c r="A4066" s="4">
        <v>2439501</v>
      </c>
      <c r="B4066" t="s">
        <v>2978</v>
      </c>
      <c r="C4066" s="4" t="s">
        <v>1010</v>
      </c>
      <c r="D4066" s="4" t="s">
        <v>1020</v>
      </c>
      <c r="E4066" s="4" t="s">
        <v>2940</v>
      </c>
      <c r="F4066" s="1">
        <v>46132</v>
      </c>
      <c r="G4066" t="str">
        <f t="shared" si="122"/>
        <v>Apr -2026</v>
      </c>
    </row>
    <row r="4067" spans="1:7" x14ac:dyDescent="0.3">
      <c r="A4067" s="4">
        <v>2444961</v>
      </c>
      <c r="B4067" t="s">
        <v>2996</v>
      </c>
      <c r="C4067" s="4" t="s">
        <v>1010</v>
      </c>
      <c r="D4067" s="4" t="s">
        <v>209</v>
      </c>
      <c r="E4067" s="4" t="s">
        <v>375</v>
      </c>
      <c r="F4067" s="1">
        <v>46132</v>
      </c>
      <c r="G4067" t="str">
        <f t="shared" si="122"/>
        <v>Apr -2026</v>
      </c>
    </row>
    <row r="4068" spans="1:7" x14ac:dyDescent="0.3">
      <c r="A4068" s="4">
        <v>100006077</v>
      </c>
      <c r="B4068" t="s">
        <v>2997</v>
      </c>
      <c r="C4068" s="3" t="s">
        <v>1011</v>
      </c>
      <c r="D4068" s="4" t="s">
        <v>2015</v>
      </c>
      <c r="E4068" s="4" t="s">
        <v>1369</v>
      </c>
      <c r="F4068" s="1">
        <v>46132</v>
      </c>
      <c r="G4068" t="str">
        <f t="shared" si="122"/>
        <v>Apr -2026</v>
      </c>
    </row>
    <row r="4069" spans="1:7" x14ac:dyDescent="0.3">
      <c r="A4069" s="4">
        <v>100006076</v>
      </c>
      <c r="B4069" t="s">
        <v>2998</v>
      </c>
      <c r="C4069" s="3" t="s">
        <v>1011</v>
      </c>
      <c r="D4069" s="4" t="s">
        <v>2015</v>
      </c>
      <c r="E4069" s="4" t="s">
        <v>981</v>
      </c>
      <c r="F4069" s="1">
        <v>46132</v>
      </c>
      <c r="G4069" t="str">
        <f t="shared" si="122"/>
        <v>Apr -2026</v>
      </c>
    </row>
    <row r="4070" spans="1:7" x14ac:dyDescent="0.3">
      <c r="A4070" s="4">
        <v>900007308</v>
      </c>
      <c r="B4070" t="s">
        <v>2999</v>
      </c>
      <c r="C4070" s="3" t="s">
        <v>1604</v>
      </c>
      <c r="D4070" s="4" t="s">
        <v>2031</v>
      </c>
      <c r="E4070" s="4" t="s">
        <v>1877</v>
      </c>
      <c r="F4070" s="1">
        <v>46132</v>
      </c>
      <c r="G4070" t="str">
        <f t="shared" si="122"/>
        <v>Apr -2026</v>
      </c>
    </row>
    <row r="4071" spans="1:7" x14ac:dyDescent="0.3">
      <c r="A4071" s="4">
        <v>900007360</v>
      </c>
      <c r="B4071" t="s">
        <v>3000</v>
      </c>
      <c r="C4071" s="3" t="s">
        <v>1604</v>
      </c>
      <c r="D4071" s="4" t="s">
        <v>2031</v>
      </c>
      <c r="E4071" s="4" t="s">
        <v>1877</v>
      </c>
      <c r="F4071" s="1">
        <v>46132</v>
      </c>
      <c r="G4071" t="str">
        <f t="shared" si="122"/>
        <v>Apr -2026</v>
      </c>
    </row>
    <row r="4072" spans="1:7" x14ac:dyDescent="0.3">
      <c r="A4072" s="4">
        <v>2447504</v>
      </c>
      <c r="B4072" t="s">
        <v>2907</v>
      </c>
      <c r="C4072" s="4" t="s">
        <v>1010</v>
      </c>
      <c r="D4072" s="4" t="s">
        <v>209</v>
      </c>
      <c r="E4072" s="4" t="s">
        <v>2305</v>
      </c>
      <c r="F4072" s="1">
        <v>46133</v>
      </c>
      <c r="G4072" t="str">
        <f t="shared" si="122"/>
        <v>Apr -2026</v>
      </c>
    </row>
    <row r="4073" spans="1:7" x14ac:dyDescent="0.3">
      <c r="A4073" s="4">
        <v>2447469</v>
      </c>
      <c r="B4073" t="s">
        <v>2907</v>
      </c>
      <c r="C4073" s="4" t="s">
        <v>1010</v>
      </c>
      <c r="D4073" s="4" t="s">
        <v>209</v>
      </c>
      <c r="E4073" s="4" t="s">
        <v>2305</v>
      </c>
      <c r="F4073" s="1">
        <v>46133</v>
      </c>
      <c r="G4073" t="str">
        <f t="shared" si="122"/>
        <v>Apr -2026</v>
      </c>
    </row>
    <row r="4074" spans="1:7" x14ac:dyDescent="0.3">
      <c r="A4074" s="4">
        <v>2447491</v>
      </c>
      <c r="B4074" t="s">
        <v>2907</v>
      </c>
      <c r="C4074" s="4" t="s">
        <v>1010</v>
      </c>
      <c r="D4074" s="4" t="s">
        <v>209</v>
      </c>
      <c r="E4074" s="4" t="s">
        <v>2305</v>
      </c>
      <c r="F4074" s="1">
        <v>46133</v>
      </c>
      <c r="G4074" t="str">
        <f t="shared" si="122"/>
        <v>Apr -2026</v>
      </c>
    </row>
    <row r="4075" spans="1:7" x14ac:dyDescent="0.3">
      <c r="A4075" s="4">
        <v>2446107</v>
      </c>
      <c r="B4075" t="s">
        <v>3001</v>
      </c>
      <c r="C4075" s="4" t="s">
        <v>1010</v>
      </c>
      <c r="D4075" s="4" t="s">
        <v>209</v>
      </c>
      <c r="E4075" s="4" t="s">
        <v>375</v>
      </c>
      <c r="F4075" s="1">
        <v>46133</v>
      </c>
      <c r="G4075" t="str">
        <f t="shared" si="122"/>
        <v>Apr -2026</v>
      </c>
    </row>
    <row r="4076" spans="1:7" x14ac:dyDescent="0.3">
      <c r="A4076" s="4">
        <v>2447533</v>
      </c>
      <c r="B4076" t="s">
        <v>2907</v>
      </c>
      <c r="C4076" s="4" t="s">
        <v>1010</v>
      </c>
      <c r="D4076" s="4" t="s">
        <v>209</v>
      </c>
      <c r="E4076" s="4" t="s">
        <v>2305</v>
      </c>
      <c r="F4076" s="1">
        <v>46133</v>
      </c>
      <c r="G4076" t="str">
        <f t="shared" si="122"/>
        <v>Apr -2026</v>
      </c>
    </row>
    <row r="4077" spans="1:7" x14ac:dyDescent="0.3">
      <c r="A4077" s="4">
        <v>2447572</v>
      </c>
      <c r="B4077" t="s">
        <v>2907</v>
      </c>
      <c r="C4077" s="4" t="s">
        <v>1010</v>
      </c>
      <c r="D4077" s="4" t="s">
        <v>209</v>
      </c>
      <c r="E4077" s="4" t="s">
        <v>2305</v>
      </c>
      <c r="F4077" s="1">
        <v>46133</v>
      </c>
      <c r="G4077" t="str">
        <f t="shared" si="122"/>
        <v>Apr -2026</v>
      </c>
    </row>
    <row r="4078" spans="1:7" x14ac:dyDescent="0.3">
      <c r="A4078" s="4">
        <v>2446142</v>
      </c>
      <c r="B4078" t="s">
        <v>3001</v>
      </c>
      <c r="C4078" s="4" t="s">
        <v>1010</v>
      </c>
      <c r="D4078" s="4" t="s">
        <v>209</v>
      </c>
      <c r="E4078" s="4" t="s">
        <v>375</v>
      </c>
      <c r="F4078" s="1">
        <v>46133</v>
      </c>
      <c r="G4078" t="str">
        <f t="shared" si="122"/>
        <v>Apr -2026</v>
      </c>
    </row>
    <row r="4079" spans="1:7" x14ac:dyDescent="0.3">
      <c r="A4079" s="4">
        <v>2445740</v>
      </c>
      <c r="B4079" t="s">
        <v>2306</v>
      </c>
      <c r="C4079" s="4" t="s">
        <v>1010</v>
      </c>
      <c r="D4079" s="4" t="s">
        <v>209</v>
      </c>
      <c r="E4079" s="4" t="s">
        <v>2305</v>
      </c>
      <c r="F4079" s="1">
        <v>46133</v>
      </c>
      <c r="G4079" t="str">
        <f t="shared" si="122"/>
        <v>Apr -2026</v>
      </c>
    </row>
    <row r="4080" spans="1:7" x14ac:dyDescent="0.3">
      <c r="A4080" s="4">
        <v>2447494</v>
      </c>
      <c r="B4080" t="s">
        <v>2907</v>
      </c>
      <c r="C4080" s="4" t="s">
        <v>1010</v>
      </c>
      <c r="D4080" s="4" t="s">
        <v>209</v>
      </c>
      <c r="E4080" s="4" t="s">
        <v>2305</v>
      </c>
      <c r="F4080" s="1">
        <v>46133</v>
      </c>
      <c r="G4080" t="str">
        <f t="shared" si="122"/>
        <v>Apr -2026</v>
      </c>
    </row>
    <row r="4081" spans="1:7" x14ac:dyDescent="0.3">
      <c r="A4081" s="4">
        <v>2447534</v>
      </c>
      <c r="B4081" t="s">
        <v>2907</v>
      </c>
      <c r="C4081" s="4" t="s">
        <v>1010</v>
      </c>
      <c r="D4081" s="4" t="s">
        <v>209</v>
      </c>
      <c r="E4081" s="4" t="s">
        <v>2305</v>
      </c>
      <c r="F4081" s="1">
        <v>46133</v>
      </c>
      <c r="G4081" t="str">
        <f t="shared" si="122"/>
        <v>Apr -2026</v>
      </c>
    </row>
    <row r="4082" spans="1:7" x14ac:dyDescent="0.3">
      <c r="A4082" s="4">
        <v>2447542</v>
      </c>
      <c r="B4082" t="s">
        <v>2907</v>
      </c>
      <c r="C4082" s="4" t="s">
        <v>1010</v>
      </c>
      <c r="D4082" s="4" t="s">
        <v>209</v>
      </c>
      <c r="E4082" s="4" t="s">
        <v>2305</v>
      </c>
      <c r="F4082" s="1">
        <v>46133</v>
      </c>
      <c r="G4082" t="str">
        <f t="shared" si="122"/>
        <v>Apr -2026</v>
      </c>
    </row>
    <row r="4083" spans="1:7" x14ac:dyDescent="0.3">
      <c r="A4083" s="4">
        <v>2438685</v>
      </c>
      <c r="B4083" t="s">
        <v>3002</v>
      </c>
      <c r="C4083" s="4" t="s">
        <v>1010</v>
      </c>
      <c r="D4083" s="4" t="s">
        <v>1020</v>
      </c>
      <c r="E4083" s="4" t="s">
        <v>2940</v>
      </c>
      <c r="F4083" s="1">
        <v>46133</v>
      </c>
      <c r="G4083" t="str">
        <f t="shared" si="122"/>
        <v>Apr -2026</v>
      </c>
    </row>
    <row r="4084" spans="1:7" x14ac:dyDescent="0.3">
      <c r="A4084" s="4">
        <v>2448012</v>
      </c>
      <c r="B4084" t="s">
        <v>3003</v>
      </c>
      <c r="C4084" s="4" t="s">
        <v>1010</v>
      </c>
      <c r="D4084" s="4" t="s">
        <v>1020</v>
      </c>
      <c r="E4084" s="4" t="s">
        <v>2954</v>
      </c>
      <c r="F4084" s="1">
        <v>46133</v>
      </c>
      <c r="G4084" t="str">
        <f t="shared" si="122"/>
        <v>Apr -2026</v>
      </c>
    </row>
    <row r="4085" spans="1:7" x14ac:dyDescent="0.3">
      <c r="A4085" s="4">
        <v>2439235</v>
      </c>
      <c r="B4085" t="s">
        <v>3004</v>
      </c>
      <c r="C4085" s="4" t="s">
        <v>1010</v>
      </c>
      <c r="D4085" s="4" t="s">
        <v>1020</v>
      </c>
      <c r="E4085" s="4" t="s">
        <v>2940</v>
      </c>
      <c r="F4085" s="1">
        <v>46133</v>
      </c>
      <c r="G4085" t="str">
        <f t="shared" si="122"/>
        <v>Apr -2026</v>
      </c>
    </row>
    <row r="4086" spans="1:7" x14ac:dyDescent="0.3">
      <c r="A4086" s="4">
        <v>2439075</v>
      </c>
      <c r="B4086" t="s">
        <v>3004</v>
      </c>
      <c r="C4086" s="4" t="s">
        <v>1010</v>
      </c>
      <c r="D4086" s="4" t="s">
        <v>1020</v>
      </c>
      <c r="E4086" s="4" t="s">
        <v>2940</v>
      </c>
      <c r="F4086" s="1">
        <v>46133</v>
      </c>
      <c r="G4086" t="str">
        <f t="shared" si="122"/>
        <v>Apr -2026</v>
      </c>
    </row>
    <row r="4087" spans="1:7" x14ac:dyDescent="0.3">
      <c r="A4087" s="4">
        <v>2448537</v>
      </c>
      <c r="B4087" t="s">
        <v>3005</v>
      </c>
      <c r="C4087" s="4" t="s">
        <v>1010</v>
      </c>
      <c r="D4087" s="4" t="s">
        <v>1020</v>
      </c>
      <c r="E4087" s="4" t="s">
        <v>228</v>
      </c>
      <c r="F4087" s="1">
        <v>46133</v>
      </c>
      <c r="G4087" t="str">
        <f t="shared" si="122"/>
        <v>Apr -2026</v>
      </c>
    </row>
    <row r="4088" spans="1:7" x14ac:dyDescent="0.3">
      <c r="A4088" s="4">
        <v>900007356</v>
      </c>
      <c r="B4088" t="s">
        <v>3006</v>
      </c>
      <c r="C4088" s="4" t="s">
        <v>1010</v>
      </c>
      <c r="D4088" s="4" t="s">
        <v>209</v>
      </c>
      <c r="E4088" s="4" t="s">
        <v>1877</v>
      </c>
      <c r="F4088" s="1">
        <v>46133</v>
      </c>
      <c r="G4088" t="str">
        <f t="shared" si="122"/>
        <v>Apr -2026</v>
      </c>
    </row>
    <row r="4089" spans="1:7" x14ac:dyDescent="0.3">
      <c r="A4089" s="4">
        <v>900007364</v>
      </c>
      <c r="B4089" t="s">
        <v>3007</v>
      </c>
      <c r="C4089" s="4" t="s">
        <v>1010</v>
      </c>
      <c r="D4089" s="4" t="s">
        <v>209</v>
      </c>
      <c r="E4089" s="4" t="s">
        <v>1877</v>
      </c>
      <c r="F4089" s="1">
        <v>46133</v>
      </c>
      <c r="G4089" t="str">
        <f t="shared" si="122"/>
        <v>Apr -2026</v>
      </c>
    </row>
    <row r="4090" spans="1:7" x14ac:dyDescent="0.3">
      <c r="A4090" s="4">
        <v>2439117</v>
      </c>
      <c r="B4090" t="s">
        <v>3004</v>
      </c>
      <c r="C4090" s="4" t="s">
        <v>1010</v>
      </c>
      <c r="D4090" s="4" t="s">
        <v>1020</v>
      </c>
      <c r="E4090" s="4" t="s">
        <v>2940</v>
      </c>
      <c r="F4090" s="1">
        <v>46133</v>
      </c>
      <c r="G4090" t="str">
        <f t="shared" si="122"/>
        <v>Apr -2026</v>
      </c>
    </row>
    <row r="4091" spans="1:7" x14ac:dyDescent="0.3">
      <c r="A4091" s="4">
        <v>2439053</v>
      </c>
      <c r="B4091" t="s">
        <v>3004</v>
      </c>
      <c r="C4091" s="4" t="s">
        <v>1010</v>
      </c>
      <c r="D4091" s="4" t="s">
        <v>1020</v>
      </c>
      <c r="E4091" s="4" t="s">
        <v>2940</v>
      </c>
      <c r="F4091" s="1">
        <v>46133</v>
      </c>
      <c r="G4091" t="str">
        <f t="shared" ref="G4091:G4155" si="123">TEXT(F4091,"mmm -YYYY")</f>
        <v>Apr -2026</v>
      </c>
    </row>
    <row r="4092" spans="1:7" x14ac:dyDescent="0.3">
      <c r="A4092" s="4">
        <v>2439005</v>
      </c>
      <c r="B4092" t="s">
        <v>3004</v>
      </c>
      <c r="C4092" s="4" t="s">
        <v>1010</v>
      </c>
      <c r="D4092" s="4" t="s">
        <v>1020</v>
      </c>
      <c r="E4092" s="4" t="s">
        <v>2940</v>
      </c>
      <c r="F4092" s="1">
        <v>46133</v>
      </c>
      <c r="G4092" t="str">
        <f t="shared" si="123"/>
        <v>Apr -2026</v>
      </c>
    </row>
    <row r="4093" spans="1:7" x14ac:dyDescent="0.3">
      <c r="A4093" s="4">
        <v>2438958</v>
      </c>
      <c r="B4093" t="s">
        <v>3004</v>
      </c>
      <c r="C4093" s="4" t="s">
        <v>1010</v>
      </c>
      <c r="D4093" s="4" t="s">
        <v>1020</v>
      </c>
      <c r="E4093" s="4" t="s">
        <v>2940</v>
      </c>
      <c r="F4093" s="1">
        <v>46133</v>
      </c>
      <c r="G4093" t="str">
        <f t="shared" si="123"/>
        <v>Apr -2026</v>
      </c>
    </row>
    <row r="4094" spans="1:7" x14ac:dyDescent="0.3">
      <c r="A4094" s="4">
        <v>2436669</v>
      </c>
      <c r="B4094" t="s">
        <v>2979</v>
      </c>
      <c r="C4094" s="4" t="s">
        <v>1010</v>
      </c>
      <c r="D4094" s="4" t="s">
        <v>1020</v>
      </c>
      <c r="E4094" s="4" t="s">
        <v>2940</v>
      </c>
      <c r="F4094" s="1">
        <v>46133</v>
      </c>
      <c r="G4094" t="str">
        <f t="shared" si="123"/>
        <v>Apr -2026</v>
      </c>
    </row>
    <row r="4095" spans="1:7" x14ac:dyDescent="0.3">
      <c r="A4095" s="4">
        <v>2436570</v>
      </c>
      <c r="B4095" t="s">
        <v>2979</v>
      </c>
      <c r="C4095" s="4" t="s">
        <v>1010</v>
      </c>
      <c r="D4095" s="4" t="s">
        <v>1020</v>
      </c>
      <c r="E4095" s="4" t="s">
        <v>2940</v>
      </c>
      <c r="F4095" s="1">
        <v>46133</v>
      </c>
      <c r="G4095" t="str">
        <f t="shared" si="123"/>
        <v>Apr -2026</v>
      </c>
    </row>
    <row r="4096" spans="1:7" x14ac:dyDescent="0.3">
      <c r="A4096" s="4">
        <v>2436706</v>
      </c>
      <c r="B4096" t="s">
        <v>2979</v>
      </c>
      <c r="C4096" s="4" t="s">
        <v>1010</v>
      </c>
      <c r="D4096" s="4" t="s">
        <v>1020</v>
      </c>
      <c r="E4096" s="4" t="s">
        <v>2940</v>
      </c>
      <c r="F4096" s="1">
        <v>46133</v>
      </c>
      <c r="G4096" t="str">
        <f t="shared" si="123"/>
        <v>Apr -2026</v>
      </c>
    </row>
    <row r="4097" spans="1:7" x14ac:dyDescent="0.3">
      <c r="A4097" s="4">
        <v>2436569</v>
      </c>
      <c r="B4097" t="s">
        <v>2979</v>
      </c>
      <c r="C4097" s="4" t="s">
        <v>1010</v>
      </c>
      <c r="D4097" s="4" t="s">
        <v>1020</v>
      </c>
      <c r="E4097" s="4" t="s">
        <v>2940</v>
      </c>
      <c r="F4097" s="1">
        <v>46133</v>
      </c>
      <c r="G4097" t="str">
        <f t="shared" si="123"/>
        <v>Apr -2026</v>
      </c>
    </row>
    <row r="4098" spans="1:7" x14ac:dyDescent="0.3">
      <c r="A4098" s="4">
        <v>2436639</v>
      </c>
      <c r="B4098" t="s">
        <v>2979</v>
      </c>
      <c r="C4098" s="4" t="s">
        <v>1010</v>
      </c>
      <c r="D4098" s="4" t="s">
        <v>1020</v>
      </c>
      <c r="E4098" s="4" t="s">
        <v>2940</v>
      </c>
      <c r="F4098" s="1">
        <v>46133</v>
      </c>
      <c r="G4098" t="str">
        <f t="shared" si="123"/>
        <v>Apr -2026</v>
      </c>
    </row>
    <row r="4099" spans="1:7" x14ac:dyDescent="0.3">
      <c r="A4099" s="4">
        <v>2436586</v>
      </c>
      <c r="B4099" t="s">
        <v>2979</v>
      </c>
      <c r="C4099" s="4" t="s">
        <v>1010</v>
      </c>
      <c r="D4099" s="4" t="s">
        <v>1020</v>
      </c>
      <c r="E4099" s="4" t="s">
        <v>2940</v>
      </c>
      <c r="F4099" s="1">
        <v>46133</v>
      </c>
      <c r="G4099" t="str">
        <f t="shared" si="123"/>
        <v>Apr -2026</v>
      </c>
    </row>
    <row r="4100" spans="1:7" x14ac:dyDescent="0.3">
      <c r="A4100" s="4">
        <v>2436406</v>
      </c>
      <c r="B4100" t="s">
        <v>301</v>
      </c>
      <c r="C4100" s="4" t="s">
        <v>1010</v>
      </c>
      <c r="D4100" s="4" t="s">
        <v>1020</v>
      </c>
      <c r="E4100" s="4" t="s">
        <v>268</v>
      </c>
      <c r="F4100" s="1">
        <v>46133</v>
      </c>
      <c r="G4100" t="str">
        <f t="shared" si="123"/>
        <v>Apr -2026</v>
      </c>
    </row>
    <row r="4101" spans="1:7" x14ac:dyDescent="0.3">
      <c r="A4101" s="4">
        <v>2436409</v>
      </c>
      <c r="B4101" t="s">
        <v>301</v>
      </c>
      <c r="C4101" s="4" t="s">
        <v>1010</v>
      </c>
      <c r="D4101" s="4" t="s">
        <v>1020</v>
      </c>
      <c r="E4101" s="4" t="s">
        <v>268</v>
      </c>
      <c r="F4101" s="1">
        <v>46133</v>
      </c>
      <c r="G4101" t="str">
        <f t="shared" si="123"/>
        <v>Apr -2026</v>
      </c>
    </row>
    <row r="4102" spans="1:7" x14ac:dyDescent="0.3">
      <c r="A4102" s="4">
        <v>2436534</v>
      </c>
      <c r="B4102" t="s">
        <v>301</v>
      </c>
      <c r="C4102" s="4" t="s">
        <v>1010</v>
      </c>
      <c r="D4102" s="4" t="s">
        <v>1020</v>
      </c>
      <c r="E4102" s="4" t="s">
        <v>268</v>
      </c>
      <c r="F4102" s="1">
        <v>46133</v>
      </c>
      <c r="G4102" t="str">
        <f t="shared" si="123"/>
        <v>Apr -2026</v>
      </c>
    </row>
    <row r="4103" spans="1:7" x14ac:dyDescent="0.3">
      <c r="A4103" s="4">
        <v>900007298</v>
      </c>
      <c r="B4103" t="s">
        <v>3008</v>
      </c>
      <c r="C4103" s="3" t="s">
        <v>1604</v>
      </c>
      <c r="D4103" s="4" t="s">
        <v>2018</v>
      </c>
      <c r="E4103" s="4" t="s">
        <v>1877</v>
      </c>
      <c r="F4103" s="1">
        <v>46133</v>
      </c>
      <c r="G4103" t="str">
        <f t="shared" si="123"/>
        <v>Apr -2026</v>
      </c>
    </row>
    <row r="4104" spans="1:7" x14ac:dyDescent="0.3">
      <c r="A4104" s="4">
        <v>900007330</v>
      </c>
      <c r="B4104" t="s">
        <v>2932</v>
      </c>
      <c r="C4104" s="3" t="s">
        <v>1604</v>
      </c>
      <c r="D4104" s="4" t="s">
        <v>2018</v>
      </c>
      <c r="E4104" s="4" t="s">
        <v>1877</v>
      </c>
      <c r="F4104" s="1">
        <v>46133</v>
      </c>
      <c r="G4104" t="str">
        <f t="shared" si="123"/>
        <v>Apr -2026</v>
      </c>
    </row>
    <row r="4105" spans="1:7" x14ac:dyDescent="0.3">
      <c r="A4105" s="4">
        <v>900007351</v>
      </c>
      <c r="B4105" t="s">
        <v>2956</v>
      </c>
      <c r="C4105" s="3" t="s">
        <v>1604</v>
      </c>
      <c r="D4105" s="4" t="s">
        <v>2018</v>
      </c>
      <c r="E4105" s="4" t="s">
        <v>1877</v>
      </c>
      <c r="F4105" s="1">
        <v>46133</v>
      </c>
      <c r="G4105" t="str">
        <f t="shared" si="123"/>
        <v>Apr -2026</v>
      </c>
    </row>
    <row r="4106" spans="1:7" x14ac:dyDescent="0.3">
      <c r="A4106" s="4">
        <v>900007306</v>
      </c>
      <c r="B4106" t="s">
        <v>3009</v>
      </c>
      <c r="C4106" s="3" t="s">
        <v>1604</v>
      </c>
      <c r="D4106" s="4" t="s">
        <v>2018</v>
      </c>
      <c r="E4106" s="4" t="s">
        <v>1877</v>
      </c>
      <c r="F4106" s="1">
        <v>46133</v>
      </c>
      <c r="G4106" t="str">
        <f t="shared" si="123"/>
        <v>Apr -2026</v>
      </c>
    </row>
    <row r="4107" spans="1:7" x14ac:dyDescent="0.3">
      <c r="A4107" s="4">
        <v>900007279</v>
      </c>
      <c r="B4107" t="s">
        <v>2991</v>
      </c>
      <c r="C4107" s="3" t="s">
        <v>1604</v>
      </c>
      <c r="D4107" s="4" t="s">
        <v>2018</v>
      </c>
      <c r="E4107" s="4" t="s">
        <v>1877</v>
      </c>
      <c r="F4107" s="1">
        <v>46133</v>
      </c>
      <c r="G4107" t="str">
        <f t="shared" si="123"/>
        <v>Apr -2026</v>
      </c>
    </row>
    <row r="4108" spans="1:7" x14ac:dyDescent="0.3">
      <c r="A4108" s="4">
        <v>900007278</v>
      </c>
      <c r="B4108" t="s">
        <v>3010</v>
      </c>
      <c r="C4108" s="3" t="s">
        <v>1604</v>
      </c>
      <c r="D4108" s="4" t="s">
        <v>2018</v>
      </c>
      <c r="E4108" s="4" t="s">
        <v>1877</v>
      </c>
      <c r="F4108" s="1">
        <v>46133</v>
      </c>
      <c r="G4108" t="str">
        <f t="shared" si="123"/>
        <v>Apr -2026</v>
      </c>
    </row>
    <row r="4109" spans="1:7" x14ac:dyDescent="0.3">
      <c r="A4109" s="4">
        <v>900007336</v>
      </c>
      <c r="B4109" t="s">
        <v>3011</v>
      </c>
      <c r="C4109" s="3" t="s">
        <v>1604</v>
      </c>
      <c r="D4109" s="4" t="s">
        <v>2018</v>
      </c>
      <c r="E4109" s="4" t="s">
        <v>1877</v>
      </c>
      <c r="F4109" s="1">
        <v>46133</v>
      </c>
      <c r="G4109" t="str">
        <f t="shared" si="123"/>
        <v>Apr -2026</v>
      </c>
    </row>
    <row r="4110" spans="1:7" x14ac:dyDescent="0.3">
      <c r="A4110" s="4">
        <v>900007352</v>
      </c>
      <c r="B4110" t="s">
        <v>3012</v>
      </c>
      <c r="C4110" s="3" t="s">
        <v>1604</v>
      </c>
      <c r="D4110" s="4" t="s">
        <v>2018</v>
      </c>
      <c r="E4110" s="4" t="s">
        <v>1877</v>
      </c>
      <c r="F4110" s="1">
        <v>46133</v>
      </c>
      <c r="G4110" t="str">
        <f t="shared" si="123"/>
        <v>Apr -2026</v>
      </c>
    </row>
    <row r="4111" spans="1:7" x14ac:dyDescent="0.3">
      <c r="A4111" s="4">
        <v>100005484</v>
      </c>
      <c r="B4111" t="s">
        <v>3013</v>
      </c>
      <c r="C4111" s="3" t="s">
        <v>1011</v>
      </c>
      <c r="D4111" s="4" t="s">
        <v>2015</v>
      </c>
      <c r="E4111" s="4" t="s">
        <v>2106</v>
      </c>
      <c r="F4111" s="1">
        <v>46133</v>
      </c>
      <c r="G4111" t="str">
        <f t="shared" si="123"/>
        <v>Apr -2026</v>
      </c>
    </row>
    <row r="4112" spans="1:7" x14ac:dyDescent="0.3">
      <c r="A4112" s="4">
        <v>2439117</v>
      </c>
      <c r="B4112" t="s">
        <v>3004</v>
      </c>
      <c r="C4112" s="4" t="s">
        <v>1010</v>
      </c>
      <c r="D4112" s="4" t="s">
        <v>1020</v>
      </c>
      <c r="E4112" s="4" t="s">
        <v>2940</v>
      </c>
      <c r="F4112" s="1">
        <v>46134</v>
      </c>
      <c r="G4112" t="str">
        <f t="shared" si="123"/>
        <v>Apr -2026</v>
      </c>
    </row>
    <row r="4113" spans="1:7" x14ac:dyDescent="0.3">
      <c r="A4113" s="4">
        <v>2439053</v>
      </c>
      <c r="B4113" t="s">
        <v>3004</v>
      </c>
      <c r="C4113" s="4" t="s">
        <v>1010</v>
      </c>
      <c r="D4113" s="4" t="s">
        <v>1020</v>
      </c>
      <c r="E4113" s="4" t="s">
        <v>2940</v>
      </c>
      <c r="F4113" s="1">
        <v>46134</v>
      </c>
      <c r="G4113" t="str">
        <f t="shared" si="123"/>
        <v>Apr -2026</v>
      </c>
    </row>
    <row r="4114" spans="1:7" x14ac:dyDescent="0.3">
      <c r="A4114" s="4">
        <v>2439005</v>
      </c>
      <c r="B4114" t="s">
        <v>3004</v>
      </c>
      <c r="C4114" s="4" t="s">
        <v>1010</v>
      </c>
      <c r="D4114" s="4" t="s">
        <v>1020</v>
      </c>
      <c r="E4114" s="4" t="s">
        <v>2940</v>
      </c>
      <c r="F4114" s="1">
        <v>46134</v>
      </c>
      <c r="G4114" t="str">
        <f t="shared" si="123"/>
        <v>Apr -2026</v>
      </c>
    </row>
    <row r="4115" spans="1:7" x14ac:dyDescent="0.3">
      <c r="A4115" s="4">
        <v>2438958</v>
      </c>
      <c r="B4115" t="s">
        <v>3004</v>
      </c>
      <c r="C4115" s="4" t="s">
        <v>1010</v>
      </c>
      <c r="D4115" s="4" t="s">
        <v>1020</v>
      </c>
      <c r="E4115" s="4" t="s">
        <v>2940</v>
      </c>
      <c r="F4115" s="1">
        <v>46134</v>
      </c>
      <c r="G4115" t="str">
        <f t="shared" si="123"/>
        <v>Apr -2026</v>
      </c>
    </row>
    <row r="4116" spans="1:7" x14ac:dyDescent="0.3">
      <c r="A4116" s="4">
        <v>2436669</v>
      </c>
      <c r="B4116" t="s">
        <v>2979</v>
      </c>
      <c r="C4116" s="4" t="s">
        <v>1010</v>
      </c>
      <c r="D4116" s="4" t="s">
        <v>1020</v>
      </c>
      <c r="E4116" s="4" t="s">
        <v>2940</v>
      </c>
      <c r="F4116" s="1">
        <v>46134</v>
      </c>
      <c r="G4116" t="str">
        <f t="shared" si="123"/>
        <v>Apr -2026</v>
      </c>
    </row>
    <row r="4117" spans="1:7" x14ac:dyDescent="0.3">
      <c r="A4117" s="4">
        <v>2436570</v>
      </c>
      <c r="B4117" t="s">
        <v>2979</v>
      </c>
      <c r="C4117" s="4" t="s">
        <v>1010</v>
      </c>
      <c r="D4117" s="4" t="s">
        <v>1020</v>
      </c>
      <c r="E4117" s="4" t="s">
        <v>2940</v>
      </c>
      <c r="F4117" s="1">
        <v>46134</v>
      </c>
      <c r="G4117" t="str">
        <f t="shared" si="123"/>
        <v>Apr -2026</v>
      </c>
    </row>
    <row r="4118" spans="1:7" x14ac:dyDescent="0.3">
      <c r="A4118" s="4">
        <v>2436706</v>
      </c>
      <c r="B4118" t="s">
        <v>2979</v>
      </c>
      <c r="C4118" s="4" t="s">
        <v>1010</v>
      </c>
      <c r="D4118" s="4" t="s">
        <v>1020</v>
      </c>
      <c r="E4118" s="4" t="s">
        <v>2940</v>
      </c>
      <c r="F4118" s="1">
        <v>46134</v>
      </c>
      <c r="G4118" t="str">
        <f t="shared" si="123"/>
        <v>Apr -2026</v>
      </c>
    </row>
    <row r="4119" spans="1:7" x14ac:dyDescent="0.3">
      <c r="A4119" s="4">
        <v>2436569</v>
      </c>
      <c r="B4119" t="s">
        <v>2979</v>
      </c>
      <c r="C4119" s="4" t="s">
        <v>1010</v>
      </c>
      <c r="D4119" s="4" t="s">
        <v>1020</v>
      </c>
      <c r="E4119" s="4" t="s">
        <v>2940</v>
      </c>
      <c r="F4119" s="1">
        <v>46134</v>
      </c>
      <c r="G4119" t="str">
        <f t="shared" si="123"/>
        <v>Apr -2026</v>
      </c>
    </row>
    <row r="4120" spans="1:7" x14ac:dyDescent="0.3">
      <c r="A4120" s="4">
        <v>2436639</v>
      </c>
      <c r="B4120" t="s">
        <v>2979</v>
      </c>
      <c r="C4120" s="4" t="s">
        <v>1010</v>
      </c>
      <c r="D4120" s="4" t="s">
        <v>1020</v>
      </c>
      <c r="E4120" s="4" t="s">
        <v>2940</v>
      </c>
      <c r="F4120" s="1">
        <v>46134</v>
      </c>
      <c r="G4120" t="str">
        <f t="shared" si="123"/>
        <v>Apr -2026</v>
      </c>
    </row>
    <row r="4121" spans="1:7" x14ac:dyDescent="0.3">
      <c r="A4121" s="4">
        <v>2436586</v>
      </c>
      <c r="B4121" t="s">
        <v>2979</v>
      </c>
      <c r="C4121" s="4" t="s">
        <v>1010</v>
      </c>
      <c r="D4121" s="4" t="s">
        <v>1020</v>
      </c>
      <c r="E4121" s="4" t="s">
        <v>2940</v>
      </c>
      <c r="F4121" s="1">
        <v>46134</v>
      </c>
      <c r="G4121" t="str">
        <f t="shared" si="123"/>
        <v>Apr -2026</v>
      </c>
    </row>
    <row r="4122" spans="1:7" x14ac:dyDescent="0.3">
      <c r="A4122" s="4">
        <v>2450253</v>
      </c>
      <c r="B4122" t="s">
        <v>3014</v>
      </c>
      <c r="C4122" s="4" t="s">
        <v>1010</v>
      </c>
      <c r="D4122" s="4" t="s">
        <v>209</v>
      </c>
      <c r="E4122" s="4" t="s">
        <v>375</v>
      </c>
      <c r="F4122" s="1">
        <v>46134</v>
      </c>
      <c r="G4122" t="str">
        <f t="shared" si="123"/>
        <v>Apr -2026</v>
      </c>
    </row>
    <row r="4123" spans="1:7" x14ac:dyDescent="0.3">
      <c r="A4123" s="4">
        <v>2450190</v>
      </c>
      <c r="B4123" t="s">
        <v>3015</v>
      </c>
      <c r="C4123" s="4" t="s">
        <v>1010</v>
      </c>
      <c r="D4123" s="4" t="s">
        <v>209</v>
      </c>
      <c r="E4123" s="4" t="s">
        <v>375</v>
      </c>
      <c r="F4123" s="1">
        <v>46134</v>
      </c>
      <c r="G4123" t="str">
        <f t="shared" si="123"/>
        <v>Apr -2026</v>
      </c>
    </row>
    <row r="4124" spans="1:7" x14ac:dyDescent="0.3">
      <c r="A4124" s="4">
        <v>2450237</v>
      </c>
      <c r="B4124" t="s">
        <v>3016</v>
      </c>
      <c r="C4124" s="4" t="s">
        <v>1010</v>
      </c>
      <c r="D4124" s="4" t="s">
        <v>209</v>
      </c>
      <c r="E4124" s="4" t="s">
        <v>375</v>
      </c>
      <c r="F4124" s="1">
        <v>46134</v>
      </c>
      <c r="G4124" t="str">
        <f t="shared" si="123"/>
        <v>Apr -2026</v>
      </c>
    </row>
    <row r="4125" spans="1:7" x14ac:dyDescent="0.3">
      <c r="A4125" s="4">
        <v>2450624</v>
      </c>
      <c r="B4125" t="s">
        <v>3017</v>
      </c>
      <c r="C4125" s="4" t="s">
        <v>1010</v>
      </c>
      <c r="D4125" s="4" t="s">
        <v>1020</v>
      </c>
      <c r="E4125" s="4" t="s">
        <v>2954</v>
      </c>
      <c r="F4125" s="1">
        <v>46134</v>
      </c>
      <c r="G4125" t="str">
        <f t="shared" si="123"/>
        <v>Apr -2026</v>
      </c>
    </row>
    <row r="4126" spans="1:7" x14ac:dyDescent="0.3">
      <c r="A4126" s="4">
        <v>2450655</v>
      </c>
      <c r="B4126" t="s">
        <v>3018</v>
      </c>
      <c r="C4126" s="4" t="s">
        <v>1010</v>
      </c>
      <c r="D4126" s="4" t="s">
        <v>1020</v>
      </c>
      <c r="E4126" s="4" t="s">
        <v>2954</v>
      </c>
      <c r="F4126" s="1">
        <v>46134</v>
      </c>
      <c r="G4126" t="str">
        <f t="shared" si="123"/>
        <v>Apr -2026</v>
      </c>
    </row>
    <row r="4127" spans="1:7" x14ac:dyDescent="0.3">
      <c r="A4127" s="4">
        <v>2450556</v>
      </c>
      <c r="B4127" t="s">
        <v>3019</v>
      </c>
      <c r="C4127" s="4" t="s">
        <v>1010</v>
      </c>
      <c r="D4127" s="4" t="s">
        <v>1020</v>
      </c>
      <c r="E4127" s="4" t="s">
        <v>2954</v>
      </c>
      <c r="F4127" s="1">
        <v>46134</v>
      </c>
      <c r="G4127" t="str">
        <f t="shared" si="123"/>
        <v>Apr -2026</v>
      </c>
    </row>
    <row r="4128" spans="1:7" x14ac:dyDescent="0.3">
      <c r="A4128" s="4">
        <v>2450665</v>
      </c>
      <c r="B4128" t="s">
        <v>3020</v>
      </c>
      <c r="C4128" s="4" t="s">
        <v>1010</v>
      </c>
      <c r="D4128" s="4" t="s">
        <v>1020</v>
      </c>
      <c r="E4128" s="4" t="s">
        <v>2954</v>
      </c>
      <c r="F4128" s="1">
        <v>46134</v>
      </c>
      <c r="G4128" t="str">
        <f t="shared" si="123"/>
        <v>Apr -2026</v>
      </c>
    </row>
    <row r="4129" spans="1:7" x14ac:dyDescent="0.3">
      <c r="A4129" s="4">
        <v>2450664</v>
      </c>
      <c r="B4129" t="s">
        <v>3021</v>
      </c>
      <c r="C4129" s="4" t="s">
        <v>1010</v>
      </c>
      <c r="D4129" s="4" t="s">
        <v>1020</v>
      </c>
      <c r="E4129" s="4" t="s">
        <v>2954</v>
      </c>
      <c r="F4129" s="1">
        <v>46134</v>
      </c>
      <c r="G4129" t="str">
        <f t="shared" si="123"/>
        <v>Apr -2026</v>
      </c>
    </row>
    <row r="4130" spans="1:7" x14ac:dyDescent="0.3">
      <c r="A4130" s="4">
        <v>2450625</v>
      </c>
      <c r="B4130" t="s">
        <v>3022</v>
      </c>
      <c r="C4130" s="4" t="s">
        <v>1010</v>
      </c>
      <c r="D4130" s="4" t="s">
        <v>1020</v>
      </c>
      <c r="E4130" s="4" t="s">
        <v>2954</v>
      </c>
      <c r="F4130" s="1">
        <v>46134</v>
      </c>
      <c r="G4130" t="str">
        <f t="shared" si="123"/>
        <v>Apr -2026</v>
      </c>
    </row>
    <row r="4131" spans="1:7" x14ac:dyDescent="0.3">
      <c r="A4131" s="4">
        <v>2436609</v>
      </c>
      <c r="B4131" t="s">
        <v>3023</v>
      </c>
      <c r="C4131" s="4" t="s">
        <v>1010</v>
      </c>
      <c r="D4131" s="4" t="s">
        <v>1020</v>
      </c>
      <c r="E4131" s="4" t="s">
        <v>2940</v>
      </c>
      <c r="F4131" s="1">
        <v>46134</v>
      </c>
      <c r="G4131" t="str">
        <f t="shared" si="123"/>
        <v>Apr -2026</v>
      </c>
    </row>
    <row r="4132" spans="1:7" x14ac:dyDescent="0.3">
      <c r="A4132" s="4">
        <v>2450766</v>
      </c>
      <c r="B4132" t="s">
        <v>3024</v>
      </c>
      <c r="C4132" s="4" t="s">
        <v>1010</v>
      </c>
      <c r="D4132" s="4" t="s">
        <v>1020</v>
      </c>
      <c r="E4132" s="4" t="s">
        <v>2954</v>
      </c>
      <c r="F4132" s="1">
        <v>46134</v>
      </c>
      <c r="G4132" t="str">
        <f t="shared" si="123"/>
        <v>Apr -2026</v>
      </c>
    </row>
    <row r="4133" spans="1:7" x14ac:dyDescent="0.3">
      <c r="A4133" s="4">
        <v>2450767</v>
      </c>
      <c r="B4133" t="s">
        <v>3025</v>
      </c>
      <c r="C4133" s="4" t="s">
        <v>1010</v>
      </c>
      <c r="D4133" s="4" t="s">
        <v>1020</v>
      </c>
      <c r="E4133" s="4" t="s">
        <v>2954</v>
      </c>
      <c r="F4133" s="1">
        <v>46134</v>
      </c>
      <c r="G4133" t="str">
        <f t="shared" si="123"/>
        <v>Apr -2026</v>
      </c>
    </row>
    <row r="4134" spans="1:7" x14ac:dyDescent="0.3">
      <c r="A4134" s="4">
        <v>2450768</v>
      </c>
      <c r="B4134" t="s">
        <v>3026</v>
      </c>
      <c r="C4134" s="4" t="s">
        <v>1010</v>
      </c>
      <c r="D4134" s="4" t="s">
        <v>1020</v>
      </c>
      <c r="E4134" s="4" t="s">
        <v>2954</v>
      </c>
      <c r="F4134" s="1">
        <v>46134</v>
      </c>
      <c r="G4134" t="str">
        <f t="shared" si="123"/>
        <v>Apr -2026</v>
      </c>
    </row>
    <row r="4135" spans="1:7" x14ac:dyDescent="0.3">
      <c r="A4135" s="4">
        <v>2450773</v>
      </c>
      <c r="B4135" t="s">
        <v>3027</v>
      </c>
      <c r="C4135" s="4" t="s">
        <v>1010</v>
      </c>
      <c r="D4135" s="4" t="s">
        <v>1020</v>
      </c>
      <c r="E4135" s="4" t="s">
        <v>2954</v>
      </c>
      <c r="F4135" s="1">
        <v>46134</v>
      </c>
      <c r="G4135" t="str">
        <f t="shared" si="123"/>
        <v>Apr -2026</v>
      </c>
    </row>
    <row r="4136" spans="1:7" x14ac:dyDescent="0.3">
      <c r="A4136" s="4">
        <v>2450775</v>
      </c>
      <c r="B4136" t="s">
        <v>3028</v>
      </c>
      <c r="C4136" s="4" t="s">
        <v>1010</v>
      </c>
      <c r="D4136" s="4" t="s">
        <v>1020</v>
      </c>
      <c r="E4136" s="4" t="s">
        <v>2954</v>
      </c>
      <c r="F4136" s="1">
        <v>46134</v>
      </c>
      <c r="G4136" t="str">
        <f t="shared" si="123"/>
        <v>Apr -2026</v>
      </c>
    </row>
    <row r="4137" spans="1:7" x14ac:dyDescent="0.3">
      <c r="A4137" s="4">
        <v>2450835</v>
      </c>
      <c r="B4137" t="s">
        <v>3029</v>
      </c>
      <c r="C4137" s="4" t="s">
        <v>1010</v>
      </c>
      <c r="D4137" s="4" t="s">
        <v>1020</v>
      </c>
      <c r="E4137" s="4" t="s">
        <v>2954</v>
      </c>
      <c r="F4137" s="1">
        <v>46134</v>
      </c>
      <c r="G4137" t="str">
        <f t="shared" si="123"/>
        <v>Apr -2026</v>
      </c>
    </row>
    <row r="4138" spans="1:7" x14ac:dyDescent="0.3">
      <c r="A4138" s="4">
        <v>2450842</v>
      </c>
      <c r="B4138" t="s">
        <v>3030</v>
      </c>
      <c r="C4138" s="4" t="s">
        <v>1010</v>
      </c>
      <c r="D4138" s="4" t="s">
        <v>1020</v>
      </c>
      <c r="E4138" s="4" t="s">
        <v>2954</v>
      </c>
      <c r="F4138" s="1">
        <v>46134</v>
      </c>
      <c r="G4138" t="str">
        <f t="shared" si="123"/>
        <v>Apr -2026</v>
      </c>
    </row>
    <row r="4139" spans="1:7" x14ac:dyDescent="0.3">
      <c r="A4139" s="4">
        <v>2448012</v>
      </c>
      <c r="B4139" t="s">
        <v>3003</v>
      </c>
      <c r="C4139" s="4" t="s">
        <v>1010</v>
      </c>
      <c r="D4139" s="4" t="s">
        <v>1020</v>
      </c>
      <c r="E4139" s="4" t="s">
        <v>2954</v>
      </c>
      <c r="F4139" s="1">
        <v>46134</v>
      </c>
      <c r="G4139" t="str">
        <f t="shared" si="123"/>
        <v>Apr -2026</v>
      </c>
    </row>
    <row r="4140" spans="1:7" x14ac:dyDescent="0.3">
      <c r="A4140" s="4">
        <v>2439501</v>
      </c>
      <c r="B4140" t="s">
        <v>2978</v>
      </c>
      <c r="C4140" s="4" t="s">
        <v>1010</v>
      </c>
      <c r="D4140" s="4" t="s">
        <v>1020</v>
      </c>
      <c r="E4140" s="4" t="s">
        <v>2954</v>
      </c>
      <c r="F4140" s="1">
        <v>46134</v>
      </c>
      <c r="G4140" t="str">
        <f t="shared" si="123"/>
        <v>Apr -2026</v>
      </c>
    </row>
    <row r="4141" spans="1:7" x14ac:dyDescent="0.3">
      <c r="A4141" s="4">
        <v>2448695</v>
      </c>
      <c r="B4141" t="s">
        <v>3031</v>
      </c>
      <c r="C4141" s="4" t="s">
        <v>1010</v>
      </c>
      <c r="D4141" s="4" t="s">
        <v>1020</v>
      </c>
      <c r="E4141" s="4" t="s">
        <v>2028</v>
      </c>
      <c r="F4141" s="1">
        <v>46134</v>
      </c>
      <c r="G4141" t="str">
        <f t="shared" si="123"/>
        <v>Apr -2026</v>
      </c>
    </row>
    <row r="4142" spans="1:7" x14ac:dyDescent="0.3">
      <c r="A4142" s="4">
        <v>2433597</v>
      </c>
      <c r="B4142" t="s">
        <v>3032</v>
      </c>
      <c r="C4142" s="4" t="s">
        <v>1010</v>
      </c>
      <c r="D4142" s="4" t="s">
        <v>1020</v>
      </c>
      <c r="E4142" s="4" t="s">
        <v>2954</v>
      </c>
      <c r="F4142" s="1">
        <v>46134</v>
      </c>
      <c r="G4142" t="str">
        <f t="shared" si="123"/>
        <v>Apr -2026</v>
      </c>
    </row>
    <row r="4143" spans="1:7" x14ac:dyDescent="0.3">
      <c r="A4143" s="4">
        <v>900007380</v>
      </c>
      <c r="B4143" t="s">
        <v>3033</v>
      </c>
      <c r="C4143" s="3" t="s">
        <v>1604</v>
      </c>
      <c r="D4143" s="4" t="s">
        <v>2018</v>
      </c>
      <c r="E4143" s="4" t="s">
        <v>1877</v>
      </c>
      <c r="F4143" s="1">
        <v>46134</v>
      </c>
      <c r="G4143" t="str">
        <f t="shared" si="123"/>
        <v>Apr -2026</v>
      </c>
    </row>
    <row r="4144" spans="1:7" x14ac:dyDescent="0.3">
      <c r="A4144" s="4">
        <v>100006100</v>
      </c>
      <c r="B4144" t="s">
        <v>3034</v>
      </c>
      <c r="C4144" s="3" t="s">
        <v>1604</v>
      </c>
      <c r="D4144" s="4" t="s">
        <v>2018</v>
      </c>
      <c r="E4144" s="4" t="s">
        <v>967</v>
      </c>
      <c r="F4144" s="1">
        <v>46134</v>
      </c>
      <c r="G4144" t="str">
        <f t="shared" si="123"/>
        <v>Apr -2026</v>
      </c>
    </row>
    <row r="4145" spans="1:7" x14ac:dyDescent="0.3">
      <c r="A4145" s="4">
        <v>100006104</v>
      </c>
      <c r="B4145" t="s">
        <v>3035</v>
      </c>
      <c r="C4145" s="3" t="s">
        <v>1011</v>
      </c>
      <c r="D4145" s="4" t="s">
        <v>2015</v>
      </c>
      <c r="E4145" s="4" t="s">
        <v>967</v>
      </c>
      <c r="F4145" s="1">
        <v>46134</v>
      </c>
      <c r="G4145" t="str">
        <f t="shared" si="123"/>
        <v>Apr -2026</v>
      </c>
    </row>
    <row r="4146" spans="1:7" x14ac:dyDescent="0.3">
      <c r="A4146" s="4">
        <v>100006085</v>
      </c>
      <c r="B4146" t="s">
        <v>3036</v>
      </c>
      <c r="C4146" s="3" t="s">
        <v>1011</v>
      </c>
      <c r="D4146" s="4" t="s">
        <v>2015</v>
      </c>
      <c r="E4146" s="4" t="s">
        <v>1569</v>
      </c>
      <c r="F4146" s="1">
        <v>46134</v>
      </c>
      <c r="G4146" t="str">
        <f t="shared" si="123"/>
        <v>Apr -2026</v>
      </c>
    </row>
    <row r="4147" spans="1:7" x14ac:dyDescent="0.3">
      <c r="A4147" s="4">
        <v>100006039</v>
      </c>
      <c r="B4147" t="s">
        <v>3037</v>
      </c>
      <c r="C4147" s="3" t="s">
        <v>1011</v>
      </c>
      <c r="D4147" s="4" t="s">
        <v>2015</v>
      </c>
      <c r="E4147" s="4" t="s">
        <v>1569</v>
      </c>
      <c r="F4147" s="1">
        <v>46134</v>
      </c>
      <c r="G4147" t="str">
        <f t="shared" si="123"/>
        <v>Apr -2026</v>
      </c>
    </row>
    <row r="4148" spans="1:7" x14ac:dyDescent="0.3">
      <c r="A4148" s="4">
        <v>900007371</v>
      </c>
      <c r="B4148" t="s">
        <v>3038</v>
      </c>
      <c r="C4148" s="3" t="s">
        <v>1604</v>
      </c>
      <c r="D4148" s="4" t="s">
        <v>2018</v>
      </c>
      <c r="E4148" s="4" t="s">
        <v>1877</v>
      </c>
      <c r="F4148" s="1">
        <v>46134</v>
      </c>
      <c r="G4148" t="str">
        <f t="shared" si="123"/>
        <v>Apr -2026</v>
      </c>
    </row>
    <row r="4149" spans="1:7" x14ac:dyDescent="0.3">
      <c r="A4149" s="4">
        <v>900007239</v>
      </c>
      <c r="B4149" t="s">
        <v>2922</v>
      </c>
      <c r="C4149" s="3" t="s">
        <v>1604</v>
      </c>
      <c r="D4149" s="4" t="s">
        <v>2018</v>
      </c>
      <c r="E4149" s="4" t="s">
        <v>1877</v>
      </c>
      <c r="F4149" s="1">
        <v>46134</v>
      </c>
      <c r="G4149" t="str">
        <f t="shared" si="123"/>
        <v>Apr -2026</v>
      </c>
    </row>
    <row r="4150" spans="1:7" x14ac:dyDescent="0.3">
      <c r="A4150" s="4">
        <v>100006096</v>
      </c>
      <c r="B4150" t="s">
        <v>3039</v>
      </c>
      <c r="C4150" s="3" t="s">
        <v>1011</v>
      </c>
      <c r="D4150" s="4" t="s">
        <v>2015</v>
      </c>
      <c r="E4150" s="4" t="s">
        <v>1569</v>
      </c>
      <c r="F4150" s="1">
        <v>46134</v>
      </c>
      <c r="G4150" t="str">
        <f t="shared" si="123"/>
        <v>Apr -2026</v>
      </c>
    </row>
    <row r="4151" spans="1:7" x14ac:dyDescent="0.3">
      <c r="A4151" s="4">
        <v>100006078</v>
      </c>
      <c r="B4151" t="s">
        <v>3040</v>
      </c>
      <c r="C4151" s="3" t="s">
        <v>1011</v>
      </c>
      <c r="D4151" s="4" t="s">
        <v>973</v>
      </c>
      <c r="E4151" s="4" t="s">
        <v>3041</v>
      </c>
      <c r="F4151" s="1">
        <v>46134</v>
      </c>
      <c r="G4151" t="str">
        <f t="shared" si="123"/>
        <v>Apr -2026</v>
      </c>
    </row>
    <row r="4152" spans="1:7" x14ac:dyDescent="0.3">
      <c r="A4152" s="4">
        <v>100006088</v>
      </c>
      <c r="B4152" t="s">
        <v>3042</v>
      </c>
      <c r="C4152" s="3" t="s">
        <v>1011</v>
      </c>
      <c r="D4152" s="4" t="s">
        <v>2015</v>
      </c>
      <c r="E4152" s="4" t="s">
        <v>1569</v>
      </c>
      <c r="F4152" s="1">
        <v>46134</v>
      </c>
      <c r="G4152" t="str">
        <f t="shared" si="123"/>
        <v>Apr -2026</v>
      </c>
    </row>
    <row r="4153" spans="1:7" x14ac:dyDescent="0.3">
      <c r="A4153" s="4">
        <v>100006130</v>
      </c>
      <c r="B4153" t="s">
        <v>3043</v>
      </c>
      <c r="C4153" s="3" t="s">
        <v>1011</v>
      </c>
      <c r="D4153" s="4" t="s">
        <v>2015</v>
      </c>
      <c r="E4153" s="4" t="s">
        <v>1569</v>
      </c>
      <c r="F4153" s="1">
        <v>46134</v>
      </c>
      <c r="G4153" t="str">
        <f t="shared" si="123"/>
        <v>Apr -2026</v>
      </c>
    </row>
    <row r="4154" spans="1:7" x14ac:dyDescent="0.3">
      <c r="A4154" s="4">
        <v>900007319</v>
      </c>
      <c r="B4154" t="s">
        <v>2992</v>
      </c>
      <c r="C4154" s="3" t="s">
        <v>1604</v>
      </c>
      <c r="D4154" s="4" t="s">
        <v>2018</v>
      </c>
      <c r="E4154" s="4" t="s">
        <v>1877</v>
      </c>
      <c r="F4154" s="1">
        <v>46134</v>
      </c>
      <c r="G4154" t="str">
        <f t="shared" si="123"/>
        <v>Apr -2026</v>
      </c>
    </row>
    <row r="4155" spans="1:7" x14ac:dyDescent="0.3">
      <c r="A4155" s="19">
        <v>100006088</v>
      </c>
      <c r="B4155" t="s">
        <v>3042</v>
      </c>
      <c r="C4155" s="3" t="s">
        <v>1011</v>
      </c>
      <c r="D4155" s="4" t="s">
        <v>2015</v>
      </c>
      <c r="E4155" s="4" t="s">
        <v>1569</v>
      </c>
      <c r="F4155" s="1">
        <v>46135</v>
      </c>
      <c r="G4155" t="str">
        <f t="shared" si="123"/>
        <v>Apr -2026</v>
      </c>
    </row>
    <row r="4156" spans="1:7" x14ac:dyDescent="0.3">
      <c r="A4156" s="19">
        <v>900007415</v>
      </c>
      <c r="B4156" t="s">
        <v>3044</v>
      </c>
      <c r="C4156" s="3" t="s">
        <v>1604</v>
      </c>
      <c r="D4156" s="4" t="s">
        <v>2018</v>
      </c>
      <c r="E4156" s="4" t="s">
        <v>1877</v>
      </c>
      <c r="F4156" s="1">
        <v>46135</v>
      </c>
      <c r="G4156" t="str">
        <f t="shared" ref="G4156:G4211" si="124">TEXT(F4156,"mmm -YYYY")</f>
        <v>Apr -2026</v>
      </c>
    </row>
    <row r="4157" spans="1:7" x14ac:dyDescent="0.3">
      <c r="A4157" s="19">
        <v>900007430</v>
      </c>
      <c r="B4157" t="s">
        <v>3045</v>
      </c>
      <c r="C4157" s="3" t="s">
        <v>1604</v>
      </c>
      <c r="D4157" s="4" t="s">
        <v>2031</v>
      </c>
      <c r="E4157" s="4" t="s">
        <v>1877</v>
      </c>
      <c r="F4157" s="1">
        <v>46135</v>
      </c>
      <c r="G4157" t="str">
        <f t="shared" si="124"/>
        <v>Apr -2026</v>
      </c>
    </row>
    <row r="4158" spans="1:7" x14ac:dyDescent="0.3">
      <c r="A4158" s="19">
        <v>900007277</v>
      </c>
      <c r="B4158" t="s">
        <v>2955</v>
      </c>
      <c r="C4158" s="3" t="s">
        <v>1604</v>
      </c>
      <c r="D4158" s="4" t="s">
        <v>2018</v>
      </c>
      <c r="E4158" s="4" t="s">
        <v>1877</v>
      </c>
      <c r="F4158" s="1">
        <v>46135</v>
      </c>
      <c r="G4158" t="str">
        <f t="shared" si="124"/>
        <v>Apr -2026</v>
      </c>
    </row>
    <row r="4159" spans="1:7" x14ac:dyDescent="0.3">
      <c r="A4159" s="19">
        <v>900007406</v>
      </c>
      <c r="B4159" t="s">
        <v>3046</v>
      </c>
      <c r="C4159" s="3" t="s">
        <v>1604</v>
      </c>
      <c r="D4159" s="4" t="s">
        <v>2018</v>
      </c>
      <c r="E4159" s="4" t="s">
        <v>1877</v>
      </c>
      <c r="F4159" s="1">
        <v>46135</v>
      </c>
      <c r="G4159" t="str">
        <f t="shared" si="124"/>
        <v>Apr -2026</v>
      </c>
    </row>
    <row r="4160" spans="1:7" x14ac:dyDescent="0.3">
      <c r="A4160" s="19">
        <v>900007413</v>
      </c>
      <c r="B4160" t="s">
        <v>3047</v>
      </c>
      <c r="C4160" s="3" t="s">
        <v>1604</v>
      </c>
      <c r="D4160" s="4" t="s">
        <v>2018</v>
      </c>
      <c r="E4160" s="4" t="s">
        <v>1877</v>
      </c>
      <c r="F4160" s="1">
        <v>46135</v>
      </c>
      <c r="G4160" t="str">
        <f t="shared" si="124"/>
        <v>Apr -2026</v>
      </c>
    </row>
    <row r="4161" spans="1:7" x14ac:dyDescent="0.3">
      <c r="A4161" s="19">
        <v>900007408</v>
      </c>
      <c r="B4161" t="s">
        <v>3048</v>
      </c>
      <c r="C4161" s="3" t="s">
        <v>1604</v>
      </c>
      <c r="D4161" s="4" t="s">
        <v>2018</v>
      </c>
      <c r="E4161" s="4" t="s">
        <v>1877</v>
      </c>
      <c r="F4161" s="1">
        <v>46135</v>
      </c>
      <c r="G4161" t="str">
        <f t="shared" si="124"/>
        <v>Apr -2026</v>
      </c>
    </row>
    <row r="4162" spans="1:7" x14ac:dyDescent="0.3">
      <c r="A4162" s="19">
        <v>900007409</v>
      </c>
      <c r="B4162" t="s">
        <v>3049</v>
      </c>
      <c r="C4162" s="3" t="s">
        <v>1604</v>
      </c>
      <c r="D4162" s="4" t="s">
        <v>2018</v>
      </c>
      <c r="E4162" s="4" t="s">
        <v>1877</v>
      </c>
      <c r="F4162" s="1">
        <v>46135</v>
      </c>
      <c r="G4162" t="str">
        <f t="shared" si="124"/>
        <v>Apr -2026</v>
      </c>
    </row>
    <row r="4163" spans="1:7" x14ac:dyDescent="0.3">
      <c r="A4163" s="19">
        <v>900007407</v>
      </c>
      <c r="B4163" t="s">
        <v>3050</v>
      </c>
      <c r="C4163" s="3" t="s">
        <v>1604</v>
      </c>
      <c r="D4163" s="4" t="s">
        <v>2018</v>
      </c>
      <c r="E4163" s="4" t="s">
        <v>1877</v>
      </c>
      <c r="F4163" s="1">
        <v>46135</v>
      </c>
      <c r="G4163" t="str">
        <f t="shared" si="124"/>
        <v>Apr -2026</v>
      </c>
    </row>
    <row r="4164" spans="1:7" x14ac:dyDescent="0.3">
      <c r="A4164" s="19">
        <v>900007356</v>
      </c>
      <c r="B4164" t="s">
        <v>3006</v>
      </c>
      <c r="C4164" s="3" t="s">
        <v>1604</v>
      </c>
      <c r="D4164" s="4" t="s">
        <v>2018</v>
      </c>
      <c r="E4164" s="4" t="s">
        <v>1877</v>
      </c>
      <c r="F4164" s="1">
        <v>46135</v>
      </c>
      <c r="G4164" t="str">
        <f t="shared" si="124"/>
        <v>Apr -2026</v>
      </c>
    </row>
    <row r="4165" spans="1:7" x14ac:dyDescent="0.3">
      <c r="A4165" s="19">
        <v>900007367</v>
      </c>
      <c r="B4165" t="s">
        <v>3051</v>
      </c>
      <c r="C4165" s="3" t="s">
        <v>1604</v>
      </c>
      <c r="D4165" s="4" t="s">
        <v>2031</v>
      </c>
      <c r="E4165" s="4" t="s">
        <v>1877</v>
      </c>
      <c r="F4165" s="1">
        <v>46135</v>
      </c>
      <c r="G4165" t="str">
        <f t="shared" si="124"/>
        <v>Apr -2026</v>
      </c>
    </row>
    <row r="4166" spans="1:7" x14ac:dyDescent="0.3">
      <c r="A4166" s="4">
        <v>2452423</v>
      </c>
      <c r="B4166" t="s">
        <v>2907</v>
      </c>
      <c r="C4166" s="4" t="s">
        <v>1010</v>
      </c>
      <c r="D4166" t="s">
        <v>209</v>
      </c>
      <c r="E4166" s="4" t="s">
        <v>2305</v>
      </c>
      <c r="F4166" s="1">
        <v>46135</v>
      </c>
      <c r="G4166" t="str">
        <f t="shared" si="124"/>
        <v>Apr -2026</v>
      </c>
    </row>
    <row r="4167" spans="1:7" x14ac:dyDescent="0.3">
      <c r="A4167" s="4">
        <v>2452078</v>
      </c>
      <c r="B4167" t="s">
        <v>3052</v>
      </c>
      <c r="C4167" s="4" t="s">
        <v>1010</v>
      </c>
      <c r="D4167" t="s">
        <v>209</v>
      </c>
      <c r="E4167" s="4" t="s">
        <v>2305</v>
      </c>
      <c r="F4167" s="1">
        <v>46135</v>
      </c>
      <c r="G4167" t="str">
        <f t="shared" si="124"/>
        <v>Apr -2026</v>
      </c>
    </row>
    <row r="4168" spans="1:7" x14ac:dyDescent="0.3">
      <c r="A4168" s="4">
        <v>2452518</v>
      </c>
      <c r="B4168" t="s">
        <v>3053</v>
      </c>
      <c r="C4168" s="4" t="s">
        <v>1010</v>
      </c>
      <c r="D4168" t="s">
        <v>209</v>
      </c>
      <c r="E4168" s="4" t="s">
        <v>375</v>
      </c>
      <c r="F4168" s="1">
        <v>46135</v>
      </c>
      <c r="G4168" t="str">
        <f t="shared" si="124"/>
        <v>Apr -2026</v>
      </c>
    </row>
    <row r="4169" spans="1:7" x14ac:dyDescent="0.3">
      <c r="A4169" s="4">
        <v>2452516</v>
      </c>
      <c r="B4169" t="s">
        <v>2907</v>
      </c>
      <c r="C4169" s="4" t="s">
        <v>1010</v>
      </c>
      <c r="D4169" t="s">
        <v>209</v>
      </c>
      <c r="E4169" s="4" t="s">
        <v>2305</v>
      </c>
      <c r="F4169" s="1">
        <v>46135</v>
      </c>
      <c r="G4169" t="str">
        <f t="shared" si="124"/>
        <v>Apr -2026</v>
      </c>
    </row>
    <row r="4170" spans="1:7" x14ac:dyDescent="0.3">
      <c r="A4170" s="4">
        <v>2452571</v>
      </c>
      <c r="B4170" t="s">
        <v>3054</v>
      </c>
      <c r="C4170" s="4" t="s">
        <v>1010</v>
      </c>
      <c r="D4170" t="s">
        <v>209</v>
      </c>
      <c r="E4170" s="4" t="s">
        <v>2305</v>
      </c>
      <c r="F4170" s="1">
        <v>46135</v>
      </c>
      <c r="G4170" t="str">
        <f t="shared" si="124"/>
        <v>Apr -2026</v>
      </c>
    </row>
    <row r="4171" spans="1:7" x14ac:dyDescent="0.3">
      <c r="A4171" s="4">
        <v>2451744</v>
      </c>
      <c r="B4171" t="s">
        <v>3055</v>
      </c>
      <c r="C4171" s="4" t="s">
        <v>1010</v>
      </c>
      <c r="D4171" t="s">
        <v>209</v>
      </c>
      <c r="E4171" s="4" t="s">
        <v>375</v>
      </c>
      <c r="F4171" s="1">
        <v>46135</v>
      </c>
      <c r="G4171" t="str">
        <f t="shared" si="124"/>
        <v>Apr -2026</v>
      </c>
    </row>
    <row r="4172" spans="1:7" x14ac:dyDescent="0.3">
      <c r="A4172" s="4">
        <v>2453086</v>
      </c>
      <c r="B4172" t="s">
        <v>3056</v>
      </c>
      <c r="C4172" s="4" t="s">
        <v>1010</v>
      </c>
      <c r="D4172" s="4" t="s">
        <v>209</v>
      </c>
      <c r="E4172" s="4" t="s">
        <v>375</v>
      </c>
      <c r="F4172" s="1">
        <v>46135</v>
      </c>
      <c r="G4172" t="str">
        <f t="shared" si="124"/>
        <v>Apr -2026</v>
      </c>
    </row>
    <row r="4173" spans="1:7" x14ac:dyDescent="0.3">
      <c r="A4173" s="4">
        <v>2450655</v>
      </c>
      <c r="B4173" t="s">
        <v>3018</v>
      </c>
      <c r="C4173" s="4" t="s">
        <v>1010</v>
      </c>
      <c r="D4173" s="4" t="s">
        <v>1020</v>
      </c>
      <c r="E4173" s="4" t="s">
        <v>2954</v>
      </c>
      <c r="F4173" s="1">
        <v>46135</v>
      </c>
      <c r="G4173" t="str">
        <f t="shared" si="124"/>
        <v>Apr -2026</v>
      </c>
    </row>
    <row r="4174" spans="1:7" x14ac:dyDescent="0.3">
      <c r="A4174" s="4">
        <v>2450556</v>
      </c>
      <c r="B4174" t="s">
        <v>3019</v>
      </c>
      <c r="C4174" s="4" t="s">
        <v>1010</v>
      </c>
      <c r="D4174" s="4" t="s">
        <v>1020</v>
      </c>
      <c r="E4174" s="4" t="s">
        <v>2954</v>
      </c>
      <c r="F4174" s="1">
        <v>46135</v>
      </c>
      <c r="G4174" t="str">
        <f t="shared" si="124"/>
        <v>Apr -2026</v>
      </c>
    </row>
    <row r="4175" spans="1:7" x14ac:dyDescent="0.3">
      <c r="A4175" s="4">
        <v>2450665</v>
      </c>
      <c r="B4175" t="s">
        <v>3020</v>
      </c>
      <c r="C4175" s="4" t="s">
        <v>1010</v>
      </c>
      <c r="D4175" s="4" t="s">
        <v>1020</v>
      </c>
      <c r="E4175" s="4" t="s">
        <v>2954</v>
      </c>
      <c r="F4175" s="1">
        <v>46135</v>
      </c>
      <c r="G4175" t="str">
        <f t="shared" si="124"/>
        <v>Apr -2026</v>
      </c>
    </row>
    <row r="4176" spans="1:7" x14ac:dyDescent="0.3">
      <c r="A4176" s="4">
        <v>2450664</v>
      </c>
      <c r="B4176" t="s">
        <v>3021</v>
      </c>
      <c r="C4176" s="4" t="s">
        <v>1010</v>
      </c>
      <c r="D4176" s="4" t="s">
        <v>1020</v>
      </c>
      <c r="E4176" s="4" t="s">
        <v>2954</v>
      </c>
      <c r="F4176" s="1">
        <v>46135</v>
      </c>
      <c r="G4176" t="str">
        <f t="shared" si="124"/>
        <v>Apr -2026</v>
      </c>
    </row>
    <row r="4177" spans="1:7" x14ac:dyDescent="0.3">
      <c r="A4177" s="4">
        <v>2450625</v>
      </c>
      <c r="B4177" t="s">
        <v>3022</v>
      </c>
      <c r="C4177" s="4" t="s">
        <v>1010</v>
      </c>
      <c r="D4177" s="4" t="s">
        <v>1020</v>
      </c>
      <c r="E4177" s="4" t="s">
        <v>2954</v>
      </c>
      <c r="F4177" s="1">
        <v>46135</v>
      </c>
      <c r="G4177" t="str">
        <f t="shared" si="124"/>
        <v>Apr -2026</v>
      </c>
    </row>
    <row r="4178" spans="1:7" x14ac:dyDescent="0.3">
      <c r="A4178" s="4">
        <v>2445348</v>
      </c>
      <c r="B4178" t="s">
        <v>3057</v>
      </c>
      <c r="C4178" s="4" t="s">
        <v>1010</v>
      </c>
      <c r="D4178" s="4" t="s">
        <v>209</v>
      </c>
      <c r="E4178" s="4" t="s">
        <v>291</v>
      </c>
      <c r="F4178" s="1">
        <v>46135</v>
      </c>
      <c r="G4178" t="str">
        <f t="shared" si="124"/>
        <v>Apr -2026</v>
      </c>
    </row>
    <row r="4179" spans="1:7" x14ac:dyDescent="0.3">
      <c r="A4179" s="4">
        <v>2445350</v>
      </c>
      <c r="B4179" t="s">
        <v>3058</v>
      </c>
      <c r="C4179" s="4" t="s">
        <v>1010</v>
      </c>
      <c r="D4179" s="4" t="s">
        <v>209</v>
      </c>
      <c r="E4179" s="4" t="s">
        <v>291</v>
      </c>
      <c r="F4179" s="1">
        <v>46135</v>
      </c>
      <c r="G4179" t="str">
        <f t="shared" si="124"/>
        <v>Apr -2026</v>
      </c>
    </row>
    <row r="4180" spans="1:7" x14ac:dyDescent="0.3">
      <c r="A4180" s="4">
        <v>2445402</v>
      </c>
      <c r="B4180" t="s">
        <v>3058</v>
      </c>
      <c r="C4180" s="4" t="s">
        <v>1010</v>
      </c>
      <c r="D4180" s="4" t="s">
        <v>209</v>
      </c>
      <c r="E4180" s="4" t="s">
        <v>291</v>
      </c>
      <c r="F4180" s="1">
        <v>46135</v>
      </c>
      <c r="G4180" t="str">
        <f t="shared" si="124"/>
        <v>Apr -2026</v>
      </c>
    </row>
    <row r="4181" spans="1:7" x14ac:dyDescent="0.3">
      <c r="A4181" s="4">
        <v>2445403</v>
      </c>
      <c r="B4181" t="s">
        <v>3058</v>
      </c>
      <c r="C4181" s="4" t="s">
        <v>1010</v>
      </c>
      <c r="D4181" s="4" t="s">
        <v>209</v>
      </c>
      <c r="E4181" s="4" t="s">
        <v>291</v>
      </c>
      <c r="F4181" s="1">
        <v>46135</v>
      </c>
      <c r="G4181" t="str">
        <f t="shared" si="124"/>
        <v>Apr -2026</v>
      </c>
    </row>
    <row r="4182" spans="1:7" x14ac:dyDescent="0.3">
      <c r="A4182" s="4">
        <v>2453621</v>
      </c>
      <c r="B4182" t="s">
        <v>3059</v>
      </c>
      <c r="C4182" s="4" t="s">
        <v>1010</v>
      </c>
      <c r="D4182" s="4" t="s">
        <v>1020</v>
      </c>
      <c r="E4182" s="4" t="s">
        <v>228</v>
      </c>
      <c r="F4182" s="1">
        <v>46135</v>
      </c>
      <c r="G4182" t="str">
        <f t="shared" si="124"/>
        <v>Apr -2026</v>
      </c>
    </row>
    <row r="4183" spans="1:7" x14ac:dyDescent="0.3">
      <c r="A4183" s="4">
        <v>2450766</v>
      </c>
      <c r="B4183" t="s">
        <v>3024</v>
      </c>
      <c r="C4183" s="4" t="s">
        <v>1010</v>
      </c>
      <c r="D4183" s="4" t="s">
        <v>1020</v>
      </c>
      <c r="E4183" s="4" t="s">
        <v>2954</v>
      </c>
      <c r="F4183" s="1">
        <v>46135</v>
      </c>
      <c r="G4183" t="str">
        <f t="shared" si="124"/>
        <v>Apr -2026</v>
      </c>
    </row>
    <row r="4184" spans="1:7" x14ac:dyDescent="0.3">
      <c r="A4184" s="4">
        <v>2450767</v>
      </c>
      <c r="B4184" t="s">
        <v>3025</v>
      </c>
      <c r="C4184" s="4" t="s">
        <v>1010</v>
      </c>
      <c r="D4184" s="4" t="s">
        <v>1020</v>
      </c>
      <c r="E4184" s="4" t="s">
        <v>2954</v>
      </c>
      <c r="F4184" s="1">
        <v>46135</v>
      </c>
      <c r="G4184" t="str">
        <f t="shared" si="124"/>
        <v>Apr -2026</v>
      </c>
    </row>
    <row r="4185" spans="1:7" x14ac:dyDescent="0.3">
      <c r="A4185" s="4">
        <v>2450768</v>
      </c>
      <c r="B4185" t="s">
        <v>3026</v>
      </c>
      <c r="C4185" s="4" t="s">
        <v>1010</v>
      </c>
      <c r="D4185" s="4" t="s">
        <v>1020</v>
      </c>
      <c r="E4185" s="4" t="s">
        <v>2954</v>
      </c>
      <c r="F4185" s="1">
        <v>46135</v>
      </c>
      <c r="G4185" t="str">
        <f t="shared" si="124"/>
        <v>Apr -2026</v>
      </c>
    </row>
    <row r="4186" spans="1:7" x14ac:dyDescent="0.3">
      <c r="A4186" s="4">
        <v>2450773</v>
      </c>
      <c r="B4186" t="s">
        <v>3027</v>
      </c>
      <c r="C4186" s="4" t="s">
        <v>1010</v>
      </c>
      <c r="D4186" s="4" t="s">
        <v>1020</v>
      </c>
      <c r="E4186" s="4" t="s">
        <v>2954</v>
      </c>
      <c r="F4186" s="1">
        <v>46135</v>
      </c>
      <c r="G4186" t="str">
        <f t="shared" si="124"/>
        <v>Apr -2026</v>
      </c>
    </row>
    <row r="4187" spans="1:7" x14ac:dyDescent="0.3">
      <c r="A4187" s="4">
        <v>2450775</v>
      </c>
      <c r="B4187" t="s">
        <v>3028</v>
      </c>
      <c r="C4187" s="4" t="s">
        <v>1010</v>
      </c>
      <c r="D4187" s="4" t="s">
        <v>1020</v>
      </c>
      <c r="E4187" s="4" t="s">
        <v>2954</v>
      </c>
      <c r="F4187" s="1">
        <v>46135</v>
      </c>
      <c r="G4187" t="str">
        <f t="shared" si="124"/>
        <v>Apr -2026</v>
      </c>
    </row>
    <row r="4188" spans="1:7" x14ac:dyDescent="0.3">
      <c r="A4188" s="4">
        <v>2450835</v>
      </c>
      <c r="B4188" t="s">
        <v>3029</v>
      </c>
      <c r="C4188" t="s">
        <v>1010</v>
      </c>
      <c r="D4188" s="4" t="s">
        <v>1020</v>
      </c>
      <c r="E4188" s="4" t="s">
        <v>2954</v>
      </c>
      <c r="F4188" s="1">
        <v>46135</v>
      </c>
      <c r="G4188" t="str">
        <f t="shared" si="124"/>
        <v>Apr -2026</v>
      </c>
    </row>
    <row r="4189" spans="1:7" x14ac:dyDescent="0.3">
      <c r="A4189" s="4">
        <v>2450842</v>
      </c>
      <c r="B4189" t="s">
        <v>3030</v>
      </c>
      <c r="C4189" t="s">
        <v>1010</v>
      </c>
      <c r="D4189" s="4" t="s">
        <v>1020</v>
      </c>
      <c r="E4189" s="4" t="s">
        <v>2954</v>
      </c>
      <c r="F4189" s="1">
        <v>46135</v>
      </c>
      <c r="G4189" t="str">
        <f t="shared" si="124"/>
        <v>Apr -2026</v>
      </c>
    </row>
    <row r="4190" spans="1:7" x14ac:dyDescent="0.3">
      <c r="A4190" s="4">
        <v>2448786</v>
      </c>
      <c r="B4190" t="s">
        <v>3060</v>
      </c>
      <c r="C4190" t="s">
        <v>1010</v>
      </c>
      <c r="D4190" s="4" t="s">
        <v>1020</v>
      </c>
      <c r="E4190" s="4" t="s">
        <v>2028</v>
      </c>
      <c r="F4190" s="1">
        <v>46135</v>
      </c>
      <c r="G4190" t="str">
        <f t="shared" si="124"/>
        <v>Apr -2026</v>
      </c>
    </row>
    <row r="4191" spans="1:7" x14ac:dyDescent="0.3">
      <c r="A4191" s="4">
        <v>2453875</v>
      </c>
      <c r="B4191" t="s">
        <v>3061</v>
      </c>
      <c r="C4191" t="s">
        <v>1010</v>
      </c>
      <c r="D4191" s="4" t="s">
        <v>209</v>
      </c>
      <c r="E4191" s="4" t="s">
        <v>225</v>
      </c>
      <c r="F4191" s="1">
        <v>46135</v>
      </c>
      <c r="G4191" t="str">
        <f t="shared" si="124"/>
        <v>Apr -2026</v>
      </c>
    </row>
    <row r="4192" spans="1:7" x14ac:dyDescent="0.3">
      <c r="A4192" s="4">
        <v>2448620</v>
      </c>
      <c r="B4192" t="s">
        <v>3062</v>
      </c>
      <c r="C4192" t="s">
        <v>1010</v>
      </c>
      <c r="D4192" s="4" t="s">
        <v>1020</v>
      </c>
      <c r="E4192" s="4" t="s">
        <v>2028</v>
      </c>
      <c r="F4192" s="1">
        <v>46135</v>
      </c>
      <c r="G4192" t="str">
        <f t="shared" si="124"/>
        <v>Apr -2026</v>
      </c>
    </row>
    <row r="4193" spans="1:7" x14ac:dyDescent="0.3">
      <c r="A4193" s="4">
        <v>2448861</v>
      </c>
      <c r="B4193" t="s">
        <v>3062</v>
      </c>
      <c r="C4193" t="s">
        <v>1010</v>
      </c>
      <c r="D4193" s="4" t="s">
        <v>1020</v>
      </c>
      <c r="E4193" s="4" t="s">
        <v>2028</v>
      </c>
      <c r="F4193" s="1">
        <v>46135</v>
      </c>
      <c r="G4193" t="str">
        <f t="shared" si="124"/>
        <v>Apr -2026</v>
      </c>
    </row>
    <row r="4194" spans="1:7" x14ac:dyDescent="0.3">
      <c r="A4194" s="4">
        <v>2451795</v>
      </c>
      <c r="B4194" t="s">
        <v>3063</v>
      </c>
      <c r="C4194" t="s">
        <v>1010</v>
      </c>
      <c r="D4194" s="4" t="s">
        <v>1020</v>
      </c>
      <c r="E4194" s="4" t="s">
        <v>2028</v>
      </c>
      <c r="F4194" s="1">
        <v>46135</v>
      </c>
      <c r="G4194" t="str">
        <f t="shared" si="124"/>
        <v>Apr -2026</v>
      </c>
    </row>
    <row r="4195" spans="1:7" x14ac:dyDescent="0.3">
      <c r="A4195" s="4">
        <v>2445397</v>
      </c>
      <c r="B4195" t="s">
        <v>582</v>
      </c>
      <c r="C4195" s="4" t="s">
        <v>1010</v>
      </c>
      <c r="D4195" t="s">
        <v>1020</v>
      </c>
      <c r="E4195" s="4" t="s">
        <v>338</v>
      </c>
      <c r="F4195" s="1">
        <v>46136</v>
      </c>
      <c r="G4195" t="str">
        <f t="shared" si="124"/>
        <v>Apr -2026</v>
      </c>
    </row>
    <row r="4196" spans="1:7" x14ac:dyDescent="0.3">
      <c r="A4196" s="4">
        <v>2448769</v>
      </c>
      <c r="B4196" t="s">
        <v>3064</v>
      </c>
      <c r="C4196" s="4" t="s">
        <v>1010</v>
      </c>
      <c r="D4196" t="s">
        <v>1020</v>
      </c>
      <c r="E4196" s="4" t="s">
        <v>2028</v>
      </c>
      <c r="F4196" s="1">
        <v>46136</v>
      </c>
      <c r="G4196" t="str">
        <f t="shared" si="124"/>
        <v>Apr -2026</v>
      </c>
    </row>
    <row r="4197" spans="1:7" x14ac:dyDescent="0.3">
      <c r="A4197" s="4">
        <v>2448719</v>
      </c>
      <c r="B4197" t="s">
        <v>3064</v>
      </c>
      <c r="C4197" s="4" t="s">
        <v>1010</v>
      </c>
      <c r="D4197" t="s">
        <v>1020</v>
      </c>
      <c r="E4197" s="4" t="s">
        <v>2028</v>
      </c>
      <c r="F4197" s="1">
        <v>46136</v>
      </c>
      <c r="G4197" t="str">
        <f t="shared" si="124"/>
        <v>Apr -2026</v>
      </c>
    </row>
    <row r="4198" spans="1:7" x14ac:dyDescent="0.3">
      <c r="A4198" s="4">
        <v>2448720</v>
      </c>
      <c r="B4198" t="s">
        <v>3064</v>
      </c>
      <c r="C4198" s="4" t="s">
        <v>1010</v>
      </c>
      <c r="D4198" t="s">
        <v>1020</v>
      </c>
      <c r="E4198" s="4" t="s">
        <v>2028</v>
      </c>
      <c r="F4198" s="1">
        <v>46136</v>
      </c>
      <c r="G4198" t="str">
        <f t="shared" si="124"/>
        <v>Apr -2026</v>
      </c>
    </row>
    <row r="4199" spans="1:7" x14ac:dyDescent="0.3">
      <c r="A4199" s="4">
        <v>2450910</v>
      </c>
      <c r="B4199" t="s">
        <v>3065</v>
      </c>
      <c r="C4199" s="4" t="s">
        <v>1010</v>
      </c>
      <c r="D4199" t="s">
        <v>1020</v>
      </c>
      <c r="E4199" s="4" t="s">
        <v>2310</v>
      </c>
      <c r="F4199" s="1">
        <v>46136</v>
      </c>
      <c r="G4199" t="str">
        <f t="shared" si="124"/>
        <v>Apr -2026</v>
      </c>
    </row>
    <row r="4200" spans="1:7" x14ac:dyDescent="0.3">
      <c r="A4200" s="4">
        <v>2453947</v>
      </c>
      <c r="B4200" t="s">
        <v>3066</v>
      </c>
      <c r="C4200" s="4" t="s">
        <v>1010</v>
      </c>
      <c r="D4200" t="s">
        <v>209</v>
      </c>
      <c r="E4200" s="4" t="s">
        <v>375</v>
      </c>
      <c r="F4200" s="1">
        <v>46136</v>
      </c>
      <c r="G4200" t="str">
        <f t="shared" si="124"/>
        <v>Apr -2026</v>
      </c>
    </row>
    <row r="4201" spans="1:7" x14ac:dyDescent="0.3">
      <c r="A4201" s="4">
        <v>2453764</v>
      </c>
      <c r="B4201" t="s">
        <v>3067</v>
      </c>
      <c r="C4201" s="4" t="s">
        <v>1010</v>
      </c>
      <c r="D4201" s="4" t="s">
        <v>1020</v>
      </c>
      <c r="E4201" s="4" t="s">
        <v>435</v>
      </c>
      <c r="F4201" s="1">
        <v>46136</v>
      </c>
      <c r="G4201" t="str">
        <f t="shared" si="124"/>
        <v>Apr -2026</v>
      </c>
    </row>
    <row r="4202" spans="1:7" x14ac:dyDescent="0.3">
      <c r="A4202" s="4">
        <v>2452388</v>
      </c>
      <c r="B4202" t="s">
        <v>3068</v>
      </c>
      <c r="C4202" s="4" t="s">
        <v>1010</v>
      </c>
      <c r="D4202" s="4" t="s">
        <v>1020</v>
      </c>
      <c r="E4202" s="4" t="s">
        <v>435</v>
      </c>
      <c r="F4202" s="1">
        <v>46136</v>
      </c>
      <c r="G4202" t="str">
        <f t="shared" si="124"/>
        <v>Apr -2026</v>
      </c>
    </row>
    <row r="4203" spans="1:7" x14ac:dyDescent="0.3">
      <c r="A4203" s="4">
        <v>2451819</v>
      </c>
      <c r="B4203" t="s">
        <v>3069</v>
      </c>
      <c r="C4203" s="4" t="s">
        <v>1010</v>
      </c>
      <c r="D4203" s="4" t="s">
        <v>1020</v>
      </c>
      <c r="E4203" s="4" t="s">
        <v>2028</v>
      </c>
      <c r="F4203" s="1">
        <v>46136</v>
      </c>
      <c r="G4203" t="str">
        <f t="shared" si="124"/>
        <v>Apr -2026</v>
      </c>
    </row>
    <row r="4204" spans="1:7" x14ac:dyDescent="0.3">
      <c r="A4204" s="4">
        <v>900007440</v>
      </c>
      <c r="B4204" t="s">
        <v>3070</v>
      </c>
      <c r="C4204" s="4" t="s">
        <v>1010</v>
      </c>
      <c r="D4204" s="4" t="s">
        <v>1551</v>
      </c>
      <c r="E4204" s="4" t="s">
        <v>1877</v>
      </c>
      <c r="F4204" s="1">
        <v>46136</v>
      </c>
      <c r="G4204" t="str">
        <f t="shared" si="124"/>
        <v>Apr -2026</v>
      </c>
    </row>
    <row r="4205" spans="1:7" x14ac:dyDescent="0.3">
      <c r="A4205" s="4">
        <v>900007427</v>
      </c>
      <c r="B4205" t="s">
        <v>3071</v>
      </c>
      <c r="C4205" s="4" t="s">
        <v>1010</v>
      </c>
      <c r="D4205" s="4" t="s">
        <v>1551</v>
      </c>
      <c r="E4205" s="4" t="s">
        <v>1877</v>
      </c>
      <c r="F4205" s="1">
        <v>46136</v>
      </c>
      <c r="G4205" t="str">
        <f t="shared" si="124"/>
        <v>Apr -2026</v>
      </c>
    </row>
    <row r="4206" spans="1:7" x14ac:dyDescent="0.3">
      <c r="A4206" s="4">
        <v>2456674</v>
      </c>
      <c r="B4206" t="s">
        <v>3072</v>
      </c>
      <c r="C4206" s="4" t="s">
        <v>1010</v>
      </c>
      <c r="D4206" s="4" t="s">
        <v>209</v>
      </c>
      <c r="E4206" s="4" t="s">
        <v>291</v>
      </c>
      <c r="F4206" s="1">
        <v>46136</v>
      </c>
      <c r="G4206" t="str">
        <f t="shared" si="124"/>
        <v>Apr -2026</v>
      </c>
    </row>
    <row r="4207" spans="1:7" x14ac:dyDescent="0.3">
      <c r="A4207" s="4">
        <v>900007462</v>
      </c>
      <c r="B4207" t="s">
        <v>3073</v>
      </c>
      <c r="C4207" s="4" t="s">
        <v>1010</v>
      </c>
      <c r="D4207" s="4" t="s">
        <v>1551</v>
      </c>
      <c r="E4207" s="4" t="s">
        <v>1877</v>
      </c>
      <c r="F4207" s="1">
        <v>46136</v>
      </c>
      <c r="G4207" t="str">
        <f t="shared" si="124"/>
        <v>Apr -2026</v>
      </c>
    </row>
    <row r="4208" spans="1:7" x14ac:dyDescent="0.3">
      <c r="A4208" s="19">
        <v>100006142</v>
      </c>
      <c r="B4208" t="s">
        <v>3074</v>
      </c>
      <c r="C4208" s="3" t="s">
        <v>1011</v>
      </c>
      <c r="D4208" t="s">
        <v>2015</v>
      </c>
      <c r="E4208" s="4" t="s">
        <v>967</v>
      </c>
      <c r="F4208" s="1">
        <v>46136</v>
      </c>
      <c r="G4208" t="str">
        <f t="shared" si="124"/>
        <v>Apr -2026</v>
      </c>
    </row>
    <row r="4209" spans="1:7" x14ac:dyDescent="0.3">
      <c r="A4209" s="19">
        <v>900007364</v>
      </c>
      <c r="B4209" t="s">
        <v>3007</v>
      </c>
      <c r="C4209" s="3" t="s">
        <v>1604</v>
      </c>
      <c r="D4209" s="4" t="s">
        <v>2018</v>
      </c>
      <c r="E4209" s="4" t="s">
        <v>1877</v>
      </c>
      <c r="F4209" s="1">
        <v>46136</v>
      </c>
      <c r="G4209" t="str">
        <f t="shared" si="124"/>
        <v>Apr -2026</v>
      </c>
    </row>
    <row r="4210" spans="1:7" x14ac:dyDescent="0.3">
      <c r="A4210" s="19">
        <v>100006161</v>
      </c>
      <c r="B4210" t="s">
        <v>3075</v>
      </c>
      <c r="C4210" s="3" t="s">
        <v>1011</v>
      </c>
      <c r="D4210" s="4" t="s">
        <v>2015</v>
      </c>
      <c r="E4210" s="4" t="s">
        <v>976</v>
      </c>
      <c r="F4210" s="1">
        <v>46136</v>
      </c>
      <c r="G4210" t="str">
        <f t="shared" si="124"/>
        <v>Apr -2026</v>
      </c>
    </row>
    <row r="4211" spans="1:7" x14ac:dyDescent="0.3">
      <c r="A4211" s="19">
        <v>900007430</v>
      </c>
      <c r="B4211" t="s">
        <v>3045</v>
      </c>
      <c r="C4211" s="3" t="s">
        <v>1604</v>
      </c>
      <c r="D4211" s="4" t="s">
        <v>2031</v>
      </c>
      <c r="E4211" s="4" t="s">
        <v>1877</v>
      </c>
      <c r="F4211" s="1">
        <v>46136</v>
      </c>
      <c r="G4211" t="str">
        <f t="shared" si="124"/>
        <v>Apr -2026</v>
      </c>
    </row>
  </sheetData>
  <autoFilter ref="A1:L4211" xr:uid="{90D23D1A-F113-42DD-94B9-DDB2506C167E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1125-30CA-4EED-9B3B-CB9A8F383BC7}">
  <dimension ref="A1:T477"/>
  <sheetViews>
    <sheetView topLeftCell="A395" workbookViewId="0">
      <selection activeCell="B415" sqref="B415:E477"/>
    </sheetView>
  </sheetViews>
  <sheetFormatPr defaultRowHeight="15.75" x14ac:dyDescent="0.3"/>
  <cols>
    <col min="1" max="1" width="14.375" bestFit="1" customWidth="1"/>
  </cols>
  <sheetData>
    <row r="1" spans="1:20" x14ac:dyDescent="0.3">
      <c r="A1" t="s">
        <v>4</v>
      </c>
      <c r="B1" t="s">
        <v>1025</v>
      </c>
      <c r="C1" t="s">
        <v>1037</v>
      </c>
      <c r="D1" t="s">
        <v>1038</v>
      </c>
      <c r="E1" t="s">
        <v>2037</v>
      </c>
    </row>
    <row r="2" spans="1:20" x14ac:dyDescent="0.3">
      <c r="A2" s="1">
        <v>45631</v>
      </c>
      <c r="B2">
        <f>COUNTIFS(Total!F:F, A2, Total!A:A, "&lt;&gt;")</f>
        <v>3</v>
      </c>
      <c r="C2">
        <f>COUNTIFS(Total!C:C,$N$4,Total!F:F, A2, Total!A:A, "&lt;&gt;")</f>
        <v>0</v>
      </c>
      <c r="D2">
        <f>COUNTIFS(Total!C:C,$N$3,Total!F:F, A2, Total!A:A, "&lt;&gt;")</f>
        <v>3</v>
      </c>
      <c r="E2">
        <f>COUNTIFS(Total!C:C,$N$5,Total!F:F, A2, Total!A:A, "&lt;&gt;")</f>
        <v>0</v>
      </c>
      <c r="I2" s="11"/>
      <c r="N2" s="8" t="s">
        <v>1009</v>
      </c>
    </row>
    <row r="3" spans="1:20" x14ac:dyDescent="0.3">
      <c r="A3" s="1">
        <v>45632</v>
      </c>
      <c r="B3">
        <f>COUNTIFS(Total!F:F, A3, Total!A:A, "&lt;&gt;")</f>
        <v>2</v>
      </c>
      <c r="C3">
        <f>COUNTIFS(Total!C:C,$N$4,Total!F:F, A3, Total!A:A, "&lt;&gt;")</f>
        <v>0</v>
      </c>
      <c r="D3">
        <f>COUNTIFS(Total!C:C,$N$3,Total!F:F, A3, Total!A:A, "&lt;&gt;")</f>
        <v>2</v>
      </c>
      <c r="E3">
        <f>COUNTIFS(Total!C:C,$N$5,Total!F:F, A3, Total!A:A, "&lt;&gt;")</f>
        <v>0</v>
      </c>
      <c r="I3" s="11"/>
      <c r="N3" s="8" t="s">
        <v>1010</v>
      </c>
      <c r="T3" t="s">
        <v>1039</v>
      </c>
    </row>
    <row r="4" spans="1:20" x14ac:dyDescent="0.3">
      <c r="A4" s="1">
        <v>45635</v>
      </c>
      <c r="B4">
        <f>COUNTIFS(Total!F:F, A4, Total!A:A, "&lt;&gt;")</f>
        <v>1</v>
      </c>
      <c r="C4">
        <f>COUNTIFS(Total!C:C,$N$4,Total!F:F, A4, Total!A:A, "&lt;&gt;")</f>
        <v>0</v>
      </c>
      <c r="D4">
        <f>COUNTIFS(Total!C:C,$N$3,Total!F:F, A4, Total!A:A, "&lt;&gt;")</f>
        <v>1</v>
      </c>
      <c r="E4">
        <f>COUNTIFS(Total!C:C,$N$5,Total!F:F, A4, Total!A:A, "&lt;&gt;")</f>
        <v>0</v>
      </c>
      <c r="I4" s="11"/>
      <c r="N4" s="8" t="s">
        <v>1011</v>
      </c>
      <c r="T4" t="s">
        <v>1040</v>
      </c>
    </row>
    <row r="5" spans="1:20" x14ac:dyDescent="0.3">
      <c r="A5" s="1">
        <v>45638</v>
      </c>
      <c r="B5">
        <f>COUNTIFS(Total!F:F, A5, Total!A:A, "&lt;&gt;")</f>
        <v>4</v>
      </c>
      <c r="C5">
        <f>COUNTIFS(Total!C:C,$N$4,Total!F:F, A5, Total!A:A, "&lt;&gt;")</f>
        <v>0</v>
      </c>
      <c r="D5">
        <f>COUNTIFS(Total!C:C,$N$3,Total!F:F, A5, Total!A:A, "&lt;&gt;")</f>
        <v>4</v>
      </c>
      <c r="E5">
        <f>COUNTIFS(Total!C:C,$N$5,Total!F:F, A5, Total!A:A, "&lt;&gt;")</f>
        <v>0</v>
      </c>
      <c r="I5" s="11"/>
      <c r="N5" s="8" t="s">
        <v>1604</v>
      </c>
      <c r="T5" t="s">
        <v>1005</v>
      </c>
    </row>
    <row r="6" spans="1:20" x14ac:dyDescent="0.3">
      <c r="A6" s="1">
        <v>45663</v>
      </c>
      <c r="B6">
        <f>COUNTIFS(Total!F:F, A6, Total!A:A, "&lt;&gt;")</f>
        <v>2</v>
      </c>
      <c r="C6">
        <f>COUNTIFS(Total!C:C,$N$4,Total!F:F, A6, Total!A:A, "&lt;&gt;")</f>
        <v>0</v>
      </c>
      <c r="D6">
        <f>COUNTIFS(Total!C:C,$N$3,Total!F:F, A6, Total!A:A, "&lt;&gt;")</f>
        <v>2</v>
      </c>
      <c r="E6">
        <f>COUNTIFS(Total!C:C,$N$5,Total!F:F, A6, Total!A:A, "&lt;&gt;")</f>
        <v>0</v>
      </c>
      <c r="I6" s="11"/>
      <c r="T6" t="s">
        <v>1006</v>
      </c>
    </row>
    <row r="7" spans="1:20" x14ac:dyDescent="0.3">
      <c r="A7" s="1">
        <v>45664</v>
      </c>
      <c r="B7">
        <f>COUNTIFS(Total!F:F, A7, Total!A:A, "&lt;&gt;")</f>
        <v>2</v>
      </c>
      <c r="C7">
        <f>COUNTIFS(Total!C:C,$N$4,Total!F:F, A7, Total!A:A, "&lt;&gt;")</f>
        <v>0</v>
      </c>
      <c r="D7">
        <f>COUNTIFS(Total!C:C,$N$3,Total!F:F, A7, Total!A:A, "&lt;&gt;")</f>
        <v>2</v>
      </c>
      <c r="E7">
        <f>COUNTIFS(Total!C:C,$N$5,Total!F:F, A7, Total!A:A, "&lt;&gt;")</f>
        <v>0</v>
      </c>
      <c r="I7" s="11"/>
      <c r="T7" t="s">
        <v>1004</v>
      </c>
    </row>
    <row r="8" spans="1:20" x14ac:dyDescent="0.3">
      <c r="A8" s="1">
        <v>45665</v>
      </c>
      <c r="B8">
        <f>COUNTIFS(Total!F:F, A8, Total!A:A, "&lt;&gt;")</f>
        <v>1</v>
      </c>
      <c r="C8">
        <f>COUNTIFS(Total!C:C,$N$4,Total!F:F, A8, Total!A:A, "&lt;&gt;")</f>
        <v>0</v>
      </c>
      <c r="D8">
        <f>COUNTIFS(Total!C:C,$N$3,Total!F:F, A8, Total!A:A, "&lt;&gt;")</f>
        <v>1</v>
      </c>
      <c r="E8">
        <f>COUNTIFS(Total!C:C,$N$5,Total!F:F, A8, Total!A:A, "&lt;&gt;")</f>
        <v>0</v>
      </c>
      <c r="I8" s="11"/>
      <c r="T8" t="s">
        <v>1007</v>
      </c>
    </row>
    <row r="9" spans="1:20" x14ac:dyDescent="0.3">
      <c r="A9" s="1">
        <v>45666</v>
      </c>
      <c r="B9">
        <f>COUNTIFS(Total!F:F, A9, Total!A:A, "&lt;&gt;")</f>
        <v>1</v>
      </c>
      <c r="C9">
        <f>COUNTIFS(Total!C:C,$N$4,Total!F:F, A9, Total!A:A, "&lt;&gt;")</f>
        <v>0</v>
      </c>
      <c r="D9">
        <f>COUNTIFS(Total!C:C,$N$3,Total!F:F, A9, Total!A:A, "&lt;&gt;")</f>
        <v>1</v>
      </c>
      <c r="E9">
        <f>COUNTIFS(Total!C:C,$N$5,Total!F:F, A9, Total!A:A, "&lt;&gt;")</f>
        <v>0</v>
      </c>
      <c r="I9" s="11"/>
      <c r="T9" t="s">
        <v>8</v>
      </c>
    </row>
    <row r="10" spans="1:20" x14ac:dyDescent="0.3">
      <c r="A10" s="1">
        <v>45667</v>
      </c>
      <c r="B10">
        <f>COUNTIFS(Total!F:F, A10, Total!A:A, "&lt;&gt;")</f>
        <v>2</v>
      </c>
      <c r="C10">
        <f>COUNTIFS(Total!C:C,$N$4,Total!F:F, A10, Total!A:A, "&lt;&gt;")</f>
        <v>0</v>
      </c>
      <c r="D10">
        <f>COUNTIFS(Total!C:C,$N$3,Total!F:F, A10, Total!A:A, "&lt;&gt;")</f>
        <v>2</v>
      </c>
      <c r="E10">
        <f>COUNTIFS(Total!C:C,$N$5,Total!F:F, A10, Total!A:A, "&lt;&gt;")</f>
        <v>0</v>
      </c>
      <c r="I10" s="11"/>
      <c r="T10" t="s">
        <v>194</v>
      </c>
    </row>
    <row r="11" spans="1:20" x14ac:dyDescent="0.3">
      <c r="A11" s="1">
        <v>45670</v>
      </c>
      <c r="B11">
        <f>COUNTIFS(Total!F:F, A11, Total!A:A, "&lt;&gt;")</f>
        <v>1</v>
      </c>
      <c r="C11">
        <f>COUNTIFS(Total!C:C,$N$4,Total!F:F, A11, Total!A:A, "&lt;&gt;")</f>
        <v>0</v>
      </c>
      <c r="D11">
        <f>COUNTIFS(Total!C:C,$N$3,Total!F:F, A11, Total!A:A, "&lt;&gt;")</f>
        <v>1</v>
      </c>
      <c r="E11">
        <f>COUNTIFS(Total!C:C,$N$5,Total!F:F, A11, Total!A:A, "&lt;&gt;")</f>
        <v>0</v>
      </c>
      <c r="I11" s="11"/>
      <c r="T11" t="s">
        <v>372</v>
      </c>
    </row>
    <row r="12" spans="1:20" x14ac:dyDescent="0.3">
      <c r="A12" s="1">
        <v>45672</v>
      </c>
      <c r="B12">
        <f>COUNTIFS(Total!F:F, A12, Total!A:A, "&lt;&gt;")</f>
        <v>5</v>
      </c>
      <c r="C12">
        <f>COUNTIFS(Total!C:C,$N$4,Total!F:F, A12, Total!A:A, "&lt;&gt;")</f>
        <v>0</v>
      </c>
      <c r="D12">
        <f>COUNTIFS(Total!C:C,$N$3,Total!F:F, A12, Total!A:A, "&lt;&gt;")</f>
        <v>5</v>
      </c>
      <c r="E12">
        <f>COUNTIFS(Total!C:C,$N$5,Total!F:F, A12, Total!A:A, "&lt;&gt;")</f>
        <v>0</v>
      </c>
      <c r="T12" t="s">
        <v>498</v>
      </c>
    </row>
    <row r="13" spans="1:20" x14ac:dyDescent="0.3">
      <c r="A13" s="1">
        <v>45673</v>
      </c>
      <c r="B13">
        <f>COUNTIFS(Total!F:F, A13, Total!A:A, "&lt;&gt;")</f>
        <v>5</v>
      </c>
      <c r="C13">
        <f>COUNTIFS(Total!C:C,$N$4,Total!F:F, A13, Total!A:A, "&lt;&gt;")</f>
        <v>0</v>
      </c>
      <c r="D13">
        <f>COUNTIFS(Total!C:C,$N$3,Total!F:F, A13, Total!A:A, "&lt;&gt;")</f>
        <v>5</v>
      </c>
      <c r="E13">
        <f>COUNTIFS(Total!C:C,$N$5,Total!F:F, A13, Total!A:A, "&lt;&gt;")</f>
        <v>0</v>
      </c>
    </row>
    <row r="14" spans="1:20" x14ac:dyDescent="0.3">
      <c r="A14" s="1">
        <v>45674</v>
      </c>
      <c r="B14">
        <f>COUNTIFS(Total!F:F, A14, Total!A:A, "&lt;&gt;")</f>
        <v>2</v>
      </c>
      <c r="C14">
        <f>COUNTIFS(Total!C:C,$N$4,Total!F:F, A14, Total!A:A, "&lt;&gt;")</f>
        <v>0</v>
      </c>
      <c r="D14">
        <f>COUNTIFS(Total!C:C,$N$3,Total!F:F, A14, Total!A:A, "&lt;&gt;")</f>
        <v>2</v>
      </c>
      <c r="E14">
        <f>COUNTIFS(Total!C:C,$N$5,Total!F:F, A14, Total!A:A, "&lt;&gt;")</f>
        <v>0</v>
      </c>
    </row>
    <row r="15" spans="1:20" x14ac:dyDescent="0.3">
      <c r="A15" s="1">
        <v>45677</v>
      </c>
      <c r="B15">
        <f>COUNTIFS(Total!F:F, A15, Total!A:A, "&lt;&gt;")</f>
        <v>1</v>
      </c>
      <c r="C15">
        <f>COUNTIFS(Total!C:C,$N$4,Total!F:F, A15, Total!A:A, "&lt;&gt;")</f>
        <v>0</v>
      </c>
      <c r="D15">
        <f>COUNTIFS(Total!C:C,$N$3,Total!F:F, A15, Total!A:A, "&lt;&gt;")</f>
        <v>1</v>
      </c>
      <c r="E15">
        <f>COUNTIFS(Total!C:C,$N$5,Total!F:F, A15, Total!A:A, "&lt;&gt;")</f>
        <v>0</v>
      </c>
    </row>
    <row r="16" spans="1:20" x14ac:dyDescent="0.3">
      <c r="A16" s="1">
        <v>45679</v>
      </c>
      <c r="B16">
        <f>COUNTIFS(Total!F:F, A16, Total!A:A, "&lt;&gt;")</f>
        <v>4</v>
      </c>
      <c r="C16">
        <f>COUNTIFS(Total!C:C,$N$4,Total!F:F, A16, Total!A:A, "&lt;&gt;")</f>
        <v>0</v>
      </c>
      <c r="D16">
        <f>COUNTIFS(Total!C:C,$N$3,Total!F:F, A16, Total!A:A, "&lt;&gt;")</f>
        <v>4</v>
      </c>
      <c r="E16">
        <f>COUNTIFS(Total!C:C,$N$5,Total!F:F, A16, Total!A:A, "&lt;&gt;")</f>
        <v>0</v>
      </c>
    </row>
    <row r="17" spans="1:5" x14ac:dyDescent="0.3">
      <c r="A17" s="1">
        <v>45684</v>
      </c>
      <c r="B17">
        <f>COUNTIFS(Total!F:F, A17, Total!A:A, "&lt;&gt;")</f>
        <v>1</v>
      </c>
      <c r="C17">
        <f>COUNTIFS(Total!C:C,$N$4,Total!F:F, A17, Total!A:A, "&lt;&gt;")</f>
        <v>0</v>
      </c>
      <c r="D17">
        <f>COUNTIFS(Total!C:C,$N$3,Total!F:F, A17, Total!A:A, "&lt;&gt;")</f>
        <v>1</v>
      </c>
      <c r="E17">
        <f>COUNTIFS(Total!C:C,$N$5,Total!F:F, A17, Total!A:A, "&lt;&gt;")</f>
        <v>0</v>
      </c>
    </row>
    <row r="18" spans="1:5" x14ac:dyDescent="0.3">
      <c r="A18" s="1">
        <v>45685</v>
      </c>
      <c r="B18">
        <f>COUNTIFS(Total!F:F, A18, Total!A:A, "&lt;&gt;")</f>
        <v>4</v>
      </c>
      <c r="C18">
        <f>COUNTIFS(Total!C:C,$N$4,Total!F:F, A18, Total!A:A, "&lt;&gt;")</f>
        <v>0</v>
      </c>
      <c r="D18">
        <f>COUNTIFS(Total!C:C,$N$3,Total!F:F, A18, Total!A:A, "&lt;&gt;")</f>
        <v>4</v>
      </c>
      <c r="E18">
        <f>COUNTIFS(Total!C:C,$N$5,Total!F:F, A18, Total!A:A, "&lt;&gt;")</f>
        <v>0</v>
      </c>
    </row>
    <row r="19" spans="1:5" x14ac:dyDescent="0.3">
      <c r="A19" s="1">
        <v>45686</v>
      </c>
      <c r="B19">
        <f>COUNTIFS(Total!F:F, A19, Total!A:A, "&lt;&gt;")</f>
        <v>7</v>
      </c>
      <c r="C19">
        <f>COUNTIFS(Total!C:C,$N$4,Total!F:F, A19, Total!A:A, "&lt;&gt;")</f>
        <v>0</v>
      </c>
      <c r="D19">
        <f>COUNTIFS(Total!C:C,$N$3,Total!F:F, A19, Total!A:A, "&lt;&gt;")</f>
        <v>7</v>
      </c>
      <c r="E19">
        <f>COUNTIFS(Total!C:C,$N$5,Total!F:F, A19, Total!A:A, "&lt;&gt;")</f>
        <v>0</v>
      </c>
    </row>
    <row r="20" spans="1:5" x14ac:dyDescent="0.3">
      <c r="A20" s="1">
        <v>45687</v>
      </c>
      <c r="B20">
        <f>COUNTIFS(Total!F:F, A20, Total!A:A, "&lt;&gt;")</f>
        <v>4</v>
      </c>
      <c r="C20">
        <f>COUNTIFS(Total!C:C,$N$4,Total!F:F, A20, Total!A:A, "&lt;&gt;")</f>
        <v>0</v>
      </c>
      <c r="D20">
        <f>COUNTIFS(Total!C:C,$N$3,Total!F:F, A20, Total!A:A, "&lt;&gt;")</f>
        <v>4</v>
      </c>
      <c r="E20">
        <f>COUNTIFS(Total!C:C,$N$5,Total!F:F, A20, Total!A:A, "&lt;&gt;")</f>
        <v>0</v>
      </c>
    </row>
    <row r="21" spans="1:5" x14ac:dyDescent="0.3">
      <c r="A21" s="1">
        <v>45691</v>
      </c>
      <c r="B21">
        <f>COUNTIFS(Total!F:F, A21, Total!A:A, "&lt;&gt;")</f>
        <v>1</v>
      </c>
      <c r="C21">
        <f>COUNTIFS(Total!C:C,$N$4,Total!F:F, A21, Total!A:A, "&lt;&gt;")</f>
        <v>0</v>
      </c>
      <c r="D21">
        <f>COUNTIFS(Total!C:C,$N$3,Total!F:F, A21, Total!A:A, "&lt;&gt;")</f>
        <v>1</v>
      </c>
      <c r="E21">
        <f>COUNTIFS(Total!C:C,$N$5,Total!F:F, A21, Total!A:A, "&lt;&gt;")</f>
        <v>0</v>
      </c>
    </row>
    <row r="22" spans="1:5" x14ac:dyDescent="0.3">
      <c r="A22" s="1">
        <v>45692</v>
      </c>
      <c r="B22">
        <f>COUNTIFS(Total!F:F, A22, Total!A:A, "&lt;&gt;")</f>
        <v>4</v>
      </c>
      <c r="C22">
        <f>COUNTIFS(Total!C:C,$N$4,Total!F:F, A22, Total!A:A, "&lt;&gt;")</f>
        <v>0</v>
      </c>
      <c r="D22">
        <f>COUNTIFS(Total!C:C,$N$3,Total!F:F, A22, Total!A:A, "&lt;&gt;")</f>
        <v>4</v>
      </c>
      <c r="E22">
        <f>COUNTIFS(Total!C:C,$N$5,Total!F:F, A22, Total!A:A, "&lt;&gt;")</f>
        <v>0</v>
      </c>
    </row>
    <row r="23" spans="1:5" x14ac:dyDescent="0.3">
      <c r="A23" s="1">
        <v>45693</v>
      </c>
      <c r="B23">
        <f>COUNTIFS(Total!F:F, A23, Total!A:A, "&lt;&gt;")</f>
        <v>7</v>
      </c>
      <c r="C23">
        <f>COUNTIFS(Total!C:C,$N$4,Total!F:F, A23, Total!A:A, "&lt;&gt;")</f>
        <v>0</v>
      </c>
      <c r="D23">
        <f>COUNTIFS(Total!C:C,$N$3,Total!F:F, A23, Total!A:A, "&lt;&gt;")</f>
        <v>7</v>
      </c>
      <c r="E23">
        <f>COUNTIFS(Total!C:C,$N$5,Total!F:F, A23, Total!A:A, "&lt;&gt;")</f>
        <v>0</v>
      </c>
    </row>
    <row r="24" spans="1:5" x14ac:dyDescent="0.3">
      <c r="A24" s="1">
        <v>45694</v>
      </c>
      <c r="B24">
        <f>COUNTIFS(Total!F:F, A24, Total!A:A, "&lt;&gt;")</f>
        <v>6</v>
      </c>
      <c r="C24">
        <f>COUNTIFS(Total!C:C,$N$4,Total!F:F, A24, Total!A:A, "&lt;&gt;")</f>
        <v>0</v>
      </c>
      <c r="D24">
        <f>COUNTIFS(Total!C:C,$N$3,Total!F:F, A24, Total!A:A, "&lt;&gt;")</f>
        <v>6</v>
      </c>
      <c r="E24">
        <f>COUNTIFS(Total!C:C,$N$5,Total!F:F, A24, Total!A:A, "&lt;&gt;")</f>
        <v>0</v>
      </c>
    </row>
    <row r="25" spans="1:5" x14ac:dyDescent="0.3">
      <c r="A25" s="1">
        <v>45695</v>
      </c>
      <c r="B25">
        <f>COUNTIFS(Total!F:F, A25, Total!A:A, "&lt;&gt;")</f>
        <v>7</v>
      </c>
      <c r="C25">
        <f>COUNTIFS(Total!C:C,$N$4,Total!F:F, A25, Total!A:A, "&lt;&gt;")</f>
        <v>0</v>
      </c>
      <c r="D25">
        <f>COUNTIFS(Total!C:C,$N$3,Total!F:F, A25, Total!A:A, "&lt;&gt;")</f>
        <v>7</v>
      </c>
      <c r="E25">
        <f>COUNTIFS(Total!C:C,$N$5,Total!F:F, A25, Total!A:A, "&lt;&gt;")</f>
        <v>0</v>
      </c>
    </row>
    <row r="26" spans="1:5" x14ac:dyDescent="0.3">
      <c r="A26" s="1">
        <v>45698</v>
      </c>
      <c r="B26">
        <f>COUNTIFS(Total!F:F, A26, Total!A:A, "&lt;&gt;")</f>
        <v>3</v>
      </c>
      <c r="C26">
        <f>COUNTIFS(Total!C:C,$N$4,Total!F:F, A26, Total!A:A, "&lt;&gt;")</f>
        <v>0</v>
      </c>
      <c r="D26">
        <f>COUNTIFS(Total!C:C,$N$3,Total!F:F, A26, Total!A:A, "&lt;&gt;")</f>
        <v>3</v>
      </c>
      <c r="E26">
        <f>COUNTIFS(Total!C:C,$N$5,Total!F:F, A26, Total!A:A, "&lt;&gt;")</f>
        <v>0</v>
      </c>
    </row>
    <row r="27" spans="1:5" x14ac:dyDescent="0.3">
      <c r="A27" s="1">
        <v>45699</v>
      </c>
      <c r="B27">
        <f>COUNTIFS(Total!F:F, A27, Total!A:A, "&lt;&gt;")</f>
        <v>5</v>
      </c>
      <c r="C27">
        <f>COUNTIFS(Total!C:C,$N$4,Total!F:F, A27, Total!A:A, "&lt;&gt;")</f>
        <v>0</v>
      </c>
      <c r="D27">
        <f>COUNTIFS(Total!C:C,$N$3,Total!F:F, A27, Total!A:A, "&lt;&gt;")</f>
        <v>5</v>
      </c>
      <c r="E27">
        <f>COUNTIFS(Total!C:C,$N$5,Total!F:F, A27, Total!A:A, "&lt;&gt;")</f>
        <v>0</v>
      </c>
    </row>
    <row r="28" spans="1:5" x14ac:dyDescent="0.3">
      <c r="A28" s="1">
        <v>45700</v>
      </c>
      <c r="B28">
        <f>COUNTIFS(Total!F:F, A28, Total!A:A, "&lt;&gt;")</f>
        <v>3</v>
      </c>
      <c r="C28">
        <f>COUNTIFS(Total!C:C,$N$4,Total!F:F, A28, Total!A:A, "&lt;&gt;")</f>
        <v>0</v>
      </c>
      <c r="D28">
        <f>COUNTIFS(Total!C:C,$N$3,Total!F:F, A28, Total!A:A, "&lt;&gt;")</f>
        <v>3</v>
      </c>
      <c r="E28">
        <f>COUNTIFS(Total!C:C,$N$5,Total!F:F, A28, Total!A:A, "&lt;&gt;")</f>
        <v>0</v>
      </c>
    </row>
    <row r="29" spans="1:5" x14ac:dyDescent="0.3">
      <c r="A29" s="1">
        <v>45706</v>
      </c>
      <c r="B29">
        <f>COUNTIFS(Total!F:F, A29, Total!A:A, "&lt;&gt;")</f>
        <v>3</v>
      </c>
      <c r="C29">
        <f>COUNTIFS(Total!C:C,$N$4,Total!F:F, A29, Total!A:A, "&lt;&gt;")</f>
        <v>0</v>
      </c>
      <c r="D29">
        <f>COUNTIFS(Total!C:C,$N$3,Total!F:F, A29, Total!A:A, "&lt;&gt;")</f>
        <v>3</v>
      </c>
      <c r="E29">
        <f>COUNTIFS(Total!C:C,$N$5,Total!F:F, A29, Total!A:A, "&lt;&gt;")</f>
        <v>0</v>
      </c>
    </row>
    <row r="30" spans="1:5" x14ac:dyDescent="0.3">
      <c r="A30" s="1">
        <v>45709</v>
      </c>
      <c r="B30">
        <f>COUNTIFS(Total!F:F, A30, Total!A:A, "&lt;&gt;")</f>
        <v>3</v>
      </c>
      <c r="C30">
        <f>COUNTIFS(Total!C:C,$N$4,Total!F:F, A30, Total!A:A, "&lt;&gt;")</f>
        <v>0</v>
      </c>
      <c r="D30">
        <f>COUNTIFS(Total!C:C,$N$3,Total!F:F, A30, Total!A:A, "&lt;&gt;")</f>
        <v>3</v>
      </c>
      <c r="E30">
        <f>COUNTIFS(Total!C:C,$N$5,Total!F:F, A30, Total!A:A, "&lt;&gt;")</f>
        <v>0</v>
      </c>
    </row>
    <row r="31" spans="1:5" x14ac:dyDescent="0.3">
      <c r="A31" s="1">
        <v>45712</v>
      </c>
      <c r="B31">
        <f>COUNTIFS(Total!F:F, A31, Total!A:A, "&lt;&gt;")</f>
        <v>2</v>
      </c>
      <c r="C31">
        <f>COUNTIFS(Total!C:C,$N$4,Total!F:F, A31, Total!A:A, "&lt;&gt;")</f>
        <v>0</v>
      </c>
      <c r="D31">
        <f>COUNTIFS(Total!C:C,$N$3,Total!F:F, A31, Total!A:A, "&lt;&gt;")</f>
        <v>2</v>
      </c>
      <c r="E31">
        <f>COUNTIFS(Total!C:C,$N$5,Total!F:F, A31, Total!A:A, "&lt;&gt;")</f>
        <v>0</v>
      </c>
    </row>
    <row r="32" spans="1:5" x14ac:dyDescent="0.3">
      <c r="A32" s="1">
        <v>45713</v>
      </c>
      <c r="B32">
        <f>COUNTIFS(Total!F:F, A32, Total!A:A, "&lt;&gt;")</f>
        <v>6</v>
      </c>
      <c r="C32">
        <f>COUNTIFS(Total!C:C,$N$4,Total!F:F, A32, Total!A:A, "&lt;&gt;")</f>
        <v>0</v>
      </c>
      <c r="D32">
        <f>COUNTIFS(Total!C:C,$N$3,Total!F:F, A32, Total!A:A, "&lt;&gt;")</f>
        <v>6</v>
      </c>
      <c r="E32">
        <f>COUNTIFS(Total!C:C,$N$5,Total!F:F, A32, Total!A:A, "&lt;&gt;")</f>
        <v>0</v>
      </c>
    </row>
    <row r="33" spans="1:5" x14ac:dyDescent="0.3">
      <c r="A33" s="1">
        <v>45715</v>
      </c>
      <c r="B33">
        <f>COUNTIFS(Total!F:F, A33, Total!A:A, "&lt;&gt;")</f>
        <v>2</v>
      </c>
      <c r="C33">
        <f>COUNTIFS(Total!C:C,$N$4,Total!F:F, A33, Total!A:A, "&lt;&gt;")</f>
        <v>1</v>
      </c>
      <c r="D33">
        <f>COUNTIFS(Total!C:C,$N$3,Total!F:F, A33, Total!A:A, "&lt;&gt;")</f>
        <v>1</v>
      </c>
      <c r="E33">
        <f>COUNTIFS(Total!C:C,$N$5,Total!F:F, A33, Total!A:A, "&lt;&gt;")</f>
        <v>0</v>
      </c>
    </row>
    <row r="34" spans="1:5" x14ac:dyDescent="0.3">
      <c r="A34" s="1">
        <v>45716</v>
      </c>
      <c r="B34">
        <f>COUNTIFS(Total!F:F, A34, Total!A:A, "&lt;&gt;")</f>
        <v>3</v>
      </c>
      <c r="C34">
        <f>COUNTIFS(Total!C:C,$N$4,Total!F:F, A34, Total!A:A, "&lt;&gt;")</f>
        <v>0</v>
      </c>
      <c r="D34">
        <f>COUNTIFS(Total!C:C,$N$3,Total!F:F, A34, Total!A:A, "&lt;&gt;")</f>
        <v>3</v>
      </c>
      <c r="E34">
        <f>COUNTIFS(Total!C:C,$N$5,Total!F:F, A34, Total!A:A, "&lt;&gt;")</f>
        <v>0</v>
      </c>
    </row>
    <row r="35" spans="1:5" x14ac:dyDescent="0.3">
      <c r="A35" s="1">
        <v>45719</v>
      </c>
      <c r="B35">
        <f>COUNTIFS(Total!F:F, A35, Total!A:A, "&lt;&gt;")</f>
        <v>1</v>
      </c>
      <c r="C35">
        <f>COUNTIFS(Total!C:C,$N$4,Total!F:F, A35, Total!A:A, "&lt;&gt;")</f>
        <v>1</v>
      </c>
      <c r="D35">
        <f>COUNTIFS(Total!C:C,$N$3,Total!F:F, A35, Total!A:A, "&lt;&gt;")</f>
        <v>0</v>
      </c>
      <c r="E35">
        <f>COUNTIFS(Total!C:C,$N$5,Total!F:F, A35, Total!A:A, "&lt;&gt;")</f>
        <v>0</v>
      </c>
    </row>
    <row r="36" spans="1:5" x14ac:dyDescent="0.3">
      <c r="A36" s="1">
        <v>45720</v>
      </c>
      <c r="B36">
        <f>COUNTIFS(Total!F:F, A36, Total!A:A, "&lt;&gt;")</f>
        <v>1</v>
      </c>
      <c r="C36">
        <f>COUNTIFS(Total!C:C,$N$4,Total!F:F, A36, Total!A:A, "&lt;&gt;")</f>
        <v>0</v>
      </c>
      <c r="D36">
        <f>COUNTIFS(Total!C:C,$N$3,Total!F:F, A36, Total!A:A, "&lt;&gt;")</f>
        <v>1</v>
      </c>
      <c r="E36">
        <f>COUNTIFS(Total!C:C,$N$5,Total!F:F, A36, Total!A:A, "&lt;&gt;")</f>
        <v>0</v>
      </c>
    </row>
    <row r="37" spans="1:5" x14ac:dyDescent="0.3">
      <c r="A37" s="1">
        <v>45721</v>
      </c>
      <c r="B37">
        <f>COUNTIFS(Total!F:F, A37, Total!A:A, "&lt;&gt;")</f>
        <v>1</v>
      </c>
      <c r="C37">
        <f>COUNTIFS(Total!C:C,$N$4,Total!F:F, A37, Total!A:A, "&lt;&gt;")</f>
        <v>0</v>
      </c>
      <c r="D37">
        <f>COUNTIFS(Total!C:C,$N$3,Total!F:F, A37, Total!A:A, "&lt;&gt;")</f>
        <v>1</v>
      </c>
      <c r="E37">
        <f>COUNTIFS(Total!C:C,$N$5,Total!F:F, A37, Total!A:A, "&lt;&gt;")</f>
        <v>0</v>
      </c>
    </row>
    <row r="38" spans="1:5" x14ac:dyDescent="0.3">
      <c r="A38" s="1">
        <v>45722</v>
      </c>
      <c r="B38">
        <f>COUNTIFS(Total!F:F, A38, Total!A:A, "&lt;&gt;")</f>
        <v>3</v>
      </c>
      <c r="C38">
        <f>COUNTIFS(Total!C:C,$N$4,Total!F:F, A38, Total!A:A, "&lt;&gt;")</f>
        <v>0</v>
      </c>
      <c r="D38">
        <f>COUNTIFS(Total!C:C,$N$3,Total!F:F, A38, Total!A:A, "&lt;&gt;")</f>
        <v>3</v>
      </c>
      <c r="E38">
        <f>COUNTIFS(Total!C:C,$N$5,Total!F:F, A38, Total!A:A, "&lt;&gt;")</f>
        <v>0</v>
      </c>
    </row>
    <row r="39" spans="1:5" x14ac:dyDescent="0.3">
      <c r="A39" s="1">
        <v>45723</v>
      </c>
      <c r="B39">
        <f>COUNTIFS(Total!F:F, A39, Total!A:A, "&lt;&gt;")</f>
        <v>1</v>
      </c>
      <c r="C39">
        <f>COUNTIFS(Total!C:C,$N$4,Total!F:F, A39, Total!A:A, "&lt;&gt;")</f>
        <v>1</v>
      </c>
      <c r="D39">
        <f>COUNTIFS(Total!C:C,$N$3,Total!F:F, A39, Total!A:A, "&lt;&gt;")</f>
        <v>0</v>
      </c>
      <c r="E39">
        <f>COUNTIFS(Total!C:C,$N$5,Total!F:F, A39, Total!A:A, "&lt;&gt;")</f>
        <v>0</v>
      </c>
    </row>
    <row r="40" spans="1:5" x14ac:dyDescent="0.3">
      <c r="A40" s="1">
        <v>45726</v>
      </c>
      <c r="B40">
        <f>COUNTIFS(Total!F:F, A40, Total!A:A, "&lt;&gt;")</f>
        <v>8</v>
      </c>
      <c r="C40">
        <f>COUNTIFS(Total!C:C,$N$4,Total!F:F, A40, Total!A:A, "&lt;&gt;")</f>
        <v>0</v>
      </c>
      <c r="D40">
        <f>COUNTIFS(Total!C:C,$N$3,Total!F:F, A40, Total!A:A, "&lt;&gt;")</f>
        <v>8</v>
      </c>
      <c r="E40">
        <f>COUNTIFS(Total!C:C,$N$5,Total!F:F, A40, Total!A:A, "&lt;&gt;")</f>
        <v>0</v>
      </c>
    </row>
    <row r="41" spans="1:5" x14ac:dyDescent="0.3">
      <c r="A41" s="1">
        <v>45727</v>
      </c>
      <c r="B41">
        <f>COUNTIFS(Total!F:F, A41, Total!A:A, "&lt;&gt;")</f>
        <v>3</v>
      </c>
      <c r="C41">
        <f>COUNTIFS(Total!C:C,$N$4,Total!F:F, A41, Total!A:A, "&lt;&gt;")</f>
        <v>0</v>
      </c>
      <c r="D41">
        <f>COUNTIFS(Total!C:C,$N$3,Total!F:F, A41, Total!A:A, "&lt;&gt;")</f>
        <v>3</v>
      </c>
      <c r="E41">
        <f>COUNTIFS(Total!C:C,$N$5,Total!F:F, A41, Total!A:A, "&lt;&gt;")</f>
        <v>0</v>
      </c>
    </row>
    <row r="42" spans="1:5" x14ac:dyDescent="0.3">
      <c r="A42" s="1">
        <v>45728</v>
      </c>
      <c r="B42">
        <f>COUNTIFS(Total!F:F, A42, Total!A:A, "&lt;&gt;")</f>
        <v>1</v>
      </c>
      <c r="C42">
        <f>COUNTIFS(Total!C:C,$N$4,Total!F:F, A42, Total!A:A, "&lt;&gt;")</f>
        <v>0</v>
      </c>
      <c r="D42">
        <f>COUNTIFS(Total!C:C,$N$3,Total!F:F, A42, Total!A:A, "&lt;&gt;")</f>
        <v>1</v>
      </c>
      <c r="E42">
        <f>COUNTIFS(Total!C:C,$N$5,Total!F:F, A42, Total!A:A, "&lt;&gt;")</f>
        <v>0</v>
      </c>
    </row>
    <row r="43" spans="1:5" x14ac:dyDescent="0.3">
      <c r="A43" s="1">
        <v>45729</v>
      </c>
      <c r="B43">
        <f>COUNTIFS(Total!F:F, A43, Total!A:A, "&lt;&gt;")</f>
        <v>1</v>
      </c>
      <c r="C43">
        <f>COUNTIFS(Total!C:C,$N$4,Total!F:F, A43, Total!A:A, "&lt;&gt;")</f>
        <v>0</v>
      </c>
      <c r="D43">
        <f>COUNTIFS(Total!C:C,$N$3,Total!F:F, A43, Total!A:A, "&lt;&gt;")</f>
        <v>1</v>
      </c>
      <c r="E43">
        <f>COUNTIFS(Total!C:C,$N$5,Total!F:F, A43, Total!A:A, "&lt;&gt;")</f>
        <v>0</v>
      </c>
    </row>
    <row r="44" spans="1:5" x14ac:dyDescent="0.3">
      <c r="A44" s="1">
        <v>45730</v>
      </c>
      <c r="B44">
        <f>COUNTIFS(Total!F:F, A44, Total!A:A, "&lt;&gt;")</f>
        <v>1</v>
      </c>
      <c r="C44">
        <f>COUNTIFS(Total!C:C,$N$4,Total!F:F, A44, Total!A:A, "&lt;&gt;")</f>
        <v>0</v>
      </c>
      <c r="D44">
        <f>COUNTIFS(Total!C:C,$N$3,Total!F:F, A44, Total!A:A, "&lt;&gt;")</f>
        <v>1</v>
      </c>
      <c r="E44">
        <f>COUNTIFS(Total!C:C,$N$5,Total!F:F, A44, Total!A:A, "&lt;&gt;")</f>
        <v>0</v>
      </c>
    </row>
    <row r="45" spans="1:5" x14ac:dyDescent="0.3">
      <c r="A45" s="1">
        <v>45733</v>
      </c>
      <c r="B45">
        <f>COUNTIFS(Total!F:F, A45, Total!A:A, "&lt;&gt;")</f>
        <v>3</v>
      </c>
      <c r="C45">
        <f>COUNTIFS(Total!C:C,$N$4,Total!F:F, A45, Total!A:A, "&lt;&gt;")</f>
        <v>3</v>
      </c>
      <c r="D45">
        <f>COUNTIFS(Total!C:C,$N$3,Total!F:F, A45, Total!A:A, "&lt;&gt;")</f>
        <v>0</v>
      </c>
      <c r="E45">
        <f>COUNTIFS(Total!C:C,$N$5,Total!F:F, A45, Total!A:A, "&lt;&gt;")</f>
        <v>0</v>
      </c>
    </row>
    <row r="46" spans="1:5" x14ac:dyDescent="0.3">
      <c r="A46" s="1">
        <v>45734</v>
      </c>
      <c r="B46">
        <f>COUNTIFS(Total!F:F, A46, Total!A:A, "&lt;&gt;")</f>
        <v>3</v>
      </c>
      <c r="C46">
        <f>COUNTIFS(Total!C:C,$N$4,Total!F:F, A46, Total!A:A, "&lt;&gt;")</f>
        <v>0</v>
      </c>
      <c r="D46">
        <f>COUNTIFS(Total!C:C,$N$3,Total!F:F, A46, Total!A:A, "&lt;&gt;")</f>
        <v>3</v>
      </c>
      <c r="E46">
        <f>COUNTIFS(Total!C:C,$N$5,Total!F:F, A46, Total!A:A, "&lt;&gt;")</f>
        <v>0</v>
      </c>
    </row>
    <row r="47" spans="1:5" x14ac:dyDescent="0.3">
      <c r="A47" s="1">
        <v>45736</v>
      </c>
      <c r="B47">
        <f>COUNTIFS(Total!F:F, A47, Total!A:A, "&lt;&gt;")</f>
        <v>2</v>
      </c>
      <c r="C47">
        <f>COUNTIFS(Total!C:C,$N$4,Total!F:F, A47, Total!A:A, "&lt;&gt;")</f>
        <v>0</v>
      </c>
      <c r="D47">
        <f>COUNTIFS(Total!C:C,$N$3,Total!F:F, A47, Total!A:A, "&lt;&gt;")</f>
        <v>2</v>
      </c>
      <c r="E47">
        <f>COUNTIFS(Total!C:C,$N$5,Total!F:F, A47, Total!A:A, "&lt;&gt;")</f>
        <v>0</v>
      </c>
    </row>
    <row r="48" spans="1:5" x14ac:dyDescent="0.3">
      <c r="A48" s="1">
        <v>45737</v>
      </c>
      <c r="B48">
        <f>COUNTIFS(Total!F:F, A48, Total!A:A, "&lt;&gt;")</f>
        <v>2</v>
      </c>
      <c r="C48">
        <f>COUNTIFS(Total!C:C,$N$4,Total!F:F, A48, Total!A:A, "&lt;&gt;")</f>
        <v>0</v>
      </c>
      <c r="D48">
        <f>COUNTIFS(Total!C:C,$N$3,Total!F:F, A48, Total!A:A, "&lt;&gt;")</f>
        <v>2</v>
      </c>
      <c r="E48">
        <f>COUNTIFS(Total!C:C,$N$5,Total!F:F, A48, Total!A:A, "&lt;&gt;")</f>
        <v>0</v>
      </c>
    </row>
    <row r="49" spans="1:5" x14ac:dyDescent="0.3">
      <c r="A49" s="1">
        <v>45738</v>
      </c>
      <c r="B49">
        <f>COUNTIFS(Total!F:F, A49, Total!A:A, "&lt;&gt;")</f>
        <v>6</v>
      </c>
      <c r="C49">
        <f>COUNTIFS(Total!C:C,$N$4,Total!F:F, A49, Total!A:A, "&lt;&gt;")</f>
        <v>1</v>
      </c>
      <c r="D49">
        <f>COUNTIFS(Total!C:C,$N$3,Total!F:F, A49, Total!A:A, "&lt;&gt;")</f>
        <v>5</v>
      </c>
      <c r="E49">
        <f>COUNTIFS(Total!C:C,$N$5,Total!F:F, A49, Total!A:A, "&lt;&gt;")</f>
        <v>0</v>
      </c>
    </row>
    <row r="50" spans="1:5" x14ac:dyDescent="0.3">
      <c r="A50" s="1">
        <v>45741</v>
      </c>
      <c r="B50">
        <f>COUNTIFS(Total!F:F, A50, Total!A:A, "&lt;&gt;")</f>
        <v>3</v>
      </c>
      <c r="C50">
        <f>COUNTIFS(Total!C:C,$N$4,Total!F:F, A50, Total!A:A, "&lt;&gt;")</f>
        <v>0</v>
      </c>
      <c r="D50">
        <f>COUNTIFS(Total!C:C,$N$3,Total!F:F, A50, Total!A:A, "&lt;&gt;")</f>
        <v>3</v>
      </c>
      <c r="E50">
        <f>COUNTIFS(Total!C:C,$N$5,Total!F:F, A50, Total!A:A, "&lt;&gt;")</f>
        <v>0</v>
      </c>
    </row>
    <row r="51" spans="1:5" x14ac:dyDescent="0.3">
      <c r="A51" s="1">
        <v>45742</v>
      </c>
      <c r="B51">
        <f>COUNTIFS(Total!F:F, A51, Total!A:A, "&lt;&gt;")</f>
        <v>1</v>
      </c>
      <c r="C51">
        <f>COUNTIFS(Total!C:C,$N$4,Total!F:F, A51, Total!A:A, "&lt;&gt;")</f>
        <v>0</v>
      </c>
      <c r="D51">
        <f>COUNTIFS(Total!C:C,$N$3,Total!F:F, A51, Total!A:A, "&lt;&gt;")</f>
        <v>1</v>
      </c>
      <c r="E51">
        <f>COUNTIFS(Total!C:C,$N$5,Total!F:F, A51, Total!A:A, "&lt;&gt;")</f>
        <v>0</v>
      </c>
    </row>
    <row r="52" spans="1:5" x14ac:dyDescent="0.3">
      <c r="A52" s="1">
        <v>45743</v>
      </c>
      <c r="B52">
        <f>COUNTIFS(Total!F:F, A52, Total!A:A, "&lt;&gt;")</f>
        <v>7</v>
      </c>
      <c r="C52">
        <f>COUNTIFS(Total!C:C,$N$4,Total!F:F, A52, Total!A:A, "&lt;&gt;")</f>
        <v>1</v>
      </c>
      <c r="D52">
        <f>COUNTIFS(Total!C:C,$N$3,Total!F:F, A52, Total!A:A, "&lt;&gt;")</f>
        <v>6</v>
      </c>
      <c r="E52">
        <f>COUNTIFS(Total!C:C,$N$5,Total!F:F, A52, Total!A:A, "&lt;&gt;")</f>
        <v>0</v>
      </c>
    </row>
    <row r="53" spans="1:5" x14ac:dyDescent="0.3">
      <c r="A53" s="1">
        <v>45748</v>
      </c>
      <c r="B53">
        <f>COUNTIFS(Total!F:F, A53, Total!A:A, "&lt;&gt;")</f>
        <v>6</v>
      </c>
      <c r="C53">
        <f>COUNTIFS(Total!C:C,$N$4,Total!F:F, A53, Total!A:A, "&lt;&gt;")</f>
        <v>0</v>
      </c>
      <c r="D53">
        <f>COUNTIFS(Total!C:C,$N$3,Total!F:F, A53, Total!A:A, "&lt;&gt;")</f>
        <v>6</v>
      </c>
      <c r="E53">
        <f>COUNTIFS(Total!C:C,$N$5,Total!F:F, A53, Total!A:A, "&lt;&gt;")</f>
        <v>0</v>
      </c>
    </row>
    <row r="54" spans="1:5" x14ac:dyDescent="0.3">
      <c r="A54" s="1">
        <v>45749</v>
      </c>
      <c r="B54">
        <f>COUNTIFS(Total!F:F, A54, Total!A:A, "&lt;&gt;")</f>
        <v>6</v>
      </c>
      <c r="C54">
        <f>COUNTIFS(Total!C:C,$N$4,Total!F:F, A54, Total!A:A, "&lt;&gt;")</f>
        <v>2</v>
      </c>
      <c r="D54">
        <f>COUNTIFS(Total!C:C,$N$3,Total!F:F, A54, Total!A:A, "&lt;&gt;")</f>
        <v>4</v>
      </c>
      <c r="E54">
        <f>COUNTIFS(Total!C:C,$N$5,Total!F:F, A54, Total!A:A, "&lt;&gt;")</f>
        <v>0</v>
      </c>
    </row>
    <row r="55" spans="1:5" x14ac:dyDescent="0.3">
      <c r="A55" s="1">
        <v>45751</v>
      </c>
      <c r="B55">
        <f>COUNTIFS(Total!F:F, A55, Total!A:A, "&lt;&gt;")</f>
        <v>3</v>
      </c>
      <c r="C55">
        <f>COUNTIFS(Total!C:C,$N$4,Total!F:F, A55, Total!A:A, "&lt;&gt;")</f>
        <v>1</v>
      </c>
      <c r="D55">
        <f>COUNTIFS(Total!C:C,$N$3,Total!F:F, A55, Total!A:A, "&lt;&gt;")</f>
        <v>2</v>
      </c>
      <c r="E55">
        <f>COUNTIFS(Total!C:C,$N$5,Total!F:F, A55, Total!A:A, "&lt;&gt;")</f>
        <v>0</v>
      </c>
    </row>
    <row r="56" spans="1:5" x14ac:dyDescent="0.3">
      <c r="A56" s="1">
        <v>45754</v>
      </c>
      <c r="B56">
        <f>COUNTIFS(Total!F:F, A56, Total!A:A, "&lt;&gt;")</f>
        <v>9</v>
      </c>
      <c r="C56">
        <f>COUNTIFS(Total!C:C,$N$4,Total!F:F, A56, Total!A:A, "&lt;&gt;")</f>
        <v>4</v>
      </c>
      <c r="D56">
        <f>COUNTIFS(Total!C:C,$N$3,Total!F:F, A56, Total!A:A, "&lt;&gt;")</f>
        <v>5</v>
      </c>
      <c r="E56">
        <f>COUNTIFS(Total!C:C,$N$5,Total!F:F, A56, Total!A:A, "&lt;&gt;")</f>
        <v>0</v>
      </c>
    </row>
    <row r="57" spans="1:5" x14ac:dyDescent="0.3">
      <c r="A57" s="1">
        <v>45755</v>
      </c>
      <c r="B57">
        <f>COUNTIFS(Total!F:F, A57, Total!A:A, "&lt;&gt;")</f>
        <v>8</v>
      </c>
      <c r="C57">
        <f>COUNTIFS(Total!C:C,$N$4,Total!F:F, A57, Total!A:A, "&lt;&gt;")</f>
        <v>2</v>
      </c>
      <c r="D57">
        <f>COUNTIFS(Total!C:C,$N$3,Total!F:F, A57, Total!A:A, "&lt;&gt;")</f>
        <v>6</v>
      </c>
      <c r="E57">
        <f>COUNTIFS(Total!C:C,$N$5,Total!F:F, A57, Total!A:A, "&lt;&gt;")</f>
        <v>0</v>
      </c>
    </row>
    <row r="58" spans="1:5" x14ac:dyDescent="0.3">
      <c r="A58" s="1">
        <v>45756</v>
      </c>
      <c r="B58">
        <f>COUNTIFS(Total!F:F, A58, Total!A:A, "&lt;&gt;")</f>
        <v>4</v>
      </c>
      <c r="C58">
        <f>COUNTIFS(Total!C:C,$N$4,Total!F:F, A58, Total!A:A, "&lt;&gt;")</f>
        <v>3</v>
      </c>
      <c r="D58">
        <f>COUNTIFS(Total!C:C,$N$3,Total!F:F, A58, Total!A:A, "&lt;&gt;")</f>
        <v>1</v>
      </c>
      <c r="E58">
        <f>COUNTIFS(Total!C:C,$N$5,Total!F:F, A58, Total!A:A, "&lt;&gt;")</f>
        <v>0</v>
      </c>
    </row>
    <row r="59" spans="1:5" x14ac:dyDescent="0.3">
      <c r="A59" s="1">
        <v>45757</v>
      </c>
      <c r="B59">
        <f>COUNTIFS(Total!F:F, A59, Total!A:A, "&lt;&gt;")</f>
        <v>5</v>
      </c>
      <c r="C59">
        <f>COUNTIFS(Total!C:C,$N$4,Total!F:F, A59, Total!A:A, "&lt;&gt;")</f>
        <v>0</v>
      </c>
      <c r="D59">
        <f>COUNTIFS(Total!C:C,$N$3,Total!F:F, A59, Total!A:A, "&lt;&gt;")</f>
        <v>5</v>
      </c>
      <c r="E59">
        <f>COUNTIFS(Total!C:C,$N$5,Total!F:F, A59, Total!A:A, "&lt;&gt;")</f>
        <v>0</v>
      </c>
    </row>
    <row r="60" spans="1:5" x14ac:dyDescent="0.3">
      <c r="A60" s="1">
        <v>45758</v>
      </c>
      <c r="B60">
        <f>COUNTIFS(Total!F:F, A60, Total!A:A, "&lt;&gt;")</f>
        <v>2</v>
      </c>
      <c r="C60">
        <f>COUNTIFS(Total!C:C,$N$4,Total!F:F, A60, Total!A:A, "&lt;&gt;")</f>
        <v>2</v>
      </c>
      <c r="D60">
        <f>COUNTIFS(Total!C:C,$N$3,Total!F:F, A60, Total!A:A, "&lt;&gt;")</f>
        <v>0</v>
      </c>
      <c r="E60">
        <f>COUNTIFS(Total!C:C,$N$5,Total!F:F, A60, Total!A:A, "&lt;&gt;")</f>
        <v>0</v>
      </c>
    </row>
    <row r="61" spans="1:5" x14ac:dyDescent="0.3">
      <c r="A61" s="1">
        <v>45761</v>
      </c>
      <c r="B61">
        <f>COUNTIFS(Total!F:F, A61, Total!A:A, "&lt;&gt;")</f>
        <v>4</v>
      </c>
      <c r="C61">
        <f>COUNTIFS(Total!C:C,$N$4,Total!F:F, A61, Total!A:A, "&lt;&gt;")</f>
        <v>1</v>
      </c>
      <c r="D61">
        <f>COUNTIFS(Total!C:C,$N$3,Total!F:F, A61, Total!A:A, "&lt;&gt;")</f>
        <v>3</v>
      </c>
      <c r="E61">
        <f>COUNTIFS(Total!C:C,$N$5,Total!F:F, A61, Total!A:A, "&lt;&gt;")</f>
        <v>0</v>
      </c>
    </row>
    <row r="62" spans="1:5" x14ac:dyDescent="0.3">
      <c r="A62" s="1">
        <v>45762</v>
      </c>
      <c r="B62">
        <f>COUNTIFS(Total!F:F, A62, Total!A:A, "&lt;&gt;")</f>
        <v>1</v>
      </c>
      <c r="C62">
        <f>COUNTIFS(Total!C:C,$N$4,Total!F:F, A62, Total!A:A, "&lt;&gt;")</f>
        <v>0</v>
      </c>
      <c r="D62">
        <f>COUNTIFS(Total!C:C,$N$3,Total!F:F, A62, Total!A:A, "&lt;&gt;")</f>
        <v>1</v>
      </c>
      <c r="E62">
        <f>COUNTIFS(Total!C:C,$N$5,Total!F:F, A62, Total!A:A, "&lt;&gt;")</f>
        <v>0</v>
      </c>
    </row>
    <row r="63" spans="1:5" x14ac:dyDescent="0.3">
      <c r="A63" s="1">
        <v>45763</v>
      </c>
      <c r="B63">
        <f>COUNTIFS(Total!F:F, A63, Total!A:A, "&lt;&gt;")</f>
        <v>3</v>
      </c>
      <c r="C63">
        <f>COUNTIFS(Total!C:C,$N$4,Total!F:F, A63, Total!A:A, "&lt;&gt;")</f>
        <v>0</v>
      </c>
      <c r="D63">
        <f>COUNTIFS(Total!C:C,$N$3,Total!F:F, A63, Total!A:A, "&lt;&gt;")</f>
        <v>3</v>
      </c>
      <c r="E63">
        <f>COUNTIFS(Total!C:C,$N$5,Total!F:F, A63, Total!A:A, "&lt;&gt;")</f>
        <v>0</v>
      </c>
    </row>
    <row r="64" spans="1:5" x14ac:dyDescent="0.3">
      <c r="A64" s="1">
        <v>45768</v>
      </c>
      <c r="B64">
        <f>COUNTIFS(Total!F:F, A64, Total!A:A, "&lt;&gt;")</f>
        <v>1</v>
      </c>
      <c r="C64">
        <f>COUNTIFS(Total!C:C,$N$4,Total!F:F, A64, Total!A:A, "&lt;&gt;")</f>
        <v>1</v>
      </c>
      <c r="D64">
        <f>COUNTIFS(Total!C:C,$N$3,Total!F:F, A64, Total!A:A, "&lt;&gt;")</f>
        <v>0</v>
      </c>
      <c r="E64">
        <f>COUNTIFS(Total!C:C,$N$5,Total!F:F, A64, Total!A:A, "&lt;&gt;")</f>
        <v>0</v>
      </c>
    </row>
    <row r="65" spans="1:5" x14ac:dyDescent="0.3">
      <c r="A65" s="1">
        <v>45769</v>
      </c>
      <c r="B65">
        <f>COUNTIFS(Total!F:F, A65, Total!A:A, "&lt;&gt;")</f>
        <v>4</v>
      </c>
      <c r="C65">
        <f>COUNTIFS(Total!C:C,$N$4,Total!F:F, A65, Total!A:A, "&lt;&gt;")</f>
        <v>0</v>
      </c>
      <c r="D65">
        <f>COUNTIFS(Total!C:C,$N$3,Total!F:F, A65, Total!A:A, "&lt;&gt;")</f>
        <v>4</v>
      </c>
      <c r="E65">
        <f>COUNTIFS(Total!C:C,$N$5,Total!F:F, A65, Total!A:A, "&lt;&gt;")</f>
        <v>0</v>
      </c>
    </row>
    <row r="66" spans="1:5" x14ac:dyDescent="0.3">
      <c r="A66" s="1">
        <v>45770</v>
      </c>
      <c r="B66">
        <f>COUNTIFS(Total!F:F, A66, Total!A:A, "&lt;&gt;")</f>
        <v>2</v>
      </c>
      <c r="C66">
        <f>COUNTIFS(Total!C:C,$N$4,Total!F:F, A66, Total!A:A, "&lt;&gt;")</f>
        <v>2</v>
      </c>
      <c r="D66">
        <f>COUNTIFS(Total!C:C,$N$3,Total!F:F, A66, Total!A:A, "&lt;&gt;")</f>
        <v>0</v>
      </c>
      <c r="E66">
        <f>COUNTIFS(Total!C:C,$N$5,Total!F:F, A66, Total!A:A, "&lt;&gt;")</f>
        <v>0</v>
      </c>
    </row>
    <row r="67" spans="1:5" x14ac:dyDescent="0.3">
      <c r="A67" s="1">
        <v>45771</v>
      </c>
      <c r="B67">
        <f>COUNTIFS(Total!F:F, A67, Total!A:A, "&lt;&gt;")</f>
        <v>10</v>
      </c>
      <c r="C67">
        <f>COUNTIFS(Total!C:C,$N$4,Total!F:F, A67, Total!A:A, "&lt;&gt;")</f>
        <v>2</v>
      </c>
      <c r="D67">
        <f>COUNTIFS(Total!C:C,$N$3,Total!F:F, A67, Total!A:A, "&lt;&gt;")</f>
        <v>8</v>
      </c>
      <c r="E67">
        <f>COUNTIFS(Total!C:C,$N$5,Total!F:F, A67, Total!A:A, "&lt;&gt;")</f>
        <v>0</v>
      </c>
    </row>
    <row r="68" spans="1:5" x14ac:dyDescent="0.3">
      <c r="A68" s="1">
        <v>45772</v>
      </c>
      <c r="B68">
        <f>COUNTIFS(Total!F:F, A68, Total!A:A, "&lt;&gt;")</f>
        <v>4</v>
      </c>
      <c r="C68">
        <f>COUNTIFS(Total!C:C,$N$4,Total!F:F, A68, Total!A:A, "&lt;&gt;")</f>
        <v>3</v>
      </c>
      <c r="D68">
        <f>COUNTIFS(Total!C:C,$N$3,Total!F:F, A68, Total!A:A, "&lt;&gt;")</f>
        <v>1</v>
      </c>
      <c r="E68">
        <f>COUNTIFS(Total!C:C,$N$5,Total!F:F, A68, Total!A:A, "&lt;&gt;")</f>
        <v>0</v>
      </c>
    </row>
    <row r="69" spans="1:5" x14ac:dyDescent="0.3">
      <c r="A69" s="1">
        <v>45773</v>
      </c>
      <c r="B69">
        <f>COUNTIFS(Total!F:F, A69, Total!A:A, "&lt;&gt;")</f>
        <v>5</v>
      </c>
      <c r="C69">
        <f>COUNTIFS(Total!C:C,$N$4,Total!F:F, A69, Total!A:A, "&lt;&gt;")</f>
        <v>0</v>
      </c>
      <c r="D69">
        <f>COUNTIFS(Total!C:C,$N$3,Total!F:F, A69, Total!A:A, "&lt;&gt;")</f>
        <v>5</v>
      </c>
      <c r="E69">
        <f>COUNTIFS(Total!C:C,$N$5,Total!F:F, A69, Total!A:A, "&lt;&gt;")</f>
        <v>0</v>
      </c>
    </row>
    <row r="70" spans="1:5" x14ac:dyDescent="0.3">
      <c r="A70" s="1">
        <v>45775</v>
      </c>
      <c r="B70">
        <f>COUNTIFS(Total!F:F, A70, Total!A:A, "&lt;&gt;")</f>
        <v>2</v>
      </c>
      <c r="C70">
        <f>COUNTIFS(Total!C:C,$N$4,Total!F:F, A70, Total!A:A, "&lt;&gt;")</f>
        <v>2</v>
      </c>
      <c r="D70">
        <f>COUNTIFS(Total!C:C,$N$3,Total!F:F, A70, Total!A:A, "&lt;&gt;")</f>
        <v>0</v>
      </c>
      <c r="E70">
        <f>COUNTIFS(Total!C:C,$N$5,Total!F:F, A70, Total!A:A, "&lt;&gt;")</f>
        <v>0</v>
      </c>
    </row>
    <row r="71" spans="1:5" x14ac:dyDescent="0.3">
      <c r="A71" s="1">
        <v>45776</v>
      </c>
      <c r="B71">
        <f>COUNTIFS(Total!F:F, A71, Total!A:A, "&lt;&gt;")</f>
        <v>5</v>
      </c>
      <c r="C71">
        <f>COUNTIFS(Total!C:C,$N$4,Total!F:F, A71, Total!A:A, "&lt;&gt;")</f>
        <v>0</v>
      </c>
      <c r="D71">
        <f>COUNTIFS(Total!C:C,$N$3,Total!F:F, A71, Total!A:A, "&lt;&gt;")</f>
        <v>5</v>
      </c>
      <c r="E71">
        <f>COUNTIFS(Total!C:C,$N$5,Total!F:F, A71, Total!A:A, "&lt;&gt;")</f>
        <v>0</v>
      </c>
    </row>
    <row r="72" spans="1:5" x14ac:dyDescent="0.3">
      <c r="A72" s="1">
        <v>45777</v>
      </c>
      <c r="B72">
        <f>COUNTIFS(Total!F:F, A72, Total!A:A, "&lt;&gt;")</f>
        <v>7</v>
      </c>
      <c r="C72">
        <f>COUNTIFS(Total!C:C,$N$4,Total!F:F, A72, Total!A:A, "&lt;&gt;")</f>
        <v>4</v>
      </c>
      <c r="D72">
        <f>COUNTIFS(Total!C:C,$N$3,Total!F:F, A72, Total!A:A, "&lt;&gt;")</f>
        <v>3</v>
      </c>
      <c r="E72">
        <f>COUNTIFS(Total!C:C,$N$5,Total!F:F, A72, Total!A:A, "&lt;&gt;")</f>
        <v>0</v>
      </c>
    </row>
    <row r="73" spans="1:5" x14ac:dyDescent="0.3">
      <c r="A73" s="1">
        <v>45778</v>
      </c>
      <c r="B73">
        <f>COUNTIFS(Total!F:F, A73, Total!A:A, "&lt;&gt;")</f>
        <v>10</v>
      </c>
      <c r="C73">
        <f>COUNTIFS(Total!C:C,$N$4,Total!F:F, A73, Total!A:A, "&lt;&gt;")</f>
        <v>1</v>
      </c>
      <c r="D73">
        <f>COUNTIFS(Total!C:C,$N$3,Total!F:F, A73, Total!A:A, "&lt;&gt;")</f>
        <v>9</v>
      </c>
      <c r="E73">
        <f>COUNTIFS(Total!C:C,$N$5,Total!F:F, A73, Total!A:A, "&lt;&gt;")</f>
        <v>0</v>
      </c>
    </row>
    <row r="74" spans="1:5" x14ac:dyDescent="0.3">
      <c r="A74" s="1">
        <v>45779</v>
      </c>
      <c r="B74">
        <f>COUNTIFS(Total!F:F, A74, Total!A:A, "&lt;&gt;")</f>
        <v>6</v>
      </c>
      <c r="C74">
        <f>COUNTIFS(Total!C:C,$N$4,Total!F:F, A74, Total!A:A, "&lt;&gt;")</f>
        <v>2</v>
      </c>
      <c r="D74">
        <f>COUNTIFS(Total!C:C,$N$3,Total!F:F, A74, Total!A:A, "&lt;&gt;")</f>
        <v>4</v>
      </c>
      <c r="E74">
        <f>COUNTIFS(Total!C:C,$N$5,Total!F:F, A74, Total!A:A, "&lt;&gt;")</f>
        <v>0</v>
      </c>
    </row>
    <row r="75" spans="1:5" x14ac:dyDescent="0.3">
      <c r="A75" s="1">
        <v>45782</v>
      </c>
      <c r="B75">
        <f>COUNTIFS(Total!F:F, A75, Total!A:A, "&lt;&gt;")</f>
        <v>4</v>
      </c>
      <c r="C75">
        <f>COUNTIFS(Total!C:C,$N$4,Total!F:F, A75, Total!A:A, "&lt;&gt;")</f>
        <v>1</v>
      </c>
      <c r="D75">
        <f>COUNTIFS(Total!C:C,$N$3,Total!F:F, A75, Total!A:A, "&lt;&gt;")</f>
        <v>3</v>
      </c>
      <c r="E75">
        <f>COUNTIFS(Total!C:C,$N$5,Total!F:F, A75, Total!A:A, "&lt;&gt;")</f>
        <v>0</v>
      </c>
    </row>
    <row r="76" spans="1:5" x14ac:dyDescent="0.3">
      <c r="A76" s="1">
        <v>45783</v>
      </c>
      <c r="B76">
        <f>COUNTIFS(Total!F:F, A76, Total!A:A, "&lt;&gt;")</f>
        <v>3</v>
      </c>
      <c r="C76">
        <f>COUNTIFS(Total!C:C,$N$4,Total!F:F, A76, Total!A:A, "&lt;&gt;")</f>
        <v>0</v>
      </c>
      <c r="D76">
        <f>COUNTIFS(Total!C:C,$N$3,Total!F:F, A76, Total!A:A, "&lt;&gt;")</f>
        <v>3</v>
      </c>
      <c r="E76">
        <f>COUNTIFS(Total!C:C,$N$5,Total!F:F, A76, Total!A:A, "&lt;&gt;")</f>
        <v>0</v>
      </c>
    </row>
    <row r="77" spans="1:5" x14ac:dyDescent="0.3">
      <c r="A77" s="1">
        <v>45784</v>
      </c>
      <c r="B77">
        <f>COUNTIFS(Total!F:F, A77, Total!A:A, "&lt;&gt;")</f>
        <v>2</v>
      </c>
      <c r="C77">
        <f>COUNTIFS(Total!C:C,$N$4,Total!F:F, A77, Total!A:A, "&lt;&gt;")</f>
        <v>1</v>
      </c>
      <c r="D77">
        <f>COUNTIFS(Total!C:C,$N$3,Total!F:F, A77, Total!A:A, "&lt;&gt;")</f>
        <v>1</v>
      </c>
      <c r="E77">
        <f>COUNTIFS(Total!C:C,$N$5,Total!F:F, A77, Total!A:A, "&lt;&gt;")</f>
        <v>0</v>
      </c>
    </row>
    <row r="78" spans="1:5" x14ac:dyDescent="0.3">
      <c r="A78" s="1">
        <v>45785</v>
      </c>
      <c r="B78">
        <f>COUNTIFS(Total!F:F, A78, Total!A:A, "&lt;&gt;")</f>
        <v>7</v>
      </c>
      <c r="C78">
        <f>COUNTIFS(Total!C:C,$N$4,Total!F:F, A78, Total!A:A, "&lt;&gt;")</f>
        <v>0</v>
      </c>
      <c r="D78">
        <f>COUNTIFS(Total!C:C,$N$3,Total!F:F, A78, Total!A:A, "&lt;&gt;")</f>
        <v>7</v>
      </c>
      <c r="E78">
        <f>COUNTIFS(Total!C:C,$N$5,Total!F:F, A78, Total!A:A, "&lt;&gt;")</f>
        <v>0</v>
      </c>
    </row>
    <row r="79" spans="1:5" x14ac:dyDescent="0.3">
      <c r="A79" s="1">
        <v>45786</v>
      </c>
      <c r="B79">
        <f>COUNTIFS(Total!F:F, A79, Total!A:A, "&lt;&gt;")</f>
        <v>5</v>
      </c>
      <c r="C79">
        <f>COUNTIFS(Total!C:C,$N$4,Total!F:F, A79, Total!A:A, "&lt;&gt;")</f>
        <v>2</v>
      </c>
      <c r="D79">
        <f>COUNTIFS(Total!C:C,$N$3,Total!F:F, A79, Total!A:A, "&lt;&gt;")</f>
        <v>3</v>
      </c>
      <c r="E79">
        <f>COUNTIFS(Total!C:C,$N$5,Total!F:F, A79, Total!A:A, "&lt;&gt;")</f>
        <v>0</v>
      </c>
    </row>
    <row r="80" spans="1:5" x14ac:dyDescent="0.3">
      <c r="A80" s="1">
        <v>45788</v>
      </c>
      <c r="B80">
        <f>COUNTIFS(Total!F:F, A80, Total!A:A, "&lt;&gt;")</f>
        <v>1</v>
      </c>
      <c r="C80">
        <f>COUNTIFS(Total!C:C,$N$4,Total!F:F, A80, Total!A:A, "&lt;&gt;")</f>
        <v>1</v>
      </c>
      <c r="D80">
        <f>COUNTIFS(Total!C:C,$N$3,Total!F:F, A80, Total!A:A, "&lt;&gt;")</f>
        <v>0</v>
      </c>
      <c r="E80">
        <f>COUNTIFS(Total!C:C,$N$5,Total!F:F, A80, Total!A:A, "&lt;&gt;")</f>
        <v>0</v>
      </c>
    </row>
    <row r="81" spans="1:5" x14ac:dyDescent="0.3">
      <c r="A81" s="1">
        <v>45789</v>
      </c>
      <c r="B81">
        <f>COUNTIFS(Total!F:F, A81, Total!A:A, "&lt;&gt;")</f>
        <v>7</v>
      </c>
      <c r="C81">
        <f>COUNTIFS(Total!C:C,$N$4,Total!F:F, A81, Total!A:A, "&lt;&gt;")</f>
        <v>3</v>
      </c>
      <c r="D81">
        <f>COUNTIFS(Total!C:C,$N$3,Total!F:F, A81, Total!A:A, "&lt;&gt;")</f>
        <v>4</v>
      </c>
      <c r="E81">
        <f>COUNTIFS(Total!C:C,$N$5,Total!F:F, A81, Total!A:A, "&lt;&gt;")</f>
        <v>0</v>
      </c>
    </row>
    <row r="82" spans="1:5" x14ac:dyDescent="0.3">
      <c r="A82" s="1">
        <v>45790</v>
      </c>
      <c r="B82">
        <f>COUNTIFS(Total!F:F, A82, Total!A:A, "&lt;&gt;")</f>
        <v>4</v>
      </c>
      <c r="C82">
        <f>COUNTIFS(Total!C:C,$N$4,Total!F:F, A82, Total!A:A, "&lt;&gt;")</f>
        <v>2</v>
      </c>
      <c r="D82">
        <f>COUNTIFS(Total!C:C,$N$3,Total!F:F, A82, Total!A:A, "&lt;&gt;")</f>
        <v>2</v>
      </c>
      <c r="E82">
        <f>COUNTIFS(Total!C:C,$N$5,Total!F:F, A82, Total!A:A, "&lt;&gt;")</f>
        <v>0</v>
      </c>
    </row>
    <row r="83" spans="1:5" x14ac:dyDescent="0.3">
      <c r="A83" s="1">
        <v>45791</v>
      </c>
      <c r="B83">
        <f>COUNTIFS(Total!F:F, A83, Total!A:A, "&lt;&gt;")</f>
        <v>7</v>
      </c>
      <c r="C83">
        <f>COUNTIFS(Total!C:C,$N$4,Total!F:F, A83, Total!A:A, "&lt;&gt;")</f>
        <v>2</v>
      </c>
      <c r="D83">
        <f>COUNTIFS(Total!C:C,$N$3,Total!F:F, A83, Total!A:A, "&lt;&gt;")</f>
        <v>5</v>
      </c>
      <c r="E83">
        <f>COUNTIFS(Total!C:C,$N$5,Total!F:F, A83, Total!A:A, "&lt;&gt;")</f>
        <v>0</v>
      </c>
    </row>
    <row r="84" spans="1:5" x14ac:dyDescent="0.3">
      <c r="A84" s="1">
        <v>45792</v>
      </c>
      <c r="B84">
        <f>COUNTIFS(Total!F:F, A84, Total!A:A, "&lt;&gt;")</f>
        <v>9</v>
      </c>
      <c r="C84">
        <f>COUNTIFS(Total!C:C,$N$4,Total!F:F, A84, Total!A:A, "&lt;&gt;")</f>
        <v>0</v>
      </c>
      <c r="D84">
        <f>COUNTIFS(Total!C:C,$N$3,Total!F:F, A84, Total!A:A, "&lt;&gt;")</f>
        <v>9</v>
      </c>
      <c r="E84">
        <f>COUNTIFS(Total!C:C,$N$5,Total!F:F, A84, Total!A:A, "&lt;&gt;")</f>
        <v>0</v>
      </c>
    </row>
    <row r="85" spans="1:5" x14ac:dyDescent="0.3">
      <c r="A85" s="1">
        <v>45797</v>
      </c>
      <c r="B85">
        <f>COUNTIFS(Total!F:F, A85, Total!A:A, "&lt;&gt;")</f>
        <v>11</v>
      </c>
      <c r="C85">
        <f>COUNTIFS(Total!C:C,$N$4,Total!F:F, A85, Total!A:A, "&lt;&gt;")</f>
        <v>1</v>
      </c>
      <c r="D85">
        <f>COUNTIFS(Total!C:C,$N$3,Total!F:F, A85, Total!A:A, "&lt;&gt;")</f>
        <v>10</v>
      </c>
      <c r="E85">
        <f>COUNTIFS(Total!C:C,$N$5,Total!F:F, A85, Total!A:A, "&lt;&gt;")</f>
        <v>0</v>
      </c>
    </row>
    <row r="86" spans="1:5" x14ac:dyDescent="0.3">
      <c r="A86" s="1">
        <v>45798</v>
      </c>
      <c r="B86">
        <f>COUNTIFS(Total!F:F, A86, Total!A:A, "&lt;&gt;")</f>
        <v>9</v>
      </c>
      <c r="C86">
        <f>COUNTIFS(Total!C:C,$N$4,Total!F:F, A86, Total!A:A, "&lt;&gt;")</f>
        <v>2</v>
      </c>
      <c r="D86">
        <f>COUNTIFS(Total!C:C,$N$3,Total!F:F, A86, Total!A:A, "&lt;&gt;")</f>
        <v>7</v>
      </c>
      <c r="E86">
        <f>COUNTIFS(Total!C:C,$N$5,Total!F:F, A86, Total!A:A, "&lt;&gt;")</f>
        <v>0</v>
      </c>
    </row>
    <row r="87" spans="1:5" x14ac:dyDescent="0.3">
      <c r="A87" s="1">
        <v>45799</v>
      </c>
      <c r="B87">
        <f>COUNTIFS(Total!F:F, A87, Total!A:A, "&lt;&gt;")</f>
        <v>17</v>
      </c>
      <c r="C87">
        <f>COUNTIFS(Total!C:C,$N$4,Total!F:F, A87, Total!A:A, "&lt;&gt;")</f>
        <v>7</v>
      </c>
      <c r="D87">
        <f>COUNTIFS(Total!C:C,$N$3,Total!F:F, A87, Total!A:A, "&lt;&gt;")</f>
        <v>10</v>
      </c>
      <c r="E87">
        <f>COUNTIFS(Total!C:C,$N$5,Total!F:F, A87, Total!A:A, "&lt;&gt;")</f>
        <v>0</v>
      </c>
    </row>
    <row r="88" spans="1:5" x14ac:dyDescent="0.3">
      <c r="A88" s="1">
        <v>45800</v>
      </c>
      <c r="B88">
        <f>COUNTIFS(Total!F:F, A88, Total!A:A, "&lt;&gt;")</f>
        <v>3</v>
      </c>
      <c r="C88">
        <f>COUNTIFS(Total!C:C,$N$4,Total!F:F, A88, Total!A:A, "&lt;&gt;")</f>
        <v>1</v>
      </c>
      <c r="D88">
        <f>COUNTIFS(Total!C:C,$N$3,Total!F:F, A88, Total!A:A, "&lt;&gt;")</f>
        <v>2</v>
      </c>
      <c r="E88">
        <f>COUNTIFS(Total!C:C,$N$5,Total!F:F, A88, Total!A:A, "&lt;&gt;")</f>
        <v>0</v>
      </c>
    </row>
    <row r="89" spans="1:5" x14ac:dyDescent="0.3">
      <c r="A89" s="1">
        <v>45803</v>
      </c>
      <c r="B89">
        <f>COUNTIFS(Total!F:F, A89, Total!A:A, "&lt;&gt;")</f>
        <v>9</v>
      </c>
      <c r="C89">
        <f>COUNTIFS(Total!C:C,$N$4,Total!F:F, A89, Total!A:A, "&lt;&gt;")</f>
        <v>3</v>
      </c>
      <c r="D89">
        <f>COUNTIFS(Total!C:C,$N$3,Total!F:F, A89, Total!A:A, "&lt;&gt;")</f>
        <v>6</v>
      </c>
      <c r="E89">
        <f>COUNTIFS(Total!C:C,$N$5,Total!F:F, A89, Total!A:A, "&lt;&gt;")</f>
        <v>0</v>
      </c>
    </row>
    <row r="90" spans="1:5" x14ac:dyDescent="0.3">
      <c r="A90" s="1">
        <v>45804</v>
      </c>
      <c r="B90">
        <f>COUNTIFS(Total!F:F, A90, Total!A:A, "&lt;&gt;")</f>
        <v>9</v>
      </c>
      <c r="C90">
        <f>COUNTIFS(Total!C:C,$N$4,Total!F:F, A90, Total!A:A, "&lt;&gt;")</f>
        <v>1</v>
      </c>
      <c r="D90">
        <f>COUNTIFS(Total!C:C,$N$3,Total!F:F, A90, Total!A:A, "&lt;&gt;")</f>
        <v>8</v>
      </c>
      <c r="E90">
        <f>COUNTIFS(Total!C:C,$N$5,Total!F:F, A90, Total!A:A, "&lt;&gt;")</f>
        <v>0</v>
      </c>
    </row>
    <row r="91" spans="1:5" x14ac:dyDescent="0.3">
      <c r="A91" s="1">
        <v>45805</v>
      </c>
      <c r="B91">
        <f>COUNTIFS(Total!F:F, A91, Total!A:A, "&lt;&gt;")</f>
        <v>7</v>
      </c>
      <c r="C91">
        <f>COUNTIFS(Total!C:C,$N$4,Total!F:F, A91, Total!A:A, "&lt;&gt;")</f>
        <v>0</v>
      </c>
      <c r="D91">
        <f>COUNTIFS(Total!C:C,$N$3,Total!F:F, A91, Total!A:A, "&lt;&gt;")</f>
        <v>7</v>
      </c>
      <c r="E91">
        <f>COUNTIFS(Total!C:C,$N$5,Total!F:F, A91, Total!A:A, "&lt;&gt;")</f>
        <v>0</v>
      </c>
    </row>
    <row r="92" spans="1:5" x14ac:dyDescent="0.3">
      <c r="A92" s="1">
        <v>45806</v>
      </c>
      <c r="B92">
        <f>COUNTIFS(Total!F:F, A92, Total!A:A, "&lt;&gt;")</f>
        <v>7</v>
      </c>
      <c r="C92">
        <f>COUNTIFS(Total!C:C,$N$4,Total!F:F, A92, Total!A:A, "&lt;&gt;")</f>
        <v>3</v>
      </c>
      <c r="D92">
        <f>COUNTIFS(Total!C:C,$N$3,Total!F:F, A92, Total!A:A, "&lt;&gt;")</f>
        <v>4</v>
      </c>
      <c r="E92">
        <f>COUNTIFS(Total!C:C,$N$5,Total!F:F, A92, Total!A:A, "&lt;&gt;")</f>
        <v>0</v>
      </c>
    </row>
    <row r="93" spans="1:5" x14ac:dyDescent="0.3">
      <c r="A93" s="1">
        <v>45807</v>
      </c>
      <c r="B93">
        <f>COUNTIFS(Total!F:F, A93, Total!A:A, "&lt;&gt;")</f>
        <v>17</v>
      </c>
      <c r="C93">
        <f>COUNTIFS(Total!C:C,$N$4,Total!F:F, A93, Total!A:A, "&lt;&gt;")</f>
        <v>14</v>
      </c>
      <c r="D93">
        <f>COUNTIFS(Total!C:C,$N$3,Total!F:F, A93, Total!A:A, "&lt;&gt;")</f>
        <v>3</v>
      </c>
      <c r="E93">
        <f>COUNTIFS(Total!C:C,$N$5,Total!F:F, A93, Total!A:A, "&lt;&gt;")</f>
        <v>0</v>
      </c>
    </row>
    <row r="94" spans="1:5" x14ac:dyDescent="0.3">
      <c r="A94" s="1">
        <v>45810</v>
      </c>
      <c r="B94">
        <f>COUNTIFS(Total!F:F, A94, Total!A:A, "&lt;&gt;")</f>
        <v>5</v>
      </c>
      <c r="C94">
        <f>COUNTIFS(Total!C:C,$N$4,Total!F:F, A94, Total!A:A, "&lt;&gt;")</f>
        <v>0</v>
      </c>
      <c r="D94">
        <f>COUNTIFS(Total!C:C,$N$3,Total!F:F, A94, Total!A:A, "&lt;&gt;")</f>
        <v>5</v>
      </c>
      <c r="E94">
        <f>COUNTIFS(Total!C:C,$N$5,Total!F:F, A94, Total!A:A, "&lt;&gt;")</f>
        <v>0</v>
      </c>
    </row>
    <row r="95" spans="1:5" x14ac:dyDescent="0.3">
      <c r="A95" s="1">
        <v>45811</v>
      </c>
      <c r="B95">
        <f>COUNTIFS(Total!F:F, A95, Total!A:A, "&lt;&gt;")</f>
        <v>2</v>
      </c>
      <c r="C95">
        <f>COUNTIFS(Total!C:C,$N$4,Total!F:F, A95, Total!A:A, "&lt;&gt;")</f>
        <v>1</v>
      </c>
      <c r="D95">
        <f>COUNTIFS(Total!C:C,$N$3,Total!F:F, A95, Total!A:A, "&lt;&gt;")</f>
        <v>1</v>
      </c>
      <c r="E95">
        <f>COUNTIFS(Total!C:C,$N$5,Total!F:F, A95, Total!A:A, "&lt;&gt;")</f>
        <v>0</v>
      </c>
    </row>
    <row r="96" spans="1:5" x14ac:dyDescent="0.3">
      <c r="A96" s="1">
        <v>45812</v>
      </c>
      <c r="B96">
        <f>COUNTIFS(Total!F:F, A96, Total!A:A, "&lt;&gt;")</f>
        <v>9</v>
      </c>
      <c r="C96">
        <f>COUNTIFS(Total!C:C,$N$4,Total!F:F, A96, Total!A:A, "&lt;&gt;")</f>
        <v>0</v>
      </c>
      <c r="D96">
        <f>COUNTIFS(Total!C:C,$N$3,Total!F:F, A96, Total!A:A, "&lt;&gt;")</f>
        <v>9</v>
      </c>
      <c r="E96">
        <f>COUNTIFS(Total!C:C,$N$5,Total!F:F, A96, Total!A:A, "&lt;&gt;")</f>
        <v>0</v>
      </c>
    </row>
    <row r="97" spans="1:5" x14ac:dyDescent="0.3">
      <c r="A97" s="1">
        <v>45813</v>
      </c>
      <c r="B97">
        <f>COUNTIFS(Total!F:F, A97, Total!A:A, "&lt;&gt;")</f>
        <v>4</v>
      </c>
      <c r="C97">
        <f>COUNTIFS(Total!C:C,$N$4,Total!F:F, A97, Total!A:A, "&lt;&gt;")</f>
        <v>0</v>
      </c>
      <c r="D97">
        <f>COUNTIFS(Total!C:C,$N$3,Total!F:F, A97, Total!A:A, "&lt;&gt;")</f>
        <v>4</v>
      </c>
      <c r="E97">
        <f>COUNTIFS(Total!C:C,$N$5,Total!F:F, A97, Total!A:A, "&lt;&gt;")</f>
        <v>0</v>
      </c>
    </row>
    <row r="98" spans="1:5" x14ac:dyDescent="0.3">
      <c r="A98" s="1">
        <v>45814</v>
      </c>
      <c r="B98">
        <f>COUNTIFS(Total!F:F, A98, Total!A:A, "&lt;&gt;")</f>
        <v>3</v>
      </c>
      <c r="C98">
        <f>COUNTIFS(Total!C:C,$N$4,Total!F:F, A98, Total!A:A, "&lt;&gt;")</f>
        <v>0</v>
      </c>
      <c r="D98">
        <f>COUNTIFS(Total!C:C,$N$3,Total!F:F, A98, Total!A:A, "&lt;&gt;")</f>
        <v>3</v>
      </c>
      <c r="E98">
        <f>COUNTIFS(Total!C:C,$N$5,Total!F:F, A98, Total!A:A, "&lt;&gt;")</f>
        <v>0</v>
      </c>
    </row>
    <row r="99" spans="1:5" x14ac:dyDescent="0.3">
      <c r="A99" s="1">
        <v>45815</v>
      </c>
      <c r="B99">
        <f>COUNTIFS(Total!F:F, A99, Total!A:A, "&lt;&gt;")</f>
        <v>9</v>
      </c>
      <c r="C99">
        <f>COUNTIFS(Total!C:C,$N$4,Total!F:F, A99, Total!A:A, "&lt;&gt;")</f>
        <v>0</v>
      </c>
      <c r="D99">
        <f>COUNTIFS(Total!C:C,$N$3,Total!F:F, A99, Total!A:A, "&lt;&gt;")</f>
        <v>9</v>
      </c>
      <c r="E99">
        <f>COUNTIFS(Total!C:C,$N$5,Total!F:F, A99, Total!A:A, "&lt;&gt;")</f>
        <v>0</v>
      </c>
    </row>
    <row r="100" spans="1:5" x14ac:dyDescent="0.3">
      <c r="A100" s="1">
        <v>45817</v>
      </c>
      <c r="B100">
        <f>COUNTIFS(Total!F:F, A100, Total!A:A, "&lt;&gt;")</f>
        <v>8</v>
      </c>
      <c r="C100">
        <f>COUNTIFS(Total!C:C,$N$4,Total!F:F, A100, Total!A:A, "&lt;&gt;")</f>
        <v>2</v>
      </c>
      <c r="D100">
        <f>COUNTIFS(Total!C:C,$N$3,Total!F:F, A100, Total!A:A, "&lt;&gt;")</f>
        <v>6</v>
      </c>
      <c r="E100">
        <f>COUNTIFS(Total!C:C,$N$5,Total!F:F, A100, Total!A:A, "&lt;&gt;")</f>
        <v>0</v>
      </c>
    </row>
    <row r="101" spans="1:5" x14ac:dyDescent="0.3">
      <c r="A101" s="1">
        <v>45818</v>
      </c>
      <c r="B101">
        <f>COUNTIFS(Total!F:F, A101, Total!A:A, "&lt;&gt;")</f>
        <v>10</v>
      </c>
      <c r="C101">
        <f>COUNTIFS(Total!C:C,$N$4,Total!F:F, A101, Total!A:A, "&lt;&gt;")</f>
        <v>1</v>
      </c>
      <c r="D101">
        <f>COUNTIFS(Total!C:C,$N$3,Total!F:F, A101, Total!A:A, "&lt;&gt;")</f>
        <v>9</v>
      </c>
      <c r="E101">
        <f>COUNTIFS(Total!C:C,$N$5,Total!F:F, A101, Total!A:A, "&lt;&gt;")</f>
        <v>0</v>
      </c>
    </row>
    <row r="102" spans="1:5" x14ac:dyDescent="0.3">
      <c r="A102" s="1">
        <v>45819</v>
      </c>
      <c r="B102">
        <f>COUNTIFS(Total!F:F, A102, Total!A:A, "&lt;&gt;")</f>
        <v>5</v>
      </c>
      <c r="C102">
        <f>COUNTIFS(Total!C:C,$N$4,Total!F:F, A102, Total!A:A, "&lt;&gt;")</f>
        <v>1</v>
      </c>
      <c r="D102">
        <f>COUNTIFS(Total!C:C,$N$3,Total!F:F, A102, Total!A:A, "&lt;&gt;")</f>
        <v>4</v>
      </c>
      <c r="E102">
        <f>COUNTIFS(Total!C:C,$N$5,Total!F:F, A102, Total!A:A, "&lt;&gt;")</f>
        <v>0</v>
      </c>
    </row>
    <row r="103" spans="1:5" x14ac:dyDescent="0.3">
      <c r="A103" s="1">
        <v>45820</v>
      </c>
      <c r="B103">
        <f>COUNTIFS(Total!F:F, A103, Total!A:A, "&lt;&gt;")</f>
        <v>4</v>
      </c>
      <c r="C103">
        <f>COUNTIFS(Total!C:C,$N$4,Total!F:F, A103, Total!A:A, "&lt;&gt;")</f>
        <v>1</v>
      </c>
      <c r="D103">
        <f>COUNTIFS(Total!C:C,$N$3,Total!F:F, A103, Total!A:A, "&lt;&gt;")</f>
        <v>3</v>
      </c>
      <c r="E103">
        <f>COUNTIFS(Total!C:C,$N$5,Total!F:F, A103, Total!A:A, "&lt;&gt;")</f>
        <v>0</v>
      </c>
    </row>
    <row r="104" spans="1:5" x14ac:dyDescent="0.3">
      <c r="A104" s="1">
        <v>45821</v>
      </c>
      <c r="B104">
        <f>COUNTIFS(Total!F:F, A104, Total!A:A, "&lt;&gt;")</f>
        <v>7</v>
      </c>
      <c r="C104">
        <f>COUNTIFS(Total!C:C,$N$4,Total!F:F, A104, Total!A:A, "&lt;&gt;")</f>
        <v>3</v>
      </c>
      <c r="D104">
        <f>COUNTIFS(Total!C:C,$N$3,Total!F:F, A104, Total!A:A, "&lt;&gt;")</f>
        <v>4</v>
      </c>
      <c r="E104">
        <f>COUNTIFS(Total!C:C,$N$5,Total!F:F, A104, Total!A:A, "&lt;&gt;")</f>
        <v>0</v>
      </c>
    </row>
    <row r="105" spans="1:5" x14ac:dyDescent="0.3">
      <c r="A105" s="1">
        <v>45822</v>
      </c>
      <c r="B105">
        <f>COUNTIFS(Total!F:F, A105, Total!A:A, "&lt;&gt;")</f>
        <v>12</v>
      </c>
      <c r="C105">
        <f>COUNTIFS(Total!C:C,$N$4,Total!F:F, A105, Total!A:A, "&lt;&gt;")</f>
        <v>0</v>
      </c>
      <c r="D105">
        <f>COUNTIFS(Total!C:C,$N$3,Total!F:F, A105, Total!A:A, "&lt;&gt;")</f>
        <v>12</v>
      </c>
      <c r="E105">
        <f>COUNTIFS(Total!C:C,$N$5,Total!F:F, A105, Total!A:A, "&lt;&gt;")</f>
        <v>0</v>
      </c>
    </row>
    <row r="106" spans="1:5" x14ac:dyDescent="0.3">
      <c r="A106" s="1">
        <v>45824</v>
      </c>
      <c r="B106">
        <f>COUNTIFS(Total!F:F, A106, Total!A:A, "&lt;&gt;")</f>
        <v>23</v>
      </c>
      <c r="C106">
        <f>COUNTIFS(Total!C:C,$N$4,Total!F:F, A106, Total!A:A, "&lt;&gt;")</f>
        <v>8</v>
      </c>
      <c r="D106">
        <f>COUNTIFS(Total!C:C,$N$3,Total!F:F, A106, Total!A:A, "&lt;&gt;")</f>
        <v>15</v>
      </c>
      <c r="E106">
        <f>COUNTIFS(Total!C:C,$N$5,Total!F:F, A106, Total!A:A, "&lt;&gt;")</f>
        <v>0</v>
      </c>
    </row>
    <row r="107" spans="1:5" x14ac:dyDescent="0.3">
      <c r="A107" s="1">
        <v>45825</v>
      </c>
      <c r="B107">
        <f>COUNTIFS(Total!F:F, A107, Total!A:A, "&lt;&gt;")</f>
        <v>5</v>
      </c>
      <c r="C107">
        <f>COUNTIFS(Total!C:C,$N$4,Total!F:F, A107, Total!A:A, "&lt;&gt;")</f>
        <v>1</v>
      </c>
      <c r="D107">
        <f>COUNTIFS(Total!C:C,$N$3,Total!F:F, A107, Total!A:A, "&lt;&gt;")</f>
        <v>4</v>
      </c>
      <c r="E107">
        <f>COUNTIFS(Total!C:C,$N$5,Total!F:F, A107, Total!A:A, "&lt;&gt;")</f>
        <v>0</v>
      </c>
    </row>
    <row r="108" spans="1:5" x14ac:dyDescent="0.3">
      <c r="A108" s="1">
        <v>45826</v>
      </c>
      <c r="B108">
        <f>COUNTIFS(Total!F:F, A108, Total!A:A, "&lt;&gt;")</f>
        <v>9</v>
      </c>
      <c r="C108">
        <f>COUNTIFS(Total!C:C,$N$4,Total!F:F, A108, Total!A:A, "&lt;&gt;")</f>
        <v>2</v>
      </c>
      <c r="D108">
        <f>COUNTIFS(Total!C:C,$N$3,Total!F:F, A108, Total!A:A, "&lt;&gt;")</f>
        <v>7</v>
      </c>
      <c r="E108">
        <f>COUNTIFS(Total!C:C,$N$5,Total!F:F, A108, Total!A:A, "&lt;&gt;")</f>
        <v>0</v>
      </c>
    </row>
    <row r="109" spans="1:5" x14ac:dyDescent="0.3">
      <c r="A109" s="1">
        <v>45827</v>
      </c>
      <c r="B109">
        <f>COUNTIFS(Total!F:F, A109, Total!A:A, "&lt;&gt;")</f>
        <v>2</v>
      </c>
      <c r="C109">
        <f>COUNTIFS(Total!C:C,$N$4,Total!F:F, A109, Total!A:A, "&lt;&gt;")</f>
        <v>0</v>
      </c>
      <c r="D109">
        <f>COUNTIFS(Total!C:C,$N$3,Total!F:F, A109, Total!A:A, "&lt;&gt;")</f>
        <v>2</v>
      </c>
      <c r="E109">
        <f>COUNTIFS(Total!C:C,$N$5,Total!F:F, A109, Total!A:A, "&lt;&gt;")</f>
        <v>0</v>
      </c>
    </row>
    <row r="110" spans="1:5" x14ac:dyDescent="0.3">
      <c r="A110" s="1">
        <v>45828</v>
      </c>
      <c r="B110">
        <f>COUNTIFS(Total!F:F, A110, Total!A:A, "&lt;&gt;")</f>
        <v>3</v>
      </c>
      <c r="C110">
        <f>COUNTIFS(Total!C:C,$N$4,Total!F:F, A110, Total!A:A, "&lt;&gt;")</f>
        <v>0</v>
      </c>
      <c r="D110">
        <f>COUNTIFS(Total!C:C,$N$3,Total!F:F, A110, Total!A:A, "&lt;&gt;")</f>
        <v>3</v>
      </c>
      <c r="E110">
        <f>COUNTIFS(Total!C:C,$N$5,Total!F:F, A110, Total!A:A, "&lt;&gt;")</f>
        <v>0</v>
      </c>
    </row>
    <row r="111" spans="1:5" x14ac:dyDescent="0.3">
      <c r="A111" s="1">
        <v>45829</v>
      </c>
      <c r="B111">
        <f>COUNTIFS(Total!F:F, A111, Total!A:A, "&lt;&gt;")</f>
        <v>14</v>
      </c>
      <c r="C111">
        <f>COUNTIFS(Total!C:C,$N$4,Total!F:F, A111, Total!A:A, "&lt;&gt;")</f>
        <v>0</v>
      </c>
      <c r="D111">
        <f>COUNTIFS(Total!C:C,$N$3,Total!F:F, A111, Total!A:A, "&lt;&gt;")</f>
        <v>14</v>
      </c>
      <c r="E111">
        <f>COUNTIFS(Total!C:C,$N$5,Total!F:F, A111, Total!A:A, "&lt;&gt;")</f>
        <v>0</v>
      </c>
    </row>
    <row r="112" spans="1:5" x14ac:dyDescent="0.3">
      <c r="A112" s="1">
        <v>45831</v>
      </c>
      <c r="B112">
        <f>COUNTIFS(Total!F:F, A112, Total!A:A, "&lt;&gt;")</f>
        <v>8</v>
      </c>
      <c r="C112">
        <f>COUNTIFS(Total!C:C,$N$4,Total!F:F, A112, Total!A:A, "&lt;&gt;")</f>
        <v>2</v>
      </c>
      <c r="D112">
        <f>COUNTIFS(Total!C:C,$N$3,Total!F:F, A112, Total!A:A, "&lt;&gt;")</f>
        <v>6</v>
      </c>
      <c r="E112">
        <f>COUNTIFS(Total!C:C,$N$5,Total!F:F, A112, Total!A:A, "&lt;&gt;")</f>
        <v>0</v>
      </c>
    </row>
    <row r="113" spans="1:5" x14ac:dyDescent="0.3">
      <c r="A113" s="1">
        <v>45832</v>
      </c>
      <c r="B113">
        <f>COUNTIFS(Total!F:F, A113, Total!A:A, "&lt;&gt;")</f>
        <v>16</v>
      </c>
      <c r="C113">
        <f>COUNTIFS(Total!C:C,$N$4,Total!F:F, A113, Total!A:A, "&lt;&gt;")</f>
        <v>0</v>
      </c>
      <c r="D113">
        <f>COUNTIFS(Total!C:C,$N$3,Total!F:F, A113, Total!A:A, "&lt;&gt;")</f>
        <v>16</v>
      </c>
      <c r="E113">
        <f>COUNTIFS(Total!C:C,$N$5,Total!F:F, A113, Total!A:A, "&lt;&gt;")</f>
        <v>0</v>
      </c>
    </row>
    <row r="114" spans="1:5" x14ac:dyDescent="0.3">
      <c r="A114" s="1">
        <v>45833</v>
      </c>
      <c r="B114">
        <f>COUNTIFS(Total!F:F, A114, Total!A:A, "&lt;&gt;")</f>
        <v>18</v>
      </c>
      <c r="C114">
        <f>COUNTIFS(Total!C:C,$N$4,Total!F:F, A114, Total!A:A, "&lt;&gt;")</f>
        <v>0</v>
      </c>
      <c r="D114">
        <f>COUNTIFS(Total!C:C,$N$3,Total!F:F, A114, Total!A:A, "&lt;&gt;")</f>
        <v>18</v>
      </c>
      <c r="E114">
        <f>COUNTIFS(Total!C:C,$N$5,Total!F:F, A114, Total!A:A, "&lt;&gt;")</f>
        <v>0</v>
      </c>
    </row>
    <row r="115" spans="1:5" x14ac:dyDescent="0.3">
      <c r="A115" s="1">
        <v>45834</v>
      </c>
      <c r="B115">
        <f>COUNTIFS(Total!F:F, A115, Total!A:A, "&lt;&gt;")</f>
        <v>32</v>
      </c>
      <c r="C115">
        <f>COUNTIFS(Total!C:C,$N$4,Total!F:F, A115, Total!A:A, "&lt;&gt;")</f>
        <v>0</v>
      </c>
      <c r="D115">
        <f>COUNTIFS(Total!C:C,$N$3,Total!F:F, A115, Total!A:A, "&lt;&gt;")</f>
        <v>32</v>
      </c>
      <c r="E115">
        <f>COUNTIFS(Total!C:C,$N$5,Total!F:F, A115, Total!A:A, "&lt;&gt;")</f>
        <v>0</v>
      </c>
    </row>
    <row r="116" spans="1:5" x14ac:dyDescent="0.3">
      <c r="A116" s="1">
        <v>45835</v>
      </c>
      <c r="B116">
        <f>COUNTIFS(Total!F:F, A116, Total!A:A, "&lt;&gt;")</f>
        <v>2</v>
      </c>
      <c r="C116">
        <f>COUNTIFS(Total!C:C,$N$4,Total!F:F, A116, Total!A:A, "&lt;&gt;")</f>
        <v>2</v>
      </c>
      <c r="D116">
        <f>COUNTIFS(Total!C:C,$N$3,Total!F:F, A116, Total!A:A, "&lt;&gt;")</f>
        <v>0</v>
      </c>
      <c r="E116">
        <f>COUNTIFS(Total!C:C,$N$5,Total!F:F, A116, Total!A:A, "&lt;&gt;")</f>
        <v>0</v>
      </c>
    </row>
    <row r="117" spans="1:5" x14ac:dyDescent="0.3">
      <c r="A117" s="1">
        <v>45838</v>
      </c>
      <c r="B117">
        <f>COUNTIFS(Total!F:F, A117, Total!A:A, "&lt;&gt;")</f>
        <v>1</v>
      </c>
      <c r="C117">
        <f>COUNTIFS(Total!C:C,$N$4,Total!F:F, A117, Total!A:A, "&lt;&gt;")</f>
        <v>0</v>
      </c>
      <c r="D117">
        <f>COUNTIFS(Total!C:C,$N$3,Total!F:F, A117, Total!A:A, "&lt;&gt;")</f>
        <v>1</v>
      </c>
      <c r="E117">
        <f>COUNTIFS(Total!C:C,$N$5,Total!F:F, A117, Total!A:A, "&lt;&gt;")</f>
        <v>0</v>
      </c>
    </row>
    <row r="118" spans="1:5" x14ac:dyDescent="0.3">
      <c r="A118" s="1">
        <v>45840</v>
      </c>
      <c r="B118">
        <f>COUNTIFS(Total!F:F, A118, Total!A:A, "&lt;&gt;")</f>
        <v>37</v>
      </c>
      <c r="C118">
        <f>COUNTIFS(Total!C:C,$N$4,Total!F:F, A118, Total!A:A, "&lt;&gt;")</f>
        <v>0</v>
      </c>
      <c r="D118">
        <f>COUNTIFS(Total!C:C,$N$3,Total!F:F, A118, Total!A:A, "&lt;&gt;")</f>
        <v>37</v>
      </c>
      <c r="E118">
        <f>COUNTIFS(Total!C:C,$N$5,Total!F:F, A118, Total!A:A, "&lt;&gt;")</f>
        <v>0</v>
      </c>
    </row>
    <row r="119" spans="1:5" x14ac:dyDescent="0.3">
      <c r="A119" s="1">
        <v>45841</v>
      </c>
      <c r="B119">
        <f>COUNTIFS(Total!F:F, A119, Total!A:A, "&lt;&gt;")</f>
        <v>22</v>
      </c>
      <c r="C119">
        <f>COUNTIFS(Total!C:C,$N$4,Total!F:F, A119, Total!A:A, "&lt;&gt;")</f>
        <v>7</v>
      </c>
      <c r="D119">
        <f>COUNTIFS(Total!C:C,$N$3,Total!F:F, A119, Total!A:A, "&lt;&gt;")</f>
        <v>15</v>
      </c>
      <c r="E119">
        <f>COUNTIFS(Total!C:C,$N$5,Total!F:F, A119, Total!A:A, "&lt;&gt;")</f>
        <v>0</v>
      </c>
    </row>
    <row r="120" spans="1:5" x14ac:dyDescent="0.3">
      <c r="A120" s="1">
        <v>45842</v>
      </c>
      <c r="B120">
        <f>COUNTIFS(Total!F:F, A120, Total!A:A, "&lt;&gt;")</f>
        <v>11</v>
      </c>
      <c r="C120">
        <f>COUNTIFS(Total!C:C,$N$4,Total!F:F, A120, Total!A:A, "&lt;&gt;")</f>
        <v>2</v>
      </c>
      <c r="D120">
        <f>COUNTIFS(Total!C:C,$N$3,Total!F:F, A120, Total!A:A, "&lt;&gt;")</f>
        <v>9</v>
      </c>
      <c r="E120">
        <f>COUNTIFS(Total!C:C,$N$5,Total!F:F, A120, Total!A:A, "&lt;&gt;")</f>
        <v>0</v>
      </c>
    </row>
    <row r="121" spans="1:5" x14ac:dyDescent="0.3">
      <c r="A121" s="1">
        <v>45845</v>
      </c>
      <c r="B121">
        <f>COUNTIFS(Total!F:F, A121, Total!A:A, "&lt;&gt;")</f>
        <v>17</v>
      </c>
      <c r="C121">
        <f>COUNTIFS(Total!C:C,$N$4,Total!F:F, A121, Total!A:A, "&lt;&gt;")</f>
        <v>2</v>
      </c>
      <c r="D121">
        <f>COUNTIFS(Total!C:C,$N$3,Total!F:F, A121, Total!A:A, "&lt;&gt;")</f>
        <v>15</v>
      </c>
      <c r="E121">
        <f>COUNTIFS(Total!C:C,$N$5,Total!F:F, A121, Total!A:A, "&lt;&gt;")</f>
        <v>0</v>
      </c>
    </row>
    <row r="122" spans="1:5" x14ac:dyDescent="0.3">
      <c r="A122" s="1">
        <v>45846</v>
      </c>
      <c r="B122">
        <f>COUNTIFS(Total!F:F, A122, Total!A:A, "&lt;&gt;")</f>
        <v>15</v>
      </c>
      <c r="C122">
        <f>COUNTIFS(Total!C:C,$N$4,Total!F:F, A122, Total!A:A, "&lt;&gt;")</f>
        <v>2</v>
      </c>
      <c r="D122">
        <f>COUNTIFS(Total!C:C,$N$3,Total!F:F, A122, Total!A:A, "&lt;&gt;")</f>
        <v>13</v>
      </c>
      <c r="E122">
        <f>COUNTIFS(Total!C:C,$N$5,Total!F:F, A122, Total!A:A, "&lt;&gt;")</f>
        <v>0</v>
      </c>
    </row>
    <row r="123" spans="1:5" x14ac:dyDescent="0.3">
      <c r="A123" s="1">
        <v>45847</v>
      </c>
      <c r="B123">
        <f>COUNTIFS(Total!F:F, A123, Total!A:A, "&lt;&gt;")</f>
        <v>16</v>
      </c>
      <c r="C123">
        <f>COUNTIFS(Total!C:C,$N$4,Total!F:F, A123, Total!A:A, "&lt;&gt;")</f>
        <v>1</v>
      </c>
      <c r="D123">
        <f>COUNTIFS(Total!C:C,$N$3,Total!F:F, A123, Total!A:A, "&lt;&gt;")</f>
        <v>15</v>
      </c>
      <c r="E123">
        <f>COUNTIFS(Total!C:C,$N$5,Total!F:F, A123, Total!A:A, "&lt;&gt;")</f>
        <v>0</v>
      </c>
    </row>
    <row r="124" spans="1:5" x14ac:dyDescent="0.3">
      <c r="A124" s="1">
        <v>45848</v>
      </c>
      <c r="B124">
        <f>COUNTIFS(Total!F:F, A124, Total!A:A, "&lt;&gt;")</f>
        <v>12</v>
      </c>
      <c r="C124">
        <f>COUNTIFS(Total!C:C,$N$4,Total!F:F, A124, Total!A:A, "&lt;&gt;")</f>
        <v>2</v>
      </c>
      <c r="D124">
        <f>COUNTIFS(Total!C:C,$N$3,Total!F:F, A124, Total!A:A, "&lt;&gt;")</f>
        <v>10</v>
      </c>
      <c r="E124">
        <f>COUNTIFS(Total!C:C,$N$5,Total!F:F, A124, Total!A:A, "&lt;&gt;")</f>
        <v>0</v>
      </c>
    </row>
    <row r="125" spans="1:5" x14ac:dyDescent="0.3">
      <c r="A125" s="1">
        <v>45849</v>
      </c>
      <c r="B125">
        <f>COUNTIFS(Total!F:F, A125, Total!A:A, "&lt;&gt;")</f>
        <v>13</v>
      </c>
      <c r="C125">
        <f>COUNTIFS(Total!C:C,$N$4,Total!F:F, A125, Total!A:A, "&lt;&gt;")</f>
        <v>2</v>
      </c>
      <c r="D125">
        <f>COUNTIFS(Total!C:C,$N$3,Total!F:F, A125, Total!A:A, "&lt;&gt;")</f>
        <v>11</v>
      </c>
      <c r="E125">
        <f>COUNTIFS(Total!C:C,$N$5,Total!F:F, A125, Total!A:A, "&lt;&gt;")</f>
        <v>0</v>
      </c>
    </row>
    <row r="126" spans="1:5" x14ac:dyDescent="0.3">
      <c r="A126" s="1">
        <v>45859</v>
      </c>
      <c r="B126">
        <f>COUNTIFS(Total!F:F, A126, Total!A:A, "&lt;&gt;")</f>
        <v>11</v>
      </c>
      <c r="C126">
        <f>COUNTIFS(Total!C:C,$N$4,Total!F:F, A126, Total!A:A, "&lt;&gt;")</f>
        <v>5</v>
      </c>
      <c r="D126">
        <f>COUNTIFS(Total!C:C,$N$3,Total!F:F, A126, Total!A:A, "&lt;&gt;")</f>
        <v>6</v>
      </c>
      <c r="E126">
        <f>COUNTIFS(Total!C:C,$N$5,Total!F:F, A126, Total!A:A, "&lt;&gt;")</f>
        <v>0</v>
      </c>
    </row>
    <row r="127" spans="1:5" x14ac:dyDescent="0.3">
      <c r="A127" s="1">
        <v>45860</v>
      </c>
      <c r="B127">
        <f>COUNTIFS(Total!F:F, A127, Total!A:A, "&lt;&gt;")</f>
        <v>8</v>
      </c>
      <c r="C127">
        <f>COUNTIFS(Total!C:C,$N$4,Total!F:F, A127, Total!A:A, "&lt;&gt;")</f>
        <v>3</v>
      </c>
      <c r="D127">
        <f>COUNTIFS(Total!C:C,$N$3,Total!F:F, A127, Total!A:A, "&lt;&gt;")</f>
        <v>5</v>
      </c>
      <c r="E127">
        <f>COUNTIFS(Total!C:C,$N$5,Total!F:F, A127, Total!A:A, "&lt;&gt;")</f>
        <v>0</v>
      </c>
    </row>
    <row r="128" spans="1:5" x14ac:dyDescent="0.3">
      <c r="A128" s="1">
        <v>45861</v>
      </c>
      <c r="B128">
        <f>COUNTIFS(Total!F:F, A128, Total!A:A, "&lt;&gt;")</f>
        <v>16</v>
      </c>
      <c r="C128">
        <f>COUNTIFS(Total!C:C,$N$4,Total!F:F, A128, Total!A:A, "&lt;&gt;")</f>
        <v>6</v>
      </c>
      <c r="D128">
        <f>COUNTIFS(Total!C:C,$N$3,Total!F:F, A128, Total!A:A, "&lt;&gt;")</f>
        <v>10</v>
      </c>
      <c r="E128">
        <f>COUNTIFS(Total!C:C,$N$5,Total!F:F, A128, Total!A:A, "&lt;&gt;")</f>
        <v>0</v>
      </c>
    </row>
    <row r="129" spans="1:5" x14ac:dyDescent="0.3">
      <c r="A129" s="1">
        <v>45862</v>
      </c>
      <c r="B129">
        <f>COUNTIFS(Total!F:F, A129, Total!A:A, "&lt;&gt;")</f>
        <v>11</v>
      </c>
      <c r="C129">
        <f>COUNTIFS(Total!C:C,$N$4,Total!F:F, A129, Total!A:A, "&lt;&gt;")</f>
        <v>6</v>
      </c>
      <c r="D129">
        <f>COUNTIFS(Total!C:C,$N$3,Total!F:F, A129, Total!A:A, "&lt;&gt;")</f>
        <v>5</v>
      </c>
      <c r="E129">
        <f>COUNTIFS(Total!C:C,$N$5,Total!F:F, A129, Total!A:A, "&lt;&gt;")</f>
        <v>0</v>
      </c>
    </row>
    <row r="130" spans="1:5" x14ac:dyDescent="0.3">
      <c r="A130" s="1">
        <v>45863</v>
      </c>
      <c r="B130">
        <f>COUNTIFS(Total!F:F, A130, Total!A:A, "&lt;&gt;")</f>
        <v>14</v>
      </c>
      <c r="C130">
        <f>COUNTIFS(Total!C:C,$N$4,Total!F:F, A130, Total!A:A, "&lt;&gt;")</f>
        <v>5</v>
      </c>
      <c r="D130">
        <f>COUNTIFS(Total!C:C,$N$3,Total!F:F, A130, Total!A:A, "&lt;&gt;")</f>
        <v>9</v>
      </c>
      <c r="E130">
        <f>COUNTIFS(Total!C:C,$N$5,Total!F:F, A130, Total!A:A, "&lt;&gt;")</f>
        <v>0</v>
      </c>
    </row>
    <row r="131" spans="1:5" x14ac:dyDescent="0.3">
      <c r="A131" s="1">
        <v>45866</v>
      </c>
      <c r="B131">
        <f>COUNTIFS(Total!F:F, A131, Total!A:A, "&lt;&gt;")</f>
        <v>16</v>
      </c>
      <c r="C131">
        <f>COUNTIFS(Total!C:C,$N$4,Total!F:F, A131, Total!A:A, "&lt;&gt;")</f>
        <v>6</v>
      </c>
      <c r="D131">
        <f>COUNTIFS(Total!C:C,$N$3,Total!F:F, A131, Total!A:A, "&lt;&gt;")</f>
        <v>10</v>
      </c>
      <c r="E131">
        <f>COUNTIFS(Total!C:C,$N$5,Total!F:F, A131, Total!A:A, "&lt;&gt;")</f>
        <v>0</v>
      </c>
    </row>
    <row r="132" spans="1:5" x14ac:dyDescent="0.3">
      <c r="A132" s="1">
        <v>45867</v>
      </c>
      <c r="B132">
        <f>COUNTIFS(Total!F:F, A132, Total!A:A, "&lt;&gt;")</f>
        <v>18</v>
      </c>
      <c r="C132">
        <f>COUNTIFS(Total!C:C,$N$4,Total!F:F, A132, Total!A:A, "&lt;&gt;")</f>
        <v>7</v>
      </c>
      <c r="D132">
        <f>COUNTIFS(Total!C:C,$N$3,Total!F:F, A132, Total!A:A, "&lt;&gt;")</f>
        <v>11</v>
      </c>
      <c r="E132">
        <f>COUNTIFS(Total!C:C,$N$5,Total!F:F, A132, Total!A:A, "&lt;&gt;")</f>
        <v>0</v>
      </c>
    </row>
    <row r="133" spans="1:5" x14ac:dyDescent="0.3">
      <c r="A133" s="1">
        <v>45868</v>
      </c>
      <c r="B133">
        <f>COUNTIFS(Total!F:F, A133, Total!A:A, "&lt;&gt;")</f>
        <v>14</v>
      </c>
      <c r="C133">
        <f>COUNTIFS(Total!C:C,$N$4,Total!F:F, A133, Total!A:A, "&lt;&gt;")</f>
        <v>6</v>
      </c>
      <c r="D133">
        <f>COUNTIFS(Total!C:C,$N$3,Total!F:F, A133, Total!A:A, "&lt;&gt;")</f>
        <v>8</v>
      </c>
      <c r="E133">
        <f>COUNTIFS(Total!C:C,$N$5,Total!F:F, A133, Total!A:A, "&lt;&gt;")</f>
        <v>0</v>
      </c>
    </row>
    <row r="134" spans="1:5" x14ac:dyDescent="0.3">
      <c r="A134" s="1">
        <v>45869</v>
      </c>
      <c r="B134">
        <f>COUNTIFS(Total!F:F, A134, Total!A:A, "&lt;&gt;")</f>
        <v>15</v>
      </c>
      <c r="C134">
        <f>COUNTIFS(Total!C:C,$N$4,Total!F:F, A134, Total!A:A, "&lt;&gt;")</f>
        <v>2</v>
      </c>
      <c r="D134">
        <f>COUNTIFS(Total!C:C,$N$3,Total!F:F, A134, Total!A:A, "&lt;&gt;")</f>
        <v>13</v>
      </c>
      <c r="E134">
        <f>COUNTIFS(Total!C:C,$N$5,Total!F:F, A134, Total!A:A, "&lt;&gt;")</f>
        <v>0</v>
      </c>
    </row>
    <row r="135" spans="1:5" x14ac:dyDescent="0.3">
      <c r="A135" s="1">
        <v>45874</v>
      </c>
      <c r="B135">
        <f>COUNTIFS(Total!F:F, A135, Total!A:A, "&lt;&gt;")</f>
        <v>22</v>
      </c>
      <c r="C135">
        <f>COUNTIFS(Total!C:C,$N$4,Total!F:F, A135, Total!A:A, "&lt;&gt;")</f>
        <v>6</v>
      </c>
      <c r="D135">
        <f>COUNTIFS(Total!C:C,$N$3,Total!F:F, A135, Total!A:A, "&lt;&gt;")</f>
        <v>16</v>
      </c>
      <c r="E135">
        <f>COUNTIFS(Total!C:C,$N$5,Total!F:F, A135, Total!A:A, "&lt;&gt;")</f>
        <v>0</v>
      </c>
    </row>
    <row r="136" spans="1:5" x14ac:dyDescent="0.3">
      <c r="A136" s="1">
        <v>45875</v>
      </c>
      <c r="B136">
        <f>COUNTIFS(Total!F:F, A136, Total!A:A, "&lt;&gt;")</f>
        <v>15</v>
      </c>
      <c r="C136">
        <f>COUNTIFS(Total!C:C,$N$4,Total!F:F, A136, Total!A:A, "&lt;&gt;")</f>
        <v>3</v>
      </c>
      <c r="D136">
        <f>COUNTIFS(Total!C:C,$N$3,Total!F:F, A136, Total!A:A, "&lt;&gt;")</f>
        <v>12</v>
      </c>
      <c r="E136">
        <f>COUNTIFS(Total!C:C,$N$5,Total!F:F, A136, Total!A:A, "&lt;&gt;")</f>
        <v>0</v>
      </c>
    </row>
    <row r="137" spans="1:5" x14ac:dyDescent="0.3">
      <c r="A137" s="1">
        <v>45876</v>
      </c>
      <c r="B137">
        <f>COUNTIFS(Total!F:F, A137, Total!A:A, "&lt;&gt;")</f>
        <v>21</v>
      </c>
      <c r="C137">
        <f>COUNTIFS(Total!C:C,$N$4,Total!F:F, A137, Total!A:A, "&lt;&gt;")</f>
        <v>6</v>
      </c>
      <c r="D137">
        <f>COUNTIFS(Total!C:C,$N$3,Total!F:F, A137, Total!A:A, "&lt;&gt;")</f>
        <v>15</v>
      </c>
      <c r="E137">
        <f>COUNTIFS(Total!C:C,$N$5,Total!F:F, A137, Total!A:A, "&lt;&gt;")</f>
        <v>0</v>
      </c>
    </row>
    <row r="138" spans="1:5" x14ac:dyDescent="0.3">
      <c r="A138" s="1">
        <v>45877</v>
      </c>
      <c r="B138">
        <f>COUNTIFS(Total!F:F, A138, Total!A:A, "&lt;&gt;")</f>
        <v>9</v>
      </c>
      <c r="C138">
        <f>COUNTIFS(Total!C:C,$N$4,Total!F:F, A138, Total!A:A, "&lt;&gt;")</f>
        <v>2</v>
      </c>
      <c r="D138">
        <f>COUNTIFS(Total!C:C,$N$3,Total!F:F, A138, Total!A:A, "&lt;&gt;")</f>
        <v>7</v>
      </c>
      <c r="E138">
        <f>COUNTIFS(Total!C:C,$N$5,Total!F:F, A138, Total!A:A, "&lt;&gt;")</f>
        <v>0</v>
      </c>
    </row>
    <row r="139" spans="1:5" x14ac:dyDescent="0.3">
      <c r="A139" s="1">
        <v>45880</v>
      </c>
      <c r="B139">
        <f>COUNTIFS(Total!F:F, A139, Total!A:A, "&lt;&gt;")</f>
        <v>10</v>
      </c>
      <c r="C139">
        <f>COUNTIFS(Total!C:C,$N$4,Total!F:F, A139, Total!A:A, "&lt;&gt;")</f>
        <v>3</v>
      </c>
      <c r="D139">
        <f>COUNTIFS(Total!C:C,$N$3,Total!F:F, A139, Total!A:A, "&lt;&gt;")</f>
        <v>7</v>
      </c>
      <c r="E139">
        <f>COUNTIFS(Total!C:C,$N$5,Total!F:F, A139, Total!A:A, "&lt;&gt;")</f>
        <v>0</v>
      </c>
    </row>
    <row r="140" spans="1:5" x14ac:dyDescent="0.3">
      <c r="A140" s="1">
        <v>45881</v>
      </c>
      <c r="B140">
        <f>COUNTIFS(Total!F:F, A140, Total!A:A, "&lt;&gt;")</f>
        <v>16</v>
      </c>
      <c r="C140">
        <f>COUNTIFS(Total!C:C,$N$4,Total!F:F, A140, Total!A:A, "&lt;&gt;")</f>
        <v>2</v>
      </c>
      <c r="D140">
        <f>COUNTIFS(Total!C:C,$N$3,Total!F:F, A140, Total!A:A, "&lt;&gt;")</f>
        <v>14</v>
      </c>
      <c r="E140">
        <f>COUNTIFS(Total!C:C,$N$5,Total!F:F, A140, Total!A:A, "&lt;&gt;")</f>
        <v>0</v>
      </c>
    </row>
    <row r="141" spans="1:5" x14ac:dyDescent="0.3">
      <c r="A141" s="1">
        <v>45882</v>
      </c>
      <c r="B141">
        <f>COUNTIFS(Total!F:F, A141, Total!A:A, "&lt;&gt;")</f>
        <v>11</v>
      </c>
      <c r="C141">
        <f>COUNTIFS(Total!C:C,$N$4,Total!F:F, A141, Total!A:A, "&lt;&gt;")</f>
        <v>3</v>
      </c>
      <c r="D141">
        <f>COUNTIFS(Total!C:C,$N$3,Total!F:F, A141, Total!A:A, "&lt;&gt;")</f>
        <v>8</v>
      </c>
      <c r="E141">
        <f>COUNTIFS(Total!C:C,$N$5,Total!F:F, A141, Total!A:A, "&lt;&gt;")</f>
        <v>0</v>
      </c>
    </row>
    <row r="142" spans="1:5" x14ac:dyDescent="0.3">
      <c r="A142" s="1">
        <v>45883</v>
      </c>
      <c r="B142">
        <f>COUNTIFS(Total!F:F, A142, Total!A:A, "&lt;&gt;")</f>
        <v>12</v>
      </c>
      <c r="C142">
        <f>COUNTIFS(Total!C:C,$N$4,Total!F:F, A142, Total!A:A, "&lt;&gt;")</f>
        <v>3</v>
      </c>
      <c r="D142">
        <f>COUNTIFS(Total!C:C,$N$3,Total!F:F, A142, Total!A:A, "&lt;&gt;")</f>
        <v>9</v>
      </c>
      <c r="E142">
        <f>COUNTIFS(Total!C:C,$N$5,Total!F:F, A142, Total!A:A, "&lt;&gt;")</f>
        <v>0</v>
      </c>
    </row>
    <row r="143" spans="1:5" x14ac:dyDescent="0.3">
      <c r="A143" s="1">
        <v>45884</v>
      </c>
      <c r="B143">
        <f>COUNTIFS(Total!F:F, A143, Total!A:A, "&lt;&gt;")</f>
        <v>13</v>
      </c>
      <c r="C143">
        <f>COUNTIFS(Total!C:C,$N$4,Total!F:F, A143, Total!A:A, "&lt;&gt;")</f>
        <v>7</v>
      </c>
      <c r="D143">
        <f>COUNTIFS(Total!C:C,$N$3,Total!F:F, A143, Total!A:A, "&lt;&gt;")</f>
        <v>6</v>
      </c>
      <c r="E143">
        <f>COUNTIFS(Total!C:C,$N$5,Total!F:F, A143, Total!A:A, "&lt;&gt;")</f>
        <v>0</v>
      </c>
    </row>
    <row r="144" spans="1:5" x14ac:dyDescent="0.3">
      <c r="A144" s="1">
        <v>45887</v>
      </c>
      <c r="B144">
        <f>COUNTIFS(Total!F:F, A144, Total!A:A, "&lt;&gt;")</f>
        <v>13</v>
      </c>
      <c r="C144">
        <f>COUNTIFS(Total!C:C,$N$4,Total!F:F, A144, Total!A:A, "&lt;&gt;")</f>
        <v>4</v>
      </c>
      <c r="D144">
        <f>COUNTIFS(Total!C:C,$N$3,Total!F:F, A144, Total!A:A, "&lt;&gt;")</f>
        <v>9</v>
      </c>
      <c r="E144">
        <f>COUNTIFS(Total!C:C,$N$5,Total!F:F, A144, Total!A:A, "&lt;&gt;")</f>
        <v>0</v>
      </c>
    </row>
    <row r="145" spans="1:5" x14ac:dyDescent="0.3">
      <c r="A145" s="1">
        <v>45888</v>
      </c>
      <c r="B145">
        <f>COUNTIFS(Total!F:F, A145, Total!A:A, "&lt;&gt;")</f>
        <v>7</v>
      </c>
      <c r="C145">
        <f>COUNTIFS(Total!C:C,$N$4,Total!F:F, A145, Total!A:A, "&lt;&gt;")</f>
        <v>3</v>
      </c>
      <c r="D145">
        <f>COUNTIFS(Total!C:C,$N$3,Total!F:F, A145, Total!A:A, "&lt;&gt;")</f>
        <v>4</v>
      </c>
      <c r="E145">
        <f>COUNTIFS(Total!C:C,$N$5,Total!F:F, A145, Total!A:A, "&lt;&gt;")</f>
        <v>0</v>
      </c>
    </row>
    <row r="146" spans="1:5" x14ac:dyDescent="0.3">
      <c r="A146" s="1">
        <v>45889</v>
      </c>
      <c r="B146">
        <f>COUNTIFS(Total!F:F, A146, Total!A:A, "&lt;&gt;")</f>
        <v>10</v>
      </c>
      <c r="C146">
        <f>COUNTIFS(Total!C:C,$N$4,Total!F:F, A146, Total!A:A, "&lt;&gt;")</f>
        <v>0</v>
      </c>
      <c r="D146">
        <f>COUNTIFS(Total!C:C,$N$3,Total!F:F, A146, Total!A:A, "&lt;&gt;")</f>
        <v>10</v>
      </c>
      <c r="E146">
        <f>COUNTIFS(Total!C:C,$N$5,Total!F:F, A146, Total!A:A, "&lt;&gt;")</f>
        <v>0</v>
      </c>
    </row>
    <row r="147" spans="1:5" x14ac:dyDescent="0.3">
      <c r="A147" s="1">
        <v>45890</v>
      </c>
      <c r="B147">
        <f>COUNTIFS(Total!F:F, A147, Total!A:A, "&lt;&gt;")</f>
        <v>13</v>
      </c>
      <c r="C147">
        <f>COUNTIFS(Total!C:C,$N$4,Total!F:F, A147, Total!A:A, "&lt;&gt;")</f>
        <v>1</v>
      </c>
      <c r="D147">
        <f>COUNTIFS(Total!C:C,$N$3,Total!F:F, A147, Total!A:A, "&lt;&gt;")</f>
        <v>12</v>
      </c>
      <c r="E147">
        <f>COUNTIFS(Total!C:C,$N$5,Total!F:F, A147, Total!A:A, "&lt;&gt;")</f>
        <v>0</v>
      </c>
    </row>
    <row r="148" spans="1:5" x14ac:dyDescent="0.3">
      <c r="A148" s="1">
        <v>45894</v>
      </c>
      <c r="B148">
        <f>COUNTIFS(Total!F:F, A148, Total!A:A, "&lt;&gt;")</f>
        <v>28</v>
      </c>
      <c r="C148">
        <f>COUNTIFS(Total!C:C,$N$4,Total!F:F, A148, Total!A:A, "&lt;&gt;")</f>
        <v>0</v>
      </c>
      <c r="D148">
        <f>COUNTIFS(Total!C:C,$N$3,Total!F:F, A148, Total!A:A, "&lt;&gt;")</f>
        <v>28</v>
      </c>
      <c r="E148">
        <f>COUNTIFS(Total!C:C,$N$5,Total!F:F, A148, Total!A:A, "&lt;&gt;")</f>
        <v>0</v>
      </c>
    </row>
    <row r="149" spans="1:5" x14ac:dyDescent="0.3">
      <c r="A149" s="1">
        <v>45895</v>
      </c>
      <c r="B149">
        <f>COUNTIFS(Total!F:F, A149, Total!A:A, "&lt;&gt;")</f>
        <v>22</v>
      </c>
      <c r="C149">
        <f>COUNTIFS(Total!C:C,$N$4,Total!F:F, A149, Total!A:A, "&lt;&gt;")</f>
        <v>2</v>
      </c>
      <c r="D149">
        <f>COUNTIFS(Total!C:C,$N$3,Total!F:F, A149, Total!A:A, "&lt;&gt;")</f>
        <v>20</v>
      </c>
      <c r="E149">
        <f>COUNTIFS(Total!C:C,$N$5,Total!F:F, A149, Total!A:A, "&lt;&gt;")</f>
        <v>0</v>
      </c>
    </row>
    <row r="150" spans="1:5" x14ac:dyDescent="0.3">
      <c r="A150" s="1">
        <v>45896</v>
      </c>
      <c r="B150">
        <f>COUNTIFS(Total!F:F, A150, Total!A:A, "&lt;&gt;")</f>
        <v>16</v>
      </c>
      <c r="C150">
        <f>COUNTIFS(Total!C:C,$N$4,Total!F:F, A150, Total!A:A, "&lt;&gt;")</f>
        <v>3</v>
      </c>
      <c r="D150">
        <f>COUNTIFS(Total!C:C,$N$3,Total!F:F, A150, Total!A:A, "&lt;&gt;")</f>
        <v>13</v>
      </c>
      <c r="E150">
        <f>COUNTIFS(Total!C:C,$N$5,Total!F:F, A150, Total!A:A, "&lt;&gt;")</f>
        <v>0</v>
      </c>
    </row>
    <row r="151" spans="1:5" x14ac:dyDescent="0.3">
      <c r="A151" s="1">
        <v>45897</v>
      </c>
      <c r="B151">
        <f>COUNTIFS(Total!F:F, A151, Total!A:A, "&lt;&gt;")</f>
        <v>14</v>
      </c>
      <c r="C151">
        <f>COUNTIFS(Total!C:C,$N$4,Total!F:F, A151, Total!A:A, "&lt;&gt;")</f>
        <v>2</v>
      </c>
      <c r="D151">
        <f>COUNTIFS(Total!C:C,$N$3,Total!F:F, A151, Total!A:A, "&lt;&gt;")</f>
        <v>12</v>
      </c>
      <c r="E151">
        <f>COUNTIFS(Total!C:C,$N$5,Total!F:F, A151, Total!A:A, "&lt;&gt;")</f>
        <v>0</v>
      </c>
    </row>
    <row r="152" spans="1:5" x14ac:dyDescent="0.3">
      <c r="A152" s="1">
        <v>45902</v>
      </c>
      <c r="B152">
        <f>COUNTIFS(Total!F:F, A152, Total!A:A, "&lt;&gt;")</f>
        <v>18</v>
      </c>
      <c r="C152">
        <f>COUNTIFS(Total!C:C,$N$4,Total!F:F, A152, Total!A:A, "&lt;&gt;")</f>
        <v>2</v>
      </c>
      <c r="D152">
        <f>COUNTIFS(Total!C:C,$N$3,Total!F:F, A152, Total!A:A, "&lt;&gt;")</f>
        <v>16</v>
      </c>
      <c r="E152">
        <f>COUNTIFS(Total!C:C,$N$5,Total!F:F, A152, Total!A:A, "&lt;&gt;")</f>
        <v>0</v>
      </c>
    </row>
    <row r="153" spans="1:5" x14ac:dyDescent="0.3">
      <c r="A153" s="1">
        <v>45903</v>
      </c>
      <c r="B153">
        <f>COUNTIFS(Total!F:F, A153, Total!A:A, "&lt;&gt;")</f>
        <v>14</v>
      </c>
      <c r="C153">
        <f>COUNTIFS(Total!C:C,$N$4,Total!F:F, A153, Total!A:A, "&lt;&gt;")</f>
        <v>2</v>
      </c>
      <c r="D153">
        <f>COUNTIFS(Total!C:C,$N$3,Total!F:F, A153, Total!A:A, "&lt;&gt;")</f>
        <v>12</v>
      </c>
      <c r="E153">
        <f>COUNTIFS(Total!C:C,$N$5,Total!F:F, A153, Total!A:A, "&lt;&gt;")</f>
        <v>0</v>
      </c>
    </row>
    <row r="154" spans="1:5" x14ac:dyDescent="0.3">
      <c r="A154" s="1">
        <v>45904</v>
      </c>
      <c r="B154">
        <f>COUNTIFS(Total!F:F, A154, Total!A:A, "&lt;&gt;")</f>
        <v>15</v>
      </c>
      <c r="C154">
        <f>COUNTIFS(Total!C:C,$N$4,Total!F:F, A154, Total!A:A, "&lt;&gt;")</f>
        <v>3</v>
      </c>
      <c r="D154">
        <f>COUNTIFS(Total!C:C,$N$3,Total!F:F, A154, Total!A:A, "&lt;&gt;")</f>
        <v>12</v>
      </c>
      <c r="E154">
        <f>COUNTIFS(Total!C:C,$N$5,Total!F:F, A154, Total!A:A, "&lt;&gt;")</f>
        <v>0</v>
      </c>
    </row>
    <row r="155" spans="1:5" x14ac:dyDescent="0.3">
      <c r="A155" s="1">
        <v>45905</v>
      </c>
      <c r="B155">
        <f>COUNTIFS(Total!F:F, A155, Total!A:A, "&lt;&gt;")</f>
        <v>13</v>
      </c>
      <c r="C155">
        <f>COUNTIFS(Total!C:C,$N$4,Total!F:F, A155, Total!A:A, "&lt;&gt;")</f>
        <v>3</v>
      </c>
      <c r="D155">
        <f>COUNTIFS(Total!C:C,$N$3,Total!F:F, A155, Total!A:A, "&lt;&gt;")</f>
        <v>10</v>
      </c>
      <c r="E155">
        <f>COUNTIFS(Total!C:C,$N$5,Total!F:F, A155, Total!A:A, "&lt;&gt;")</f>
        <v>0</v>
      </c>
    </row>
    <row r="156" spans="1:5" x14ac:dyDescent="0.3">
      <c r="A156" s="1">
        <v>45906</v>
      </c>
      <c r="B156">
        <f>COUNTIFS(Total!F:F, A156, Total!A:A, "&lt;&gt;")</f>
        <v>0</v>
      </c>
      <c r="C156">
        <f>COUNTIFS(Total!C:C,$N$4,Total!F:F, A156, Total!A:A, "&lt;&gt;")</f>
        <v>0</v>
      </c>
      <c r="D156">
        <f>COUNTIFS(Total!C:C,$N$3,Total!F:F, A156, Total!A:A, "&lt;&gt;")</f>
        <v>0</v>
      </c>
      <c r="E156">
        <f>COUNTIFS(Total!C:C,$N$5,Total!F:F, A156, Total!A:A, "&lt;&gt;")</f>
        <v>0</v>
      </c>
    </row>
    <row r="157" spans="1:5" x14ac:dyDescent="0.3">
      <c r="A157" s="1">
        <v>45907</v>
      </c>
      <c r="B157">
        <f>COUNTIFS(Total!F:F, A157, Total!A:A, "&lt;&gt;")</f>
        <v>0</v>
      </c>
      <c r="C157">
        <f>COUNTIFS(Total!C:C,$N$4,Total!F:F, A157, Total!A:A, "&lt;&gt;")</f>
        <v>0</v>
      </c>
      <c r="D157">
        <f>COUNTIFS(Total!C:C,$N$3,Total!F:F, A157, Total!A:A, "&lt;&gt;")</f>
        <v>0</v>
      </c>
      <c r="E157">
        <f>COUNTIFS(Total!C:C,$N$5,Total!F:F, A157, Total!A:A, "&lt;&gt;")</f>
        <v>0</v>
      </c>
    </row>
    <row r="158" spans="1:5" x14ac:dyDescent="0.3">
      <c r="A158" s="1">
        <v>45908</v>
      </c>
      <c r="B158">
        <f>COUNTIFS(Total!F:F, A158, Total!A:A, "&lt;&gt;")</f>
        <v>9</v>
      </c>
      <c r="C158">
        <f>COUNTIFS(Total!C:C,$N$4,Total!F:F, A158, Total!A:A, "&lt;&gt;")</f>
        <v>1</v>
      </c>
      <c r="D158">
        <f>COUNTIFS(Total!C:C,$N$3,Total!F:F, A158, Total!A:A, "&lt;&gt;")</f>
        <v>8</v>
      </c>
      <c r="E158">
        <f>COUNTIFS(Total!C:C,$N$5,Total!F:F, A158, Total!A:A, "&lt;&gt;")</f>
        <v>0</v>
      </c>
    </row>
    <row r="159" spans="1:5" x14ac:dyDescent="0.3">
      <c r="A159" s="1">
        <v>45909</v>
      </c>
      <c r="B159">
        <f>COUNTIFS(Total!F:F, A159, Total!A:A, "&lt;&gt;")</f>
        <v>13</v>
      </c>
      <c r="C159">
        <f>COUNTIFS(Total!C:C,$N$4,Total!F:F, A159, Total!A:A, "&lt;&gt;")</f>
        <v>0</v>
      </c>
      <c r="D159">
        <f>COUNTIFS(Total!C:C,$N$3,Total!F:F, A159, Total!A:A, "&lt;&gt;")</f>
        <v>13</v>
      </c>
      <c r="E159">
        <f>COUNTIFS(Total!C:C,$N$5,Total!F:F, A159, Total!A:A, "&lt;&gt;")</f>
        <v>0</v>
      </c>
    </row>
    <row r="160" spans="1:5" x14ac:dyDescent="0.3">
      <c r="A160" s="1">
        <v>45910</v>
      </c>
      <c r="B160">
        <f>COUNTIFS(Total!F:F, A160, Total!A:A, "&lt;&gt;")</f>
        <v>20</v>
      </c>
      <c r="C160">
        <f>COUNTIFS(Total!C:C,$N$4,Total!F:F, A160, Total!A:A, "&lt;&gt;")</f>
        <v>0</v>
      </c>
      <c r="D160">
        <f>COUNTIFS(Total!C:C,$N$3,Total!F:F, A160, Total!A:A, "&lt;&gt;")</f>
        <v>20</v>
      </c>
      <c r="E160">
        <f>COUNTIFS(Total!C:C,$N$5,Total!F:F, A160, Total!A:A, "&lt;&gt;")</f>
        <v>0</v>
      </c>
    </row>
    <row r="161" spans="1:5" x14ac:dyDescent="0.3">
      <c r="A161" s="1">
        <v>45911</v>
      </c>
      <c r="B161">
        <f>COUNTIFS(Total!F:F, A161, Total!A:A, "&lt;&gt;")</f>
        <v>16</v>
      </c>
      <c r="C161">
        <f>COUNTIFS(Total!C:C,$N$4,Total!F:F, A161, Total!A:A, "&lt;&gt;")</f>
        <v>1</v>
      </c>
      <c r="D161">
        <f>COUNTIFS(Total!C:C,$N$3,Total!F:F, A161, Total!A:A, "&lt;&gt;")</f>
        <v>15</v>
      </c>
      <c r="E161">
        <f>COUNTIFS(Total!C:C,$N$5,Total!F:F, A161, Total!A:A, "&lt;&gt;")</f>
        <v>0</v>
      </c>
    </row>
    <row r="162" spans="1:5" x14ac:dyDescent="0.3">
      <c r="A162" s="1">
        <v>45912</v>
      </c>
      <c r="B162">
        <f>COUNTIFS(Total!F:F, A162, Total!A:A, "&lt;&gt;")</f>
        <v>19</v>
      </c>
      <c r="C162">
        <f>COUNTIFS(Total!C:C,$N$4,Total!F:F, A162, Total!A:A, "&lt;&gt;")</f>
        <v>5</v>
      </c>
      <c r="D162">
        <f>COUNTIFS(Total!C:C,$N$3,Total!F:F, A162, Total!A:A, "&lt;&gt;")</f>
        <v>14</v>
      </c>
      <c r="E162">
        <f>COUNTIFS(Total!C:C,$N$5,Total!F:F, A162, Total!A:A, "&lt;&gt;")</f>
        <v>0</v>
      </c>
    </row>
    <row r="163" spans="1:5" x14ac:dyDescent="0.3">
      <c r="A163" s="1">
        <v>45913</v>
      </c>
      <c r="B163">
        <f>COUNTIFS(Total!F:F, A163, Total!A:A, "&lt;&gt;")</f>
        <v>0</v>
      </c>
      <c r="C163">
        <f>COUNTIFS(Total!C:C,$N$4,Total!F:F, A163, Total!A:A, "&lt;&gt;")</f>
        <v>0</v>
      </c>
      <c r="D163">
        <f>COUNTIFS(Total!C:C,$N$3,Total!F:F, A163, Total!A:A, "&lt;&gt;")</f>
        <v>0</v>
      </c>
      <c r="E163">
        <f>COUNTIFS(Total!C:C,$N$5,Total!F:F, A163, Total!A:A, "&lt;&gt;")</f>
        <v>0</v>
      </c>
    </row>
    <row r="164" spans="1:5" x14ac:dyDescent="0.3">
      <c r="A164" s="1">
        <v>45914</v>
      </c>
      <c r="B164">
        <f>COUNTIFS(Total!F:F, A164, Total!A:A, "&lt;&gt;")</f>
        <v>0</v>
      </c>
      <c r="C164">
        <f>COUNTIFS(Total!C:C,$N$4,Total!F:F, A164, Total!A:A, "&lt;&gt;")</f>
        <v>0</v>
      </c>
      <c r="D164">
        <f>COUNTIFS(Total!C:C,$N$3,Total!F:F, A164, Total!A:A, "&lt;&gt;")</f>
        <v>0</v>
      </c>
      <c r="E164">
        <f>COUNTIFS(Total!C:C,$N$5,Total!F:F, A164, Total!A:A, "&lt;&gt;")</f>
        <v>0</v>
      </c>
    </row>
    <row r="165" spans="1:5" x14ac:dyDescent="0.3">
      <c r="A165" s="1">
        <v>45915</v>
      </c>
      <c r="B165">
        <f>COUNTIFS(Total!F:F, A165, Total!A:A, "&lt;&gt;")</f>
        <v>14</v>
      </c>
      <c r="C165">
        <f>COUNTIFS(Total!C:C,$N$4,Total!F:F, A165, Total!A:A, "&lt;&gt;")</f>
        <v>3</v>
      </c>
      <c r="D165">
        <f>COUNTIFS(Total!C:C,$N$3,Total!F:F, A165, Total!A:A, "&lt;&gt;")</f>
        <v>11</v>
      </c>
      <c r="E165">
        <f>COUNTIFS(Total!C:C,$N$5,Total!F:F, A165, Total!A:A, "&lt;&gt;")</f>
        <v>0</v>
      </c>
    </row>
    <row r="166" spans="1:5" x14ac:dyDescent="0.3">
      <c r="A166" s="1">
        <v>45916</v>
      </c>
      <c r="B166">
        <f>COUNTIFS(Total!F:F, A166, Total!A:A, "&lt;&gt;")</f>
        <v>16</v>
      </c>
      <c r="C166">
        <f>COUNTIFS(Total!C:C,$N$4,Total!F:F, A166, Total!A:A, "&lt;&gt;")</f>
        <v>2</v>
      </c>
      <c r="D166">
        <f>COUNTIFS(Total!C:C,$N$3,Total!F:F, A166, Total!A:A, "&lt;&gt;")</f>
        <v>14</v>
      </c>
      <c r="E166">
        <f>COUNTIFS(Total!C:C,$N$5,Total!F:F, A166, Total!A:A, "&lt;&gt;")</f>
        <v>0</v>
      </c>
    </row>
    <row r="167" spans="1:5" x14ac:dyDescent="0.3">
      <c r="A167" s="1">
        <v>45917</v>
      </c>
      <c r="B167">
        <f>COUNTIFS(Total!F:F, A167, Total!A:A, "&lt;&gt;")</f>
        <v>20</v>
      </c>
      <c r="C167">
        <f>COUNTIFS(Total!C:C,$N$4,Total!F:F, A167, Total!A:A, "&lt;&gt;")</f>
        <v>7</v>
      </c>
      <c r="D167">
        <f>COUNTIFS(Total!C:C,$N$3,Total!F:F, A167, Total!A:A, "&lt;&gt;")</f>
        <v>13</v>
      </c>
      <c r="E167">
        <f>COUNTIFS(Total!C:C,$N$5,Total!F:F, A167, Total!A:A, "&lt;&gt;")</f>
        <v>0</v>
      </c>
    </row>
    <row r="168" spans="1:5" x14ac:dyDescent="0.3">
      <c r="A168" s="1">
        <v>45918</v>
      </c>
      <c r="B168">
        <f>COUNTIFS(Total!F:F, A168, Total!A:A, "&lt;&gt;")</f>
        <v>14</v>
      </c>
      <c r="C168">
        <f>COUNTIFS(Total!C:C,$N$4,Total!F:F, A168, Total!A:A, "&lt;&gt;")</f>
        <v>3</v>
      </c>
      <c r="D168">
        <f>COUNTIFS(Total!C:C,$N$3,Total!F:F, A168, Total!A:A, "&lt;&gt;")</f>
        <v>11</v>
      </c>
      <c r="E168">
        <f>COUNTIFS(Total!C:C,$N$5,Total!F:F, A168, Total!A:A, "&lt;&gt;")</f>
        <v>0</v>
      </c>
    </row>
    <row r="169" spans="1:5" x14ac:dyDescent="0.3">
      <c r="A169" s="1">
        <v>45919</v>
      </c>
      <c r="B169">
        <f>COUNTIFS(Total!F:F, A169, Total!A:A, "&lt;&gt;")</f>
        <v>15</v>
      </c>
      <c r="C169">
        <f>COUNTIFS(Total!C:C,$N$4,Total!F:F, A169, Total!A:A, "&lt;&gt;")</f>
        <v>3</v>
      </c>
      <c r="D169">
        <f>COUNTIFS(Total!C:C,$N$3,Total!F:F, A169, Total!A:A, "&lt;&gt;")</f>
        <v>12</v>
      </c>
      <c r="E169">
        <f>COUNTIFS(Total!C:C,$N$5,Total!F:F, A169, Total!A:A, "&lt;&gt;")</f>
        <v>0</v>
      </c>
    </row>
    <row r="170" spans="1:5" x14ac:dyDescent="0.3">
      <c r="A170" s="1">
        <v>45920</v>
      </c>
      <c r="B170">
        <f>COUNTIFS(Total!F:F, A170, Total!A:A, "&lt;&gt;")</f>
        <v>0</v>
      </c>
      <c r="C170">
        <f>COUNTIFS(Total!C:C,$N$4,Total!F:F, A170, Total!A:A, "&lt;&gt;")</f>
        <v>0</v>
      </c>
      <c r="D170">
        <f>COUNTIFS(Total!C:C,$N$3,Total!F:F, A170, Total!A:A, "&lt;&gt;")</f>
        <v>0</v>
      </c>
      <c r="E170">
        <f>COUNTIFS(Total!C:C,$N$5,Total!F:F, A170, Total!A:A, "&lt;&gt;")</f>
        <v>0</v>
      </c>
    </row>
    <row r="171" spans="1:5" x14ac:dyDescent="0.3">
      <c r="A171" s="1">
        <v>45921</v>
      </c>
      <c r="B171">
        <f>COUNTIFS(Total!F:F, A171, Total!A:A, "&lt;&gt;")</f>
        <v>0</v>
      </c>
      <c r="C171">
        <f>COUNTIFS(Total!C:C,$N$4,Total!F:F, A171, Total!A:A, "&lt;&gt;")</f>
        <v>0</v>
      </c>
      <c r="D171">
        <f>COUNTIFS(Total!C:C,$N$3,Total!F:F, A171, Total!A:A, "&lt;&gt;")</f>
        <v>0</v>
      </c>
      <c r="E171">
        <f>COUNTIFS(Total!C:C,$N$5,Total!F:F, A171, Total!A:A, "&lt;&gt;")</f>
        <v>0</v>
      </c>
    </row>
    <row r="172" spans="1:5" x14ac:dyDescent="0.3">
      <c r="A172" s="1">
        <v>45922</v>
      </c>
      <c r="B172">
        <f>COUNTIFS(Total!F:F, A172, Total!A:A, "&lt;&gt;")</f>
        <v>14</v>
      </c>
      <c r="C172">
        <f>COUNTIFS(Total!C:C,$N$4,Total!F:F, A172, Total!A:A, "&lt;&gt;")</f>
        <v>0</v>
      </c>
      <c r="D172">
        <f>COUNTIFS(Total!C:C,$N$3,Total!F:F, A172, Total!A:A, "&lt;&gt;")</f>
        <v>14</v>
      </c>
      <c r="E172">
        <f>COUNTIFS(Total!C:C,$N$5,Total!F:F, A172, Total!A:A, "&lt;&gt;")</f>
        <v>0</v>
      </c>
    </row>
    <row r="173" spans="1:5" x14ac:dyDescent="0.3">
      <c r="A173" s="1">
        <v>45923</v>
      </c>
      <c r="B173">
        <f>COUNTIFS(Total!F:F, A173, Total!A:A, "&lt;&gt;")</f>
        <v>18</v>
      </c>
      <c r="C173">
        <f>COUNTIFS(Total!C:C,$N$4,Total!F:F, A173, Total!A:A, "&lt;&gt;")</f>
        <v>1</v>
      </c>
      <c r="D173">
        <f>COUNTIFS(Total!C:C,$N$3,Total!F:F, A173, Total!A:A, "&lt;&gt;")</f>
        <v>17</v>
      </c>
      <c r="E173">
        <f>COUNTIFS(Total!C:C,$N$5,Total!F:F, A173, Total!A:A, "&lt;&gt;")</f>
        <v>0</v>
      </c>
    </row>
    <row r="174" spans="1:5" x14ac:dyDescent="0.3">
      <c r="A174" s="1">
        <v>45924</v>
      </c>
      <c r="B174">
        <f>COUNTIFS(Total!F:F, A174, Total!A:A, "&lt;&gt;")</f>
        <v>12</v>
      </c>
      <c r="C174">
        <f>COUNTIFS(Total!C:C,$N$4,Total!F:F, A174, Total!A:A, "&lt;&gt;")</f>
        <v>9</v>
      </c>
      <c r="D174">
        <f>COUNTIFS(Total!C:C,$N$3,Total!F:F, A174, Total!A:A, "&lt;&gt;")</f>
        <v>3</v>
      </c>
      <c r="E174">
        <f>COUNTIFS(Total!C:C,$N$5,Total!F:F, A174, Total!A:A, "&lt;&gt;")</f>
        <v>0</v>
      </c>
    </row>
    <row r="175" spans="1:5" x14ac:dyDescent="0.3">
      <c r="A175" s="1">
        <v>45925</v>
      </c>
      <c r="B175">
        <f>COUNTIFS(Total!F:F, A175, Total!A:A, "&lt;&gt;")</f>
        <v>20</v>
      </c>
      <c r="C175">
        <f>COUNTIFS(Total!C:C,$N$4,Total!F:F, A175, Total!A:A, "&lt;&gt;")</f>
        <v>6</v>
      </c>
      <c r="D175">
        <f>COUNTIFS(Total!C:C,$N$3,Total!F:F, A175, Total!A:A, "&lt;&gt;")</f>
        <v>14</v>
      </c>
      <c r="E175">
        <f>COUNTIFS(Total!C:C,$N$5,Total!F:F, A175, Total!A:A, "&lt;&gt;")</f>
        <v>0</v>
      </c>
    </row>
    <row r="176" spans="1:5" x14ac:dyDescent="0.3">
      <c r="A176" s="1">
        <v>45926</v>
      </c>
      <c r="B176">
        <f>COUNTIFS(Total!F:F, A176, Total!A:A, "&lt;&gt;")</f>
        <v>25</v>
      </c>
      <c r="C176">
        <f>COUNTIFS(Total!C:C,$N$4,Total!F:F, A176, Total!A:A, "&lt;&gt;")</f>
        <v>12</v>
      </c>
      <c r="D176">
        <f>COUNTIFS(Total!C:C,$N$3,Total!F:F, A176, Total!A:A, "&lt;&gt;")</f>
        <v>13</v>
      </c>
      <c r="E176">
        <f>COUNTIFS(Total!C:C,$N$5,Total!F:F, A176, Total!A:A, "&lt;&gt;")</f>
        <v>0</v>
      </c>
    </row>
    <row r="177" spans="1:5" x14ac:dyDescent="0.3">
      <c r="A177" s="1">
        <v>45927</v>
      </c>
      <c r="B177">
        <f>COUNTIFS(Total!F:F, A177, Total!A:A, "&lt;&gt;")</f>
        <v>0</v>
      </c>
      <c r="C177">
        <f>COUNTIFS(Total!C:C,$N$4,Total!F:F, A177, Total!A:A, "&lt;&gt;")</f>
        <v>0</v>
      </c>
      <c r="D177">
        <f>COUNTIFS(Total!C:C,$N$3,Total!F:F, A177, Total!A:A, "&lt;&gt;")</f>
        <v>0</v>
      </c>
      <c r="E177">
        <f>COUNTIFS(Total!C:C,$N$5,Total!F:F, A177, Total!A:A, "&lt;&gt;")</f>
        <v>0</v>
      </c>
    </row>
    <row r="178" spans="1:5" x14ac:dyDescent="0.3">
      <c r="A178" s="1">
        <v>45928</v>
      </c>
      <c r="B178">
        <f>COUNTIFS(Total!F:F, A178, Total!A:A, "&lt;&gt;")</f>
        <v>0</v>
      </c>
      <c r="C178">
        <f>COUNTIFS(Total!C:C,$N$4,Total!F:F, A178, Total!A:A, "&lt;&gt;")</f>
        <v>0</v>
      </c>
      <c r="D178">
        <f>COUNTIFS(Total!C:C,$N$3,Total!F:F, A178, Total!A:A, "&lt;&gt;")</f>
        <v>0</v>
      </c>
      <c r="E178">
        <f>COUNTIFS(Total!C:C,$N$5,Total!F:F, A178, Total!A:A, "&lt;&gt;")</f>
        <v>0</v>
      </c>
    </row>
    <row r="179" spans="1:5" x14ac:dyDescent="0.3">
      <c r="A179" s="1">
        <v>45929</v>
      </c>
      <c r="B179">
        <f>COUNTIFS(Total!F:F, A179, Total!A:A, "&lt;&gt;")</f>
        <v>16</v>
      </c>
      <c r="C179">
        <f>COUNTIFS(Total!C:C,$N$4,Total!F:F, A179, Total!A:A, "&lt;&gt;")</f>
        <v>8</v>
      </c>
      <c r="D179">
        <f>COUNTIFS(Total!C:C,$N$3,Total!F:F, A179, Total!A:A, "&lt;&gt;")</f>
        <v>8</v>
      </c>
      <c r="E179">
        <f>COUNTIFS(Total!C:C,$N$5,Total!F:F, A179, Total!A:A, "&lt;&gt;")</f>
        <v>0</v>
      </c>
    </row>
    <row r="180" spans="1:5" x14ac:dyDescent="0.3">
      <c r="A180" s="1">
        <v>45930</v>
      </c>
      <c r="B180">
        <f>COUNTIFS(Total!F:F, A180, Total!A:A, "&lt;&gt;")</f>
        <v>14</v>
      </c>
      <c r="C180">
        <f>COUNTIFS(Total!C:C,$N$4,Total!F:F, A180, Total!A:A, "&lt;&gt;")</f>
        <v>3</v>
      </c>
      <c r="D180">
        <f>COUNTIFS(Total!C:C,$N$3,Total!F:F, A180, Total!A:A, "&lt;&gt;")</f>
        <v>11</v>
      </c>
      <c r="E180">
        <f>COUNTIFS(Total!C:C,$N$5,Total!F:F, A180, Total!A:A, "&lt;&gt;")</f>
        <v>0</v>
      </c>
    </row>
    <row r="181" spans="1:5" x14ac:dyDescent="0.3">
      <c r="A181" s="1">
        <v>45931</v>
      </c>
      <c r="B181">
        <f>COUNTIFS(Total!F:F, A181, Total!A:A, "&lt;&gt;")</f>
        <v>27</v>
      </c>
      <c r="C181">
        <f>COUNTIFS(Total!C:C,$N$4,Total!F:F, A181, Total!A:A, "&lt;&gt;")</f>
        <v>7</v>
      </c>
      <c r="D181">
        <f>COUNTIFS(Total!C:C,$N$3,Total!F:F, A181, Total!A:A, "&lt;&gt;")</f>
        <v>20</v>
      </c>
      <c r="E181">
        <f>COUNTIFS(Total!C:C,$N$5,Total!F:F, A181, Total!A:A, "&lt;&gt;")</f>
        <v>0</v>
      </c>
    </row>
    <row r="182" spans="1:5" x14ac:dyDescent="0.3">
      <c r="A182" s="1">
        <v>45932</v>
      </c>
      <c r="B182">
        <f>COUNTIFS(Total!F:F, A182, Total!A:A, "&lt;&gt;")</f>
        <v>19</v>
      </c>
      <c r="C182">
        <f>COUNTIFS(Total!C:C,$N$4,Total!F:F, A182, Total!A:A, "&lt;&gt;")</f>
        <v>7</v>
      </c>
      <c r="D182">
        <f>COUNTIFS(Total!C:C,$N$3,Total!F:F, A182, Total!A:A, "&lt;&gt;")</f>
        <v>12</v>
      </c>
      <c r="E182">
        <f>COUNTIFS(Total!C:C,$N$5,Total!F:F, A182, Total!A:A, "&lt;&gt;")</f>
        <v>0</v>
      </c>
    </row>
    <row r="183" spans="1:5" x14ac:dyDescent="0.3">
      <c r="A183" s="1">
        <v>45933</v>
      </c>
      <c r="B183">
        <f>COUNTIFS(Total!F:F, A183, Total!A:A, "&lt;&gt;")</f>
        <v>13</v>
      </c>
      <c r="C183">
        <f>COUNTIFS(Total!C:C,$N$4,Total!F:F, A183, Total!A:A, "&lt;&gt;")</f>
        <v>5</v>
      </c>
      <c r="D183">
        <f>COUNTIFS(Total!C:C,$N$3,Total!F:F, A183, Total!A:A, "&lt;&gt;")</f>
        <v>8</v>
      </c>
      <c r="E183">
        <f>COUNTIFS(Total!C:C,$N$5,Total!F:F, A183, Total!A:A, "&lt;&gt;")</f>
        <v>0</v>
      </c>
    </row>
    <row r="184" spans="1:5" x14ac:dyDescent="0.3">
      <c r="A184" s="1">
        <v>45934</v>
      </c>
      <c r="B184">
        <f>COUNTIFS(Total!F:F, A184, Total!A:A, "&lt;&gt;")</f>
        <v>0</v>
      </c>
      <c r="C184">
        <f>COUNTIFS(Total!C:C,$N$4,Total!F:F, A184, Total!A:A, "&lt;&gt;")</f>
        <v>0</v>
      </c>
      <c r="D184">
        <f>COUNTIFS(Total!C:C,$N$3,Total!F:F, A184, Total!A:A, "&lt;&gt;")</f>
        <v>0</v>
      </c>
      <c r="E184">
        <f>COUNTIFS(Total!C:C,$N$5,Total!F:F, A184, Total!A:A, "&lt;&gt;")</f>
        <v>0</v>
      </c>
    </row>
    <row r="185" spans="1:5" x14ac:dyDescent="0.3">
      <c r="A185" s="1">
        <v>45935</v>
      </c>
      <c r="B185">
        <f>COUNTIFS(Total!F:F, A185, Total!A:A, "&lt;&gt;")</f>
        <v>0</v>
      </c>
      <c r="C185">
        <f>COUNTIFS(Total!C:C,$N$4,Total!F:F, A185, Total!A:A, "&lt;&gt;")</f>
        <v>0</v>
      </c>
      <c r="D185">
        <f>COUNTIFS(Total!C:C,$N$3,Total!F:F, A185, Total!A:A, "&lt;&gt;")</f>
        <v>0</v>
      </c>
      <c r="E185">
        <f>COUNTIFS(Total!C:C,$N$5,Total!F:F, A185, Total!A:A, "&lt;&gt;")</f>
        <v>0</v>
      </c>
    </row>
    <row r="186" spans="1:5" x14ac:dyDescent="0.3">
      <c r="A186" s="1">
        <v>45936</v>
      </c>
      <c r="B186">
        <f>COUNTIFS(Total!F:F, A186, Total!A:A, "&lt;&gt;")</f>
        <v>11</v>
      </c>
      <c r="C186">
        <f>COUNTIFS(Total!C:C,$N$4,Total!F:F, A186, Total!A:A, "&lt;&gt;")</f>
        <v>5</v>
      </c>
      <c r="D186">
        <f>COUNTIFS(Total!C:C,$N$3,Total!F:F, A186, Total!A:A, "&lt;&gt;")</f>
        <v>6</v>
      </c>
      <c r="E186">
        <f>COUNTIFS(Total!C:C,$N$5,Total!F:F, A186, Total!A:A, "&lt;&gt;")</f>
        <v>0</v>
      </c>
    </row>
    <row r="187" spans="1:5" x14ac:dyDescent="0.3">
      <c r="A187" s="1">
        <v>45937</v>
      </c>
      <c r="B187">
        <f>COUNTIFS(Total!F:F, A187, Total!A:A, "&lt;&gt;")</f>
        <v>22</v>
      </c>
      <c r="C187">
        <f>COUNTIFS(Total!C:C,$N$4,Total!F:F, A187, Total!A:A, "&lt;&gt;")</f>
        <v>2</v>
      </c>
      <c r="D187">
        <f>COUNTIFS(Total!C:C,$N$3,Total!F:F, A187, Total!A:A, "&lt;&gt;")</f>
        <v>20</v>
      </c>
      <c r="E187">
        <f>COUNTIFS(Total!C:C,$N$5,Total!F:F, A187, Total!A:A, "&lt;&gt;")</f>
        <v>0</v>
      </c>
    </row>
    <row r="188" spans="1:5" x14ac:dyDescent="0.3">
      <c r="A188" s="1">
        <v>45938</v>
      </c>
      <c r="B188">
        <f>COUNTIFS(Total!F:F, A188, Total!A:A, "&lt;&gt;")</f>
        <v>23</v>
      </c>
      <c r="C188">
        <f>COUNTIFS(Total!C:C,$N$4,Total!F:F, A188, Total!A:A, "&lt;&gt;")</f>
        <v>2</v>
      </c>
      <c r="D188">
        <f>COUNTIFS(Total!C:C,$N$3,Total!F:F, A188, Total!A:A, "&lt;&gt;")</f>
        <v>21</v>
      </c>
      <c r="E188">
        <f>COUNTIFS(Total!C:C,$N$5,Total!F:F, A188, Total!A:A, "&lt;&gt;")</f>
        <v>0</v>
      </c>
    </row>
    <row r="189" spans="1:5" x14ac:dyDescent="0.3">
      <c r="A189" s="1">
        <v>45939</v>
      </c>
      <c r="B189">
        <f>COUNTIFS(Total!F:F, A189, Total!A:A, "&lt;&gt;")</f>
        <v>12</v>
      </c>
      <c r="C189">
        <f>COUNTIFS(Total!C:C,$N$4,Total!F:F, A189, Total!A:A, "&lt;&gt;")</f>
        <v>1</v>
      </c>
      <c r="D189">
        <f>COUNTIFS(Total!C:C,$N$3,Total!F:F, A189, Total!A:A, "&lt;&gt;")</f>
        <v>11</v>
      </c>
      <c r="E189">
        <f>COUNTIFS(Total!C:C,$N$5,Total!F:F, A189, Total!A:A, "&lt;&gt;")</f>
        <v>0</v>
      </c>
    </row>
    <row r="190" spans="1:5" x14ac:dyDescent="0.3">
      <c r="A190" s="1">
        <v>45940</v>
      </c>
      <c r="B190">
        <f>COUNTIFS(Total!F:F, A190, Total!A:A, "&lt;&gt;")</f>
        <v>0</v>
      </c>
      <c r="C190">
        <f>COUNTIFS(Total!C:C,$N$4,Total!F:F, A190, Total!A:A, "&lt;&gt;")</f>
        <v>0</v>
      </c>
      <c r="D190">
        <f>COUNTIFS(Total!C:C,$N$3,Total!F:F, A190, Total!A:A, "&lt;&gt;")</f>
        <v>0</v>
      </c>
      <c r="E190">
        <f>COUNTIFS(Total!C:C,$N$5,Total!F:F, A190, Total!A:A, "&lt;&gt;")</f>
        <v>0</v>
      </c>
    </row>
    <row r="191" spans="1:5" x14ac:dyDescent="0.3">
      <c r="A191" s="1">
        <v>45941</v>
      </c>
      <c r="B191">
        <f>COUNTIFS(Total!F:F, A191, Total!A:A, "&lt;&gt;")</f>
        <v>0</v>
      </c>
      <c r="C191">
        <f>COUNTIFS(Total!C:C,$N$4,Total!F:F, A191, Total!A:A, "&lt;&gt;")</f>
        <v>0</v>
      </c>
      <c r="D191">
        <f>COUNTIFS(Total!C:C,$N$3,Total!F:F, A191, Total!A:A, "&lt;&gt;")</f>
        <v>0</v>
      </c>
      <c r="E191">
        <f>COUNTIFS(Total!C:C,$N$5,Total!F:F, A191, Total!A:A, "&lt;&gt;")</f>
        <v>0</v>
      </c>
    </row>
    <row r="192" spans="1:5" x14ac:dyDescent="0.3">
      <c r="A192" s="1">
        <v>45942</v>
      </c>
      <c r="B192">
        <f>COUNTIFS(Total!F:F, A192, Total!A:A, "&lt;&gt;")</f>
        <v>0</v>
      </c>
      <c r="C192">
        <f>COUNTIFS(Total!C:C,$N$4,Total!F:F, A192, Total!A:A, "&lt;&gt;")</f>
        <v>0</v>
      </c>
      <c r="D192">
        <f>COUNTIFS(Total!C:C,$N$3,Total!F:F, A192, Total!A:A, "&lt;&gt;")</f>
        <v>0</v>
      </c>
      <c r="E192">
        <f>COUNTIFS(Total!C:C,$N$5,Total!F:F, A192, Total!A:A, "&lt;&gt;")</f>
        <v>0</v>
      </c>
    </row>
    <row r="193" spans="1:5" x14ac:dyDescent="0.3">
      <c r="A193" s="1">
        <v>45943</v>
      </c>
      <c r="B193">
        <f>COUNTIFS(Total!F:F, A193, Total!A:A, "&lt;&gt;")</f>
        <v>0</v>
      </c>
      <c r="C193">
        <f>COUNTIFS(Total!C:C,$N$4,Total!F:F, A193, Total!A:A, "&lt;&gt;")</f>
        <v>0</v>
      </c>
      <c r="D193">
        <f>COUNTIFS(Total!C:C,$N$3,Total!F:F, A193, Total!A:A, "&lt;&gt;")</f>
        <v>0</v>
      </c>
      <c r="E193">
        <f>COUNTIFS(Total!C:C,$N$5,Total!F:F, A193, Total!A:A, "&lt;&gt;")</f>
        <v>0</v>
      </c>
    </row>
    <row r="194" spans="1:5" x14ac:dyDescent="0.3">
      <c r="A194" s="1">
        <v>45944</v>
      </c>
      <c r="B194">
        <f>COUNTIFS(Total!F:F, A194, Total!A:A, "&lt;&gt;")</f>
        <v>18</v>
      </c>
      <c r="C194">
        <f>COUNTIFS(Total!C:C,$N$4,Total!F:F, A194, Total!A:A, "&lt;&gt;")</f>
        <v>7</v>
      </c>
      <c r="D194">
        <f>COUNTIFS(Total!C:C,$N$3,Total!F:F, A194, Total!A:A, "&lt;&gt;")</f>
        <v>11</v>
      </c>
      <c r="E194">
        <f>COUNTIFS(Total!C:C,$N$5,Total!F:F, A194, Total!A:A, "&lt;&gt;")</f>
        <v>0</v>
      </c>
    </row>
    <row r="195" spans="1:5" x14ac:dyDescent="0.3">
      <c r="A195" s="1">
        <v>45945</v>
      </c>
      <c r="B195">
        <f>COUNTIFS(Total!F:F, A195, Total!A:A, "&lt;&gt;")</f>
        <v>13</v>
      </c>
      <c r="C195">
        <f>COUNTIFS(Total!C:C,$N$4,Total!F:F, A195, Total!A:A, "&lt;&gt;")</f>
        <v>6</v>
      </c>
      <c r="D195">
        <f>COUNTIFS(Total!C:C,$N$3,Total!F:F, A195, Total!A:A, "&lt;&gt;")</f>
        <v>7</v>
      </c>
      <c r="E195">
        <f>COUNTIFS(Total!C:C,$N$5,Total!F:F, A195, Total!A:A, "&lt;&gt;")</f>
        <v>0</v>
      </c>
    </row>
    <row r="196" spans="1:5" x14ac:dyDescent="0.3">
      <c r="A196" s="1">
        <v>45946</v>
      </c>
      <c r="B196">
        <f>COUNTIFS(Total!F:F, A196, Total!A:A, "&lt;&gt;")</f>
        <v>11</v>
      </c>
      <c r="C196">
        <f>COUNTIFS(Total!C:C,$N$4,Total!F:F, A196, Total!A:A, "&lt;&gt;")</f>
        <v>2</v>
      </c>
      <c r="D196">
        <f>COUNTIFS(Total!C:C,$N$3,Total!F:F, A196, Total!A:A, "&lt;&gt;")</f>
        <v>9</v>
      </c>
      <c r="E196">
        <f>COUNTIFS(Total!C:C,$N$5,Total!F:F, A196, Total!A:A, "&lt;&gt;")</f>
        <v>0</v>
      </c>
    </row>
    <row r="197" spans="1:5" x14ac:dyDescent="0.3">
      <c r="A197" s="1">
        <v>45947</v>
      </c>
      <c r="B197">
        <f>COUNTIFS(Total!F:F, A197, Total!A:A, "&lt;&gt;")</f>
        <v>15</v>
      </c>
      <c r="C197">
        <f>COUNTIFS(Total!C:C,$N$4,Total!F:F, A197, Total!A:A, "&lt;&gt;")</f>
        <v>8</v>
      </c>
      <c r="D197">
        <f>COUNTIFS(Total!C:C,$N$3,Total!F:F, A197, Total!A:A, "&lt;&gt;")</f>
        <v>7</v>
      </c>
      <c r="E197">
        <f>COUNTIFS(Total!C:C,$N$5,Total!F:F, A197, Total!A:A, "&lt;&gt;")</f>
        <v>0</v>
      </c>
    </row>
    <row r="198" spans="1:5" x14ac:dyDescent="0.3">
      <c r="A198" s="1">
        <v>45948</v>
      </c>
      <c r="B198">
        <f>COUNTIFS(Total!F:F, A198, Total!A:A, "&lt;&gt;")</f>
        <v>0</v>
      </c>
      <c r="C198">
        <f>COUNTIFS(Total!C:C,$N$4,Total!F:F, A198, Total!A:A, "&lt;&gt;")</f>
        <v>0</v>
      </c>
      <c r="D198">
        <f>COUNTIFS(Total!C:C,$N$3,Total!F:F, A198, Total!A:A, "&lt;&gt;")</f>
        <v>0</v>
      </c>
      <c r="E198">
        <f>COUNTIFS(Total!C:C,$N$5,Total!F:F, A198, Total!A:A, "&lt;&gt;")</f>
        <v>0</v>
      </c>
    </row>
    <row r="199" spans="1:5" x14ac:dyDescent="0.3">
      <c r="A199" s="1">
        <v>45949</v>
      </c>
      <c r="B199">
        <f>COUNTIFS(Total!F:F, A199, Total!A:A, "&lt;&gt;")</f>
        <v>0</v>
      </c>
      <c r="C199">
        <f>COUNTIFS(Total!C:C,$N$4,Total!F:F, A199, Total!A:A, "&lt;&gt;")</f>
        <v>0</v>
      </c>
      <c r="D199">
        <f>COUNTIFS(Total!C:C,$N$3,Total!F:F, A199, Total!A:A, "&lt;&gt;")</f>
        <v>0</v>
      </c>
      <c r="E199">
        <f>COUNTIFS(Total!C:C,$N$5,Total!F:F, A199, Total!A:A, "&lt;&gt;")</f>
        <v>0</v>
      </c>
    </row>
    <row r="200" spans="1:5" x14ac:dyDescent="0.3">
      <c r="A200" s="1">
        <v>45950</v>
      </c>
      <c r="B200">
        <f>COUNTIFS(Total!F:F, A200, Total!A:A, "&lt;&gt;")</f>
        <v>20</v>
      </c>
      <c r="C200">
        <f>COUNTIFS(Total!C:C,$N$4,Total!F:F, A200, Total!A:A, "&lt;&gt;")</f>
        <v>2</v>
      </c>
      <c r="D200">
        <f>COUNTIFS(Total!C:C,$N$3,Total!F:F, A200, Total!A:A, "&lt;&gt;")</f>
        <v>18</v>
      </c>
      <c r="E200">
        <f>COUNTIFS(Total!C:C,$N$5,Total!F:F, A200, Total!A:A, "&lt;&gt;")</f>
        <v>0</v>
      </c>
    </row>
    <row r="201" spans="1:5" x14ac:dyDescent="0.3">
      <c r="A201" s="1">
        <v>45951</v>
      </c>
      <c r="B201">
        <f>COUNTIFS(Total!F:F, A201, Total!A:A, "&lt;&gt;")</f>
        <v>15</v>
      </c>
      <c r="C201">
        <f>COUNTIFS(Total!C:C,$N$4,Total!F:F, A201, Total!A:A, "&lt;&gt;")</f>
        <v>1</v>
      </c>
      <c r="D201">
        <f>COUNTIFS(Total!C:C,$N$3,Total!F:F, A201, Total!A:A, "&lt;&gt;")</f>
        <v>14</v>
      </c>
      <c r="E201">
        <f>COUNTIFS(Total!C:C,$N$5,Total!F:F, A201, Total!A:A, "&lt;&gt;")</f>
        <v>0</v>
      </c>
    </row>
    <row r="202" spans="1:5" x14ac:dyDescent="0.3">
      <c r="A202" s="1">
        <v>45952</v>
      </c>
      <c r="B202">
        <f>COUNTIFS(Total!F:F, A202, Total!A:A, "&lt;&gt;")</f>
        <v>14</v>
      </c>
      <c r="C202">
        <f>COUNTIFS(Total!C:C,$N$4,Total!F:F, A202, Total!A:A, "&lt;&gt;")</f>
        <v>3</v>
      </c>
      <c r="D202">
        <f>COUNTIFS(Total!C:C,$N$3,Total!F:F, A202, Total!A:A, "&lt;&gt;")</f>
        <v>11</v>
      </c>
      <c r="E202">
        <f>COUNTIFS(Total!C:C,$N$5,Total!F:F, A202, Total!A:A, "&lt;&gt;")</f>
        <v>0</v>
      </c>
    </row>
    <row r="203" spans="1:5" x14ac:dyDescent="0.3">
      <c r="A203" s="1">
        <v>45953</v>
      </c>
      <c r="B203">
        <f>COUNTIFS(Total!F:F, A203, Total!A:A, "&lt;&gt;")</f>
        <v>20</v>
      </c>
      <c r="C203">
        <f>COUNTIFS(Total!C:C,$N$4,Total!F:F, A203, Total!A:A, "&lt;&gt;")</f>
        <v>2</v>
      </c>
      <c r="D203">
        <f>COUNTIFS(Total!C:C,$N$3,Total!F:F, A203, Total!A:A, "&lt;&gt;")</f>
        <v>18</v>
      </c>
      <c r="E203">
        <f>COUNTIFS(Total!C:C,$N$5,Total!F:F, A203, Total!A:A, "&lt;&gt;")</f>
        <v>0</v>
      </c>
    </row>
    <row r="204" spans="1:5" x14ac:dyDescent="0.3">
      <c r="A204" s="1">
        <v>45954</v>
      </c>
      <c r="B204">
        <f>COUNTIFS(Total!F:F, A204, Total!A:A, "&lt;&gt;")</f>
        <v>15</v>
      </c>
      <c r="C204">
        <f>COUNTIFS(Total!C:C,$N$4,Total!F:F, A204, Total!A:A, "&lt;&gt;")</f>
        <v>3</v>
      </c>
      <c r="D204">
        <f>COUNTIFS(Total!C:C,$N$3,Total!F:F, A204, Total!A:A, "&lt;&gt;")</f>
        <v>12</v>
      </c>
      <c r="E204">
        <f>COUNTIFS(Total!C:C,$N$5,Total!F:F, A204, Total!A:A, "&lt;&gt;")</f>
        <v>0</v>
      </c>
    </row>
    <row r="205" spans="1:5" x14ac:dyDescent="0.3">
      <c r="A205" s="1">
        <v>45955</v>
      </c>
      <c r="B205">
        <f>COUNTIFS(Total!F:F, A205, Total!A:A, "&lt;&gt;")</f>
        <v>0</v>
      </c>
      <c r="C205">
        <f>COUNTIFS(Total!C:C,$N$4,Total!F:F, A205, Total!A:A, "&lt;&gt;")</f>
        <v>0</v>
      </c>
      <c r="D205">
        <f>COUNTIFS(Total!C:C,$N$3,Total!F:F, A205, Total!A:A, "&lt;&gt;")</f>
        <v>0</v>
      </c>
      <c r="E205">
        <f>COUNTIFS(Total!C:C,$N$5,Total!F:F, A205, Total!A:A, "&lt;&gt;")</f>
        <v>0</v>
      </c>
    </row>
    <row r="206" spans="1:5" x14ac:dyDescent="0.3">
      <c r="A206" s="1">
        <v>45956</v>
      </c>
      <c r="B206">
        <f>COUNTIFS(Total!F:F, A206, Total!A:A, "&lt;&gt;")</f>
        <v>0</v>
      </c>
      <c r="C206">
        <f>COUNTIFS(Total!C:C,$N$4,Total!F:F, A206, Total!A:A, "&lt;&gt;")</f>
        <v>0</v>
      </c>
      <c r="D206">
        <f>COUNTIFS(Total!C:C,$N$3,Total!F:F, A206, Total!A:A, "&lt;&gt;")</f>
        <v>0</v>
      </c>
      <c r="E206">
        <f>COUNTIFS(Total!C:C,$N$5,Total!F:F, A206, Total!A:A, "&lt;&gt;")</f>
        <v>0</v>
      </c>
    </row>
    <row r="207" spans="1:5" x14ac:dyDescent="0.3">
      <c r="A207" s="1">
        <v>45957</v>
      </c>
      <c r="B207">
        <f>COUNTIFS(Total!F:F, A207, Total!A:A, "&lt;&gt;")</f>
        <v>22</v>
      </c>
      <c r="C207">
        <f>COUNTIFS(Total!C:C,$N$4,Total!F:F, A207, Total!A:A, "&lt;&gt;")</f>
        <v>1</v>
      </c>
      <c r="D207">
        <f>COUNTIFS(Total!C:C,$N$3,Total!F:F, A207, Total!A:A, "&lt;&gt;")</f>
        <v>21</v>
      </c>
      <c r="E207">
        <f>COUNTIFS(Total!C:C,$N$5,Total!F:F, A207, Total!A:A, "&lt;&gt;")</f>
        <v>0</v>
      </c>
    </row>
    <row r="208" spans="1:5" x14ac:dyDescent="0.3">
      <c r="A208" s="1">
        <v>45958</v>
      </c>
      <c r="B208">
        <f>COUNTIFS(Total!F:F, A208, Total!A:A, "&lt;&gt;")</f>
        <v>28</v>
      </c>
      <c r="C208">
        <f>COUNTIFS(Total!C:C,$N$4,Total!F:F, A208, Total!A:A, "&lt;&gt;")</f>
        <v>3</v>
      </c>
      <c r="D208">
        <f>COUNTIFS(Total!C:C,$N$3,Total!F:F, A208, Total!A:A, "&lt;&gt;")</f>
        <v>25</v>
      </c>
      <c r="E208">
        <f>COUNTIFS(Total!C:C,$N$5,Total!F:F, A208, Total!A:A, "&lt;&gt;")</f>
        <v>0</v>
      </c>
    </row>
    <row r="209" spans="1:5" x14ac:dyDescent="0.3">
      <c r="A209" s="1">
        <v>45959</v>
      </c>
      <c r="B209">
        <f>COUNTIFS(Total!F:F, A209, Total!A:A, "&lt;&gt;")</f>
        <v>13</v>
      </c>
      <c r="C209">
        <f>COUNTIFS(Total!C:C,$N$4,Total!F:F, A209, Total!A:A, "&lt;&gt;")</f>
        <v>1</v>
      </c>
      <c r="D209">
        <f>COUNTIFS(Total!C:C,$N$3,Total!F:F, A209, Total!A:A, "&lt;&gt;")</f>
        <v>12</v>
      </c>
      <c r="E209">
        <f>COUNTIFS(Total!C:C,$N$5,Total!F:F, A209, Total!A:A, "&lt;&gt;")</f>
        <v>0</v>
      </c>
    </row>
    <row r="210" spans="1:5" x14ac:dyDescent="0.3">
      <c r="A210" s="1">
        <v>45960</v>
      </c>
      <c r="B210">
        <f>COUNTIFS(Total!F:F, A210, Total!A:A, "&lt;&gt;")</f>
        <v>7</v>
      </c>
      <c r="C210">
        <f>COUNTIFS(Total!C:C,$N$4,Total!F:F, A210, Total!A:A, "&lt;&gt;")</f>
        <v>2</v>
      </c>
      <c r="D210">
        <f>COUNTIFS(Total!C:C,$N$3,Total!F:F, A210, Total!A:A, "&lt;&gt;")</f>
        <v>5</v>
      </c>
      <c r="E210">
        <f>COUNTIFS(Total!C:C,$N$5,Total!F:F, A210, Total!A:A, "&lt;&gt;")</f>
        <v>0</v>
      </c>
    </row>
    <row r="211" spans="1:5" x14ac:dyDescent="0.3">
      <c r="A211" s="1">
        <v>45961</v>
      </c>
      <c r="B211">
        <f>COUNTIFS(Total!F:F, A211, Total!A:A, "&lt;&gt;")</f>
        <v>17</v>
      </c>
      <c r="C211">
        <f>COUNTIFS(Total!C:C,$N$4,Total!F:F, A211, Total!A:A, "&lt;&gt;")</f>
        <v>4</v>
      </c>
      <c r="D211">
        <f>COUNTIFS(Total!C:C,$N$3,Total!F:F, A211, Total!A:A, "&lt;&gt;")</f>
        <v>13</v>
      </c>
      <c r="E211">
        <f>COUNTIFS(Total!C:C,$N$5,Total!F:F, A211, Total!A:A, "&lt;&gt;")</f>
        <v>0</v>
      </c>
    </row>
    <row r="212" spans="1:5" x14ac:dyDescent="0.3">
      <c r="A212" s="1">
        <v>45962</v>
      </c>
      <c r="B212">
        <f>COUNTIFS(Total!F:F, A212, Total!A:A, "&lt;&gt;")</f>
        <v>0</v>
      </c>
      <c r="C212">
        <f>COUNTIFS(Total!C:C,$N$4,Total!F:F, A212, Total!A:A, "&lt;&gt;")</f>
        <v>0</v>
      </c>
      <c r="D212">
        <f>COUNTIFS(Total!C:C,$N$3,Total!F:F, A212, Total!A:A, "&lt;&gt;")</f>
        <v>0</v>
      </c>
      <c r="E212">
        <f>COUNTIFS(Total!C:C,$N$5,Total!F:F, A212, Total!A:A, "&lt;&gt;")</f>
        <v>0</v>
      </c>
    </row>
    <row r="213" spans="1:5" x14ac:dyDescent="0.3">
      <c r="A213" s="1">
        <v>45963</v>
      </c>
      <c r="B213">
        <f>COUNTIFS(Total!F:F, A213, Total!A:A, "&lt;&gt;")</f>
        <v>0</v>
      </c>
      <c r="C213">
        <f>COUNTIFS(Total!C:C,$N$4,Total!F:F, A213, Total!A:A, "&lt;&gt;")</f>
        <v>0</v>
      </c>
      <c r="D213">
        <f>COUNTIFS(Total!C:C,$N$3,Total!F:F, A213, Total!A:A, "&lt;&gt;")</f>
        <v>0</v>
      </c>
      <c r="E213">
        <f>COUNTIFS(Total!C:C,$N$5,Total!F:F, A213, Total!A:A, "&lt;&gt;")</f>
        <v>0</v>
      </c>
    </row>
    <row r="214" spans="1:5" x14ac:dyDescent="0.3">
      <c r="A214" s="1">
        <v>45964</v>
      </c>
      <c r="B214">
        <f>COUNTIFS(Total!F:F, A214, Total!A:A, "&lt;&gt;")</f>
        <v>12</v>
      </c>
      <c r="C214">
        <f>COUNTIFS(Total!C:C,$N$4,Total!F:F, A214, Total!A:A, "&lt;&gt;")</f>
        <v>5</v>
      </c>
      <c r="D214">
        <f>COUNTIFS(Total!C:C,$N$3,Total!F:F, A214, Total!A:A, "&lt;&gt;")</f>
        <v>7</v>
      </c>
      <c r="E214">
        <f>COUNTIFS(Total!C:C,$N$5,Total!F:F, A214, Total!A:A, "&lt;&gt;")</f>
        <v>0</v>
      </c>
    </row>
    <row r="215" spans="1:5" x14ac:dyDescent="0.3">
      <c r="A215" s="1">
        <v>45965</v>
      </c>
      <c r="B215">
        <f>COUNTIFS(Total!F:F, A215, Total!A:A, "&lt;&gt;")</f>
        <v>17</v>
      </c>
      <c r="C215">
        <f>COUNTIFS(Total!C:C,$N$4,Total!F:F, A215, Total!A:A, "&lt;&gt;")</f>
        <v>3</v>
      </c>
      <c r="D215">
        <f>COUNTIFS(Total!C:C,$N$3,Total!F:F, A215, Total!A:A, "&lt;&gt;")</f>
        <v>14</v>
      </c>
      <c r="E215">
        <f>COUNTIFS(Total!C:C,$N$5,Total!F:F, A215, Total!A:A, "&lt;&gt;")</f>
        <v>0</v>
      </c>
    </row>
    <row r="216" spans="1:5" x14ac:dyDescent="0.3">
      <c r="A216" s="1">
        <v>45966</v>
      </c>
      <c r="B216">
        <f>COUNTIFS(Total!F:F, A216, Total!A:A, "&lt;&gt;")</f>
        <v>8</v>
      </c>
      <c r="C216">
        <f>COUNTIFS(Total!C:C,$N$4,Total!F:F, A216, Total!A:A, "&lt;&gt;")</f>
        <v>3</v>
      </c>
      <c r="D216">
        <f>COUNTIFS(Total!C:C,$N$3,Total!F:F, A216, Total!A:A, "&lt;&gt;")</f>
        <v>5</v>
      </c>
      <c r="E216">
        <f>COUNTIFS(Total!C:C,$N$5,Total!F:F, A216, Total!A:A, "&lt;&gt;")</f>
        <v>0</v>
      </c>
    </row>
    <row r="217" spans="1:5" x14ac:dyDescent="0.3">
      <c r="A217" s="1">
        <v>45967</v>
      </c>
      <c r="B217">
        <f>COUNTIFS(Total!F:F, A217, Total!A:A, "&lt;&gt;")</f>
        <v>23</v>
      </c>
      <c r="C217">
        <f>COUNTIFS(Total!C:C,$N$4,Total!F:F, A217, Total!A:A, "&lt;&gt;")</f>
        <v>4</v>
      </c>
      <c r="D217">
        <f>COUNTIFS(Total!C:C,$N$3,Total!F:F, A217, Total!A:A, "&lt;&gt;")</f>
        <v>19</v>
      </c>
      <c r="E217">
        <f>COUNTIFS(Total!C:C,$N$5,Total!F:F, A217, Total!A:A, "&lt;&gt;")</f>
        <v>0</v>
      </c>
    </row>
    <row r="218" spans="1:5" x14ac:dyDescent="0.3">
      <c r="A218" s="1">
        <v>45968</v>
      </c>
      <c r="B218">
        <f>COUNTIFS(Total!F:F, A218, Total!A:A, "&lt;&gt;")</f>
        <v>11</v>
      </c>
      <c r="C218">
        <f>COUNTIFS(Total!C:C,$N$4,Total!F:F, A218, Total!A:A, "&lt;&gt;")</f>
        <v>4</v>
      </c>
      <c r="D218">
        <f>COUNTIFS(Total!C:C,$N$3,Total!F:F, A218, Total!A:A, "&lt;&gt;")</f>
        <v>7</v>
      </c>
      <c r="E218">
        <f>COUNTIFS(Total!C:C,$N$5,Total!F:F, A218, Total!A:A, "&lt;&gt;")</f>
        <v>0</v>
      </c>
    </row>
    <row r="219" spans="1:5" x14ac:dyDescent="0.3">
      <c r="A219" s="1">
        <v>45969</v>
      </c>
      <c r="B219">
        <f>COUNTIFS(Total!F:F, A219, Total!A:A, "&lt;&gt;")</f>
        <v>0</v>
      </c>
      <c r="C219">
        <f>COUNTIFS(Total!C:C,$N$4,Total!F:F, A219, Total!A:A, "&lt;&gt;")</f>
        <v>0</v>
      </c>
      <c r="D219">
        <f>COUNTIFS(Total!C:C,$N$3,Total!F:F, A219, Total!A:A, "&lt;&gt;")</f>
        <v>0</v>
      </c>
      <c r="E219">
        <f>COUNTIFS(Total!C:C,$N$5,Total!F:F, A219, Total!A:A, "&lt;&gt;")</f>
        <v>0</v>
      </c>
    </row>
    <row r="220" spans="1:5" x14ac:dyDescent="0.3">
      <c r="A220" s="1">
        <v>45970</v>
      </c>
      <c r="B220">
        <f>COUNTIFS(Total!F:F, A220, Total!A:A, "&lt;&gt;")</f>
        <v>0</v>
      </c>
      <c r="C220">
        <f>COUNTIFS(Total!C:C,$N$4,Total!F:F, A220, Total!A:A, "&lt;&gt;")</f>
        <v>0</v>
      </c>
      <c r="D220">
        <f>COUNTIFS(Total!C:C,$N$3,Total!F:F, A220, Total!A:A, "&lt;&gt;")</f>
        <v>0</v>
      </c>
      <c r="E220">
        <f>COUNTIFS(Total!C:C,$N$5,Total!F:F, A220, Total!A:A, "&lt;&gt;")</f>
        <v>0</v>
      </c>
    </row>
    <row r="221" spans="1:5" x14ac:dyDescent="0.3">
      <c r="A221" s="1">
        <v>45971</v>
      </c>
      <c r="B221">
        <f>COUNTIFS(Total!F:F, A221, Total!A:A, "&lt;&gt;")</f>
        <v>15</v>
      </c>
      <c r="C221">
        <f>COUNTIFS(Total!C:C,$N$4,Total!F:F, A221, Total!A:A, "&lt;&gt;")</f>
        <v>4</v>
      </c>
      <c r="D221">
        <f>COUNTIFS(Total!C:C,$N$3,Total!F:F, A221, Total!A:A, "&lt;&gt;")</f>
        <v>11</v>
      </c>
      <c r="E221">
        <f>COUNTIFS(Total!C:C,$N$5,Total!F:F, A221, Total!A:A, "&lt;&gt;")</f>
        <v>0</v>
      </c>
    </row>
    <row r="222" spans="1:5" x14ac:dyDescent="0.3">
      <c r="A222" s="1">
        <v>45972</v>
      </c>
      <c r="B222">
        <f>COUNTIFS(Total!F:F, A222, Total!A:A, "&lt;&gt;")</f>
        <v>15</v>
      </c>
      <c r="C222">
        <f>COUNTIFS(Total!C:C,$N$4,Total!F:F, A222, Total!A:A, "&lt;&gt;")</f>
        <v>5</v>
      </c>
      <c r="D222">
        <f>COUNTIFS(Total!C:C,$N$3,Total!F:F, A222, Total!A:A, "&lt;&gt;")</f>
        <v>10</v>
      </c>
      <c r="E222">
        <f>COUNTIFS(Total!C:C,$N$5,Total!F:F, A222, Total!A:A, "&lt;&gt;")</f>
        <v>0</v>
      </c>
    </row>
    <row r="223" spans="1:5" x14ac:dyDescent="0.3">
      <c r="A223" s="1">
        <v>45973</v>
      </c>
      <c r="B223">
        <f>COUNTIFS(Total!F:F, A223, Total!A:A, "&lt;&gt;")</f>
        <v>11</v>
      </c>
      <c r="C223">
        <f>COUNTIFS(Total!C:C,$N$4,Total!F:F, A223, Total!A:A, "&lt;&gt;")</f>
        <v>3</v>
      </c>
      <c r="D223">
        <f>COUNTIFS(Total!C:C,$N$3,Total!F:F, A223, Total!A:A, "&lt;&gt;")</f>
        <v>8</v>
      </c>
      <c r="E223">
        <f>COUNTIFS(Total!C:C,$N$5,Total!F:F, A223, Total!A:A, "&lt;&gt;")</f>
        <v>0</v>
      </c>
    </row>
    <row r="224" spans="1:5" x14ac:dyDescent="0.3">
      <c r="A224" s="1">
        <v>45974</v>
      </c>
      <c r="B224">
        <f>COUNTIFS(Total!F:F, A224, Total!A:A, "&lt;&gt;")</f>
        <v>11</v>
      </c>
      <c r="C224">
        <f>COUNTIFS(Total!C:C,$N$4,Total!F:F, A224, Total!A:A, "&lt;&gt;")</f>
        <v>4</v>
      </c>
      <c r="D224">
        <f>COUNTIFS(Total!C:C,$N$3,Total!F:F, A224, Total!A:A, "&lt;&gt;")</f>
        <v>7</v>
      </c>
      <c r="E224">
        <f>COUNTIFS(Total!C:C,$N$5,Total!F:F, A224, Total!A:A, "&lt;&gt;")</f>
        <v>0</v>
      </c>
    </row>
    <row r="225" spans="1:5" x14ac:dyDescent="0.3">
      <c r="A225" s="1">
        <v>45975</v>
      </c>
      <c r="B225">
        <f>COUNTIFS(Total!F:F, A225, Total!A:A, "&lt;&gt;")</f>
        <v>12</v>
      </c>
      <c r="C225">
        <f>COUNTIFS(Total!C:C,$N$4,Total!F:F, A225, Total!A:A, "&lt;&gt;")</f>
        <v>5</v>
      </c>
      <c r="D225">
        <f>COUNTIFS(Total!C:C,$N$3,Total!F:F, A225, Total!A:A, "&lt;&gt;")</f>
        <v>7</v>
      </c>
      <c r="E225">
        <f>COUNTIFS(Total!C:C,$N$5,Total!F:F, A225, Total!A:A, "&lt;&gt;")</f>
        <v>0</v>
      </c>
    </row>
    <row r="226" spans="1:5" x14ac:dyDescent="0.3">
      <c r="A226" s="1">
        <v>45976</v>
      </c>
      <c r="B226">
        <f>COUNTIFS(Total!F:F, A226, Total!A:A, "&lt;&gt;")</f>
        <v>0</v>
      </c>
      <c r="C226">
        <f>COUNTIFS(Total!C:C,$N$4,Total!F:F, A226, Total!A:A, "&lt;&gt;")</f>
        <v>0</v>
      </c>
      <c r="D226">
        <f>COUNTIFS(Total!C:C,$N$3,Total!F:F, A226, Total!A:A, "&lt;&gt;")</f>
        <v>0</v>
      </c>
      <c r="E226">
        <f>COUNTIFS(Total!C:C,$N$5,Total!F:F, A226, Total!A:A, "&lt;&gt;")</f>
        <v>0</v>
      </c>
    </row>
    <row r="227" spans="1:5" x14ac:dyDescent="0.3">
      <c r="A227" s="1">
        <v>45977</v>
      </c>
      <c r="B227">
        <f>COUNTIFS(Total!F:F, A227, Total!A:A, "&lt;&gt;")</f>
        <v>0</v>
      </c>
      <c r="C227">
        <f>COUNTIFS(Total!C:C,$N$4,Total!F:F, A227, Total!A:A, "&lt;&gt;")</f>
        <v>0</v>
      </c>
      <c r="D227">
        <f>COUNTIFS(Total!C:C,$N$3,Total!F:F, A227, Total!A:A, "&lt;&gt;")</f>
        <v>0</v>
      </c>
      <c r="E227">
        <f>COUNTIFS(Total!C:C,$N$5,Total!F:F, A227, Total!A:A, "&lt;&gt;")</f>
        <v>0</v>
      </c>
    </row>
    <row r="228" spans="1:5" x14ac:dyDescent="0.3">
      <c r="A228" s="1">
        <v>45978</v>
      </c>
      <c r="B228">
        <f>COUNTIFS(Total!F:F, A228, Total!A:A, "&lt;&gt;")</f>
        <v>12</v>
      </c>
      <c r="C228">
        <f>COUNTIFS(Total!C:C,$N$4,Total!F:F, A228, Total!A:A, "&lt;&gt;")</f>
        <v>5</v>
      </c>
      <c r="D228">
        <f>COUNTIFS(Total!C:C,$N$3,Total!F:F, A228, Total!A:A, "&lt;&gt;")</f>
        <v>7</v>
      </c>
      <c r="E228">
        <f>COUNTIFS(Total!C:C,$N$5,Total!F:F, A228, Total!A:A, "&lt;&gt;")</f>
        <v>0</v>
      </c>
    </row>
    <row r="229" spans="1:5" x14ac:dyDescent="0.3">
      <c r="A229" s="1">
        <v>45979</v>
      </c>
      <c r="B229">
        <f>COUNTIFS(Total!F:F, A229, Total!A:A, "&lt;&gt;")</f>
        <v>15</v>
      </c>
      <c r="C229">
        <f>COUNTIFS(Total!C:C,$N$4,Total!F:F, A229, Total!A:A, "&lt;&gt;")</f>
        <v>5</v>
      </c>
      <c r="D229">
        <f>COUNTIFS(Total!C:C,$N$3,Total!F:F, A229, Total!A:A, "&lt;&gt;")</f>
        <v>10</v>
      </c>
      <c r="E229">
        <f>COUNTIFS(Total!C:C,$N$5,Total!F:F, A229, Total!A:A, "&lt;&gt;")</f>
        <v>0</v>
      </c>
    </row>
    <row r="230" spans="1:5" x14ac:dyDescent="0.3">
      <c r="A230" s="1">
        <v>45980</v>
      </c>
      <c r="B230">
        <f>COUNTIFS(Total!F:F, A230, Total!A:A, "&lt;&gt;")</f>
        <v>14</v>
      </c>
      <c r="C230">
        <f>COUNTIFS(Total!C:C,$N$4,Total!F:F, A230, Total!A:A, "&lt;&gt;")</f>
        <v>2</v>
      </c>
      <c r="D230">
        <f>COUNTIFS(Total!C:C,$N$3,Total!F:F, A230, Total!A:A, "&lt;&gt;")</f>
        <v>12</v>
      </c>
      <c r="E230">
        <f>COUNTIFS(Total!C:C,$N$5,Total!F:F, A230, Total!A:A, "&lt;&gt;")</f>
        <v>0</v>
      </c>
    </row>
    <row r="231" spans="1:5" x14ac:dyDescent="0.3">
      <c r="A231" s="1">
        <v>45981</v>
      </c>
      <c r="B231">
        <f>COUNTIFS(Total!F:F, A231, Total!A:A, "&lt;&gt;")</f>
        <v>14</v>
      </c>
      <c r="C231">
        <f>COUNTIFS(Total!C:C,$N$4,Total!F:F, A231, Total!A:A, "&lt;&gt;")</f>
        <v>5</v>
      </c>
      <c r="D231">
        <f>COUNTIFS(Total!C:C,$N$3,Total!F:F, A231, Total!A:A, "&lt;&gt;")</f>
        <v>9</v>
      </c>
      <c r="E231">
        <f>COUNTIFS(Total!C:C,$N$5,Total!F:F, A231, Total!A:A, "&lt;&gt;")</f>
        <v>0</v>
      </c>
    </row>
    <row r="232" spans="1:5" x14ac:dyDescent="0.3">
      <c r="A232" s="1">
        <v>45982</v>
      </c>
      <c r="B232">
        <f>COUNTIFS(Total!F:F, A232, Total!A:A, "&lt;&gt;")</f>
        <v>17</v>
      </c>
      <c r="C232">
        <f>COUNTIFS(Total!C:C,$N$4,Total!F:F, A232, Total!A:A, "&lt;&gt;")</f>
        <v>2</v>
      </c>
      <c r="D232">
        <f>COUNTIFS(Total!C:C,$N$3,Total!F:F, A232, Total!A:A, "&lt;&gt;")</f>
        <v>15</v>
      </c>
      <c r="E232">
        <f>COUNTIFS(Total!C:C,$N$5,Total!F:F, A232, Total!A:A, "&lt;&gt;")</f>
        <v>0</v>
      </c>
    </row>
    <row r="233" spans="1:5" x14ac:dyDescent="0.3">
      <c r="A233" s="1">
        <v>45983</v>
      </c>
      <c r="B233">
        <f>COUNTIFS(Total!F:F, A233, Total!A:A, "&lt;&gt;")</f>
        <v>0</v>
      </c>
      <c r="C233">
        <f>COUNTIFS(Total!C:C,$N$4,Total!F:F, A233, Total!A:A, "&lt;&gt;")</f>
        <v>0</v>
      </c>
      <c r="D233">
        <f>COUNTIFS(Total!C:C,$N$3,Total!F:F, A233, Total!A:A, "&lt;&gt;")</f>
        <v>0</v>
      </c>
      <c r="E233">
        <f>COUNTIFS(Total!C:C,$N$5,Total!F:F, A233, Total!A:A, "&lt;&gt;")</f>
        <v>0</v>
      </c>
    </row>
    <row r="234" spans="1:5" x14ac:dyDescent="0.3">
      <c r="A234" s="1">
        <v>45984</v>
      </c>
      <c r="B234">
        <f>COUNTIFS(Total!F:F, A234, Total!A:A, "&lt;&gt;")</f>
        <v>0</v>
      </c>
      <c r="C234">
        <f>COUNTIFS(Total!C:C,$N$4,Total!F:F, A234, Total!A:A, "&lt;&gt;")</f>
        <v>0</v>
      </c>
      <c r="D234">
        <f>COUNTIFS(Total!C:C,$N$3,Total!F:F, A234, Total!A:A, "&lt;&gt;")</f>
        <v>0</v>
      </c>
      <c r="E234">
        <f>COUNTIFS(Total!C:C,$N$5,Total!F:F, A234, Total!A:A, "&lt;&gt;")</f>
        <v>0</v>
      </c>
    </row>
    <row r="235" spans="1:5" x14ac:dyDescent="0.3">
      <c r="A235" s="1">
        <v>45985</v>
      </c>
      <c r="B235">
        <f>COUNTIFS(Total!F:F, A235, Total!A:A, "&lt;&gt;")</f>
        <v>15</v>
      </c>
      <c r="C235">
        <f>COUNTIFS(Total!C:C,$N$4,Total!F:F, A235, Total!A:A, "&lt;&gt;")</f>
        <v>4</v>
      </c>
      <c r="D235">
        <f>COUNTIFS(Total!C:C,$N$3,Total!F:F, A235, Total!A:A, "&lt;&gt;")</f>
        <v>11</v>
      </c>
      <c r="E235">
        <f>COUNTIFS(Total!C:C,$N$5,Total!F:F, A235, Total!A:A, "&lt;&gt;")</f>
        <v>0</v>
      </c>
    </row>
    <row r="236" spans="1:5" x14ac:dyDescent="0.3">
      <c r="A236" s="1">
        <v>45986</v>
      </c>
      <c r="B236">
        <f>COUNTIFS(Total!F:F, A236, Total!A:A, "&lt;&gt;")</f>
        <v>17</v>
      </c>
      <c r="C236">
        <f>COUNTIFS(Total!C:C,$N$4,Total!F:F, A236, Total!A:A, "&lt;&gt;")</f>
        <v>4</v>
      </c>
      <c r="D236">
        <f>COUNTIFS(Total!C:C,$N$3,Total!F:F, A236, Total!A:A, "&lt;&gt;")</f>
        <v>13</v>
      </c>
      <c r="E236">
        <f>COUNTIFS(Total!C:C,$N$5,Total!F:F, A236, Total!A:A, "&lt;&gt;")</f>
        <v>0</v>
      </c>
    </row>
    <row r="237" spans="1:5" x14ac:dyDescent="0.3">
      <c r="A237" s="1">
        <v>45987</v>
      </c>
      <c r="B237">
        <f>COUNTIFS(Total!F:F, A237, Total!A:A, "&lt;&gt;")</f>
        <v>11</v>
      </c>
      <c r="C237">
        <f>COUNTIFS(Total!C:C,$N$4,Total!F:F, A237, Total!A:A, "&lt;&gt;")</f>
        <v>4</v>
      </c>
      <c r="D237">
        <f>COUNTIFS(Total!C:C,$N$3,Total!F:F, A237, Total!A:A, "&lt;&gt;")</f>
        <v>7</v>
      </c>
      <c r="E237">
        <f>COUNTIFS(Total!C:C,$N$5,Total!F:F, A237, Total!A:A, "&lt;&gt;")</f>
        <v>0</v>
      </c>
    </row>
    <row r="238" spans="1:5" x14ac:dyDescent="0.3">
      <c r="A238" s="1">
        <v>45988</v>
      </c>
      <c r="B238">
        <f>COUNTIFS(Total!F:F, A238, Total!A:A, "&lt;&gt;")</f>
        <v>9</v>
      </c>
      <c r="C238">
        <f>COUNTIFS(Total!C:C,$N$4,Total!F:F, A238, Total!A:A, "&lt;&gt;")</f>
        <v>2</v>
      </c>
      <c r="D238">
        <f>COUNTIFS(Total!C:C,$N$3,Total!F:F, A238, Total!A:A, "&lt;&gt;")</f>
        <v>7</v>
      </c>
      <c r="E238">
        <f>COUNTIFS(Total!C:C,$N$5,Total!F:F, A238, Total!A:A, "&lt;&gt;")</f>
        <v>0</v>
      </c>
    </row>
    <row r="239" spans="1:5" x14ac:dyDescent="0.3">
      <c r="A239" s="1">
        <v>45989</v>
      </c>
      <c r="B239">
        <f>COUNTIFS(Total!F:F, A239, Total!A:A, "&lt;&gt;")</f>
        <v>11</v>
      </c>
      <c r="C239">
        <f>COUNTIFS(Total!C:C,$N$4,Total!F:F, A239, Total!A:A, "&lt;&gt;")</f>
        <v>3</v>
      </c>
      <c r="D239">
        <f>COUNTIFS(Total!C:C,$N$3,Total!F:F, A239, Total!A:A, "&lt;&gt;")</f>
        <v>8</v>
      </c>
      <c r="E239">
        <f>COUNTIFS(Total!C:C,$N$5,Total!F:F, A239, Total!A:A, "&lt;&gt;")</f>
        <v>0</v>
      </c>
    </row>
    <row r="240" spans="1:5" x14ac:dyDescent="0.3">
      <c r="A240" s="1">
        <v>45990</v>
      </c>
      <c r="B240">
        <f>COUNTIFS(Total!F:F, A240, Total!A:A, "&lt;&gt;")</f>
        <v>0</v>
      </c>
      <c r="C240">
        <f>COUNTIFS(Total!C:C,$N$4,Total!F:F, A240, Total!A:A, "&lt;&gt;")</f>
        <v>0</v>
      </c>
      <c r="D240">
        <f>COUNTIFS(Total!C:C,$N$3,Total!F:F, A240, Total!A:A, "&lt;&gt;")</f>
        <v>0</v>
      </c>
      <c r="E240">
        <f>COUNTIFS(Total!C:C,$N$5,Total!F:F, A240, Total!A:A, "&lt;&gt;")</f>
        <v>0</v>
      </c>
    </row>
    <row r="241" spans="1:5" x14ac:dyDescent="0.3">
      <c r="A241" s="1">
        <v>45991</v>
      </c>
      <c r="B241">
        <f>COUNTIFS(Total!F:F, A241, Total!A:A, "&lt;&gt;")</f>
        <v>0</v>
      </c>
      <c r="C241">
        <f>COUNTIFS(Total!C:C,$N$4,Total!F:F, A241, Total!A:A, "&lt;&gt;")</f>
        <v>0</v>
      </c>
      <c r="D241">
        <f>COUNTIFS(Total!C:C,$N$3,Total!F:F, A241, Total!A:A, "&lt;&gt;")</f>
        <v>0</v>
      </c>
      <c r="E241">
        <f>COUNTIFS(Total!C:C,$N$5,Total!F:F, A241, Total!A:A, "&lt;&gt;")</f>
        <v>0</v>
      </c>
    </row>
    <row r="242" spans="1:5" x14ac:dyDescent="0.3">
      <c r="A242" s="1">
        <v>45992</v>
      </c>
      <c r="B242">
        <f>COUNTIFS(Total!F:F, A242, Total!A:A, "&lt;&gt;")</f>
        <v>16</v>
      </c>
      <c r="C242">
        <f>COUNTIFS(Total!C:C,$N$4,Total!F:F, A242, Total!A:A, "&lt;&gt;")</f>
        <v>2</v>
      </c>
      <c r="D242">
        <f>COUNTIFS(Total!C:C,$N$3,Total!F:F, A242, Total!A:A, "&lt;&gt;")</f>
        <v>14</v>
      </c>
      <c r="E242">
        <f>COUNTIFS(Total!C:C,$N$5,Total!F:F, A242, Total!A:A, "&lt;&gt;")</f>
        <v>0</v>
      </c>
    </row>
    <row r="243" spans="1:5" x14ac:dyDescent="0.3">
      <c r="A243" s="1">
        <v>45993</v>
      </c>
      <c r="B243">
        <f>COUNTIFS(Total!F:F, A243, Total!A:A, "&lt;&gt;")</f>
        <v>30</v>
      </c>
      <c r="C243">
        <f>COUNTIFS(Total!C:C,$N$4,Total!F:F, A243, Total!A:A, "&lt;&gt;")</f>
        <v>3</v>
      </c>
      <c r="D243">
        <f>COUNTIFS(Total!C:C,$N$3,Total!F:F, A243, Total!A:A, "&lt;&gt;")</f>
        <v>27</v>
      </c>
      <c r="E243">
        <f>COUNTIFS(Total!C:C,$N$5,Total!F:F, A243, Total!A:A, "&lt;&gt;")</f>
        <v>0</v>
      </c>
    </row>
    <row r="244" spans="1:5" x14ac:dyDescent="0.3">
      <c r="A244" s="1">
        <v>45994</v>
      </c>
      <c r="B244">
        <f>COUNTIFS(Total!F:F, A244, Total!A:A, "&lt;&gt;")</f>
        <v>13</v>
      </c>
      <c r="C244">
        <f>COUNTIFS(Total!C:C,$N$4,Total!F:F, A244, Total!A:A, "&lt;&gt;")</f>
        <v>2</v>
      </c>
      <c r="D244">
        <f>COUNTIFS(Total!C:C,$N$3,Total!F:F, A244, Total!A:A, "&lt;&gt;")</f>
        <v>11</v>
      </c>
      <c r="E244">
        <f>COUNTIFS(Total!C:C,$N$5,Total!F:F, A244, Total!A:A, "&lt;&gt;")</f>
        <v>0</v>
      </c>
    </row>
    <row r="245" spans="1:5" x14ac:dyDescent="0.3">
      <c r="A245" s="1">
        <v>45995</v>
      </c>
      <c r="B245">
        <f>COUNTIFS(Total!F:F, A245, Total!A:A, "&lt;&gt;")</f>
        <v>17</v>
      </c>
      <c r="C245">
        <f>COUNTIFS(Total!C:C,$N$4,Total!F:F, A245, Total!A:A, "&lt;&gt;")</f>
        <v>6</v>
      </c>
      <c r="D245">
        <f>COUNTIFS(Total!C:C,$N$3,Total!F:F, A245, Total!A:A, "&lt;&gt;")</f>
        <v>11</v>
      </c>
      <c r="E245">
        <f>COUNTIFS(Total!C:C,$N$5,Total!F:F, A245, Total!A:A, "&lt;&gt;")</f>
        <v>0</v>
      </c>
    </row>
    <row r="246" spans="1:5" x14ac:dyDescent="0.3">
      <c r="A246" s="1">
        <v>45996</v>
      </c>
      <c r="B246">
        <f>COUNTIFS(Total!F:F, A246, Total!A:A, "&lt;&gt;")</f>
        <v>7</v>
      </c>
      <c r="C246">
        <f>COUNTIFS(Total!C:C,$N$4,Total!F:F, A246, Total!A:A, "&lt;&gt;")</f>
        <v>4</v>
      </c>
      <c r="D246">
        <f>COUNTIFS(Total!C:C,$N$3,Total!F:F, A246, Total!A:A, "&lt;&gt;")</f>
        <v>3</v>
      </c>
      <c r="E246">
        <f>COUNTIFS(Total!C:C,$N$5,Total!F:F, A246, Total!A:A, "&lt;&gt;")</f>
        <v>0</v>
      </c>
    </row>
    <row r="247" spans="1:5" x14ac:dyDescent="0.3">
      <c r="A247" s="1">
        <v>45997</v>
      </c>
      <c r="B247">
        <f>COUNTIFS(Total!F:F, A247, Total!A:A, "&lt;&gt;")</f>
        <v>0</v>
      </c>
      <c r="C247">
        <f>COUNTIFS(Total!C:C,$N$4,Total!F:F, A247, Total!A:A, "&lt;&gt;")</f>
        <v>0</v>
      </c>
      <c r="D247">
        <f>COUNTIFS(Total!C:C,$N$3,Total!F:F, A247, Total!A:A, "&lt;&gt;")</f>
        <v>0</v>
      </c>
      <c r="E247">
        <f>COUNTIFS(Total!C:C,$N$5,Total!F:F, A247, Total!A:A, "&lt;&gt;")</f>
        <v>0</v>
      </c>
    </row>
    <row r="248" spans="1:5" x14ac:dyDescent="0.3">
      <c r="A248" s="1">
        <v>45998</v>
      </c>
      <c r="B248">
        <f>COUNTIFS(Total!F:F, A248, Total!A:A, "&lt;&gt;")</f>
        <v>0</v>
      </c>
      <c r="C248">
        <f>COUNTIFS(Total!C:C,$N$4,Total!F:F, A248, Total!A:A, "&lt;&gt;")</f>
        <v>0</v>
      </c>
      <c r="D248">
        <f>COUNTIFS(Total!C:C,$N$3,Total!F:F, A248, Total!A:A, "&lt;&gt;")</f>
        <v>0</v>
      </c>
      <c r="E248">
        <f>COUNTIFS(Total!C:C,$N$5,Total!F:F, A248, Total!A:A, "&lt;&gt;")</f>
        <v>0</v>
      </c>
    </row>
    <row r="249" spans="1:5" x14ac:dyDescent="0.3">
      <c r="A249" s="1">
        <v>45999</v>
      </c>
      <c r="B249">
        <f>COUNTIFS(Total!F:F, A249, Total!A:A, "&lt;&gt;")</f>
        <v>0</v>
      </c>
      <c r="C249">
        <f>COUNTIFS(Total!C:C,$N$4,Total!F:F, A249, Total!A:A, "&lt;&gt;")</f>
        <v>0</v>
      </c>
      <c r="D249">
        <f>COUNTIFS(Total!C:C,$N$3,Total!F:F, A249, Total!A:A, "&lt;&gt;")</f>
        <v>0</v>
      </c>
      <c r="E249">
        <f>COUNTIFS(Total!C:C,$N$5,Total!F:F, A249, Total!A:A, "&lt;&gt;")</f>
        <v>0</v>
      </c>
    </row>
    <row r="250" spans="1:5" x14ac:dyDescent="0.3">
      <c r="A250" s="1">
        <v>46000</v>
      </c>
      <c r="B250">
        <f>COUNTIFS(Total!F:F, A250, Total!A:A, "&lt;&gt;")</f>
        <v>0</v>
      </c>
      <c r="C250">
        <f>COUNTIFS(Total!C:C,$N$4,Total!F:F, A250, Total!A:A, "&lt;&gt;")</f>
        <v>0</v>
      </c>
      <c r="D250">
        <f>COUNTIFS(Total!C:C,$N$3,Total!F:F, A250, Total!A:A, "&lt;&gt;")</f>
        <v>0</v>
      </c>
      <c r="E250">
        <f>COUNTIFS(Total!C:C,$N$5,Total!F:F, A250, Total!A:A, "&lt;&gt;")</f>
        <v>0</v>
      </c>
    </row>
    <row r="251" spans="1:5" x14ac:dyDescent="0.3">
      <c r="A251" s="1">
        <v>46001</v>
      </c>
      <c r="B251">
        <f>COUNTIFS(Total!F:F, A251, Total!A:A, "&lt;&gt;")</f>
        <v>15</v>
      </c>
      <c r="C251">
        <f>COUNTIFS(Total!C:C,$N$4,Total!F:F, A251, Total!A:A, "&lt;&gt;")</f>
        <v>7</v>
      </c>
      <c r="D251">
        <f>COUNTIFS(Total!C:C,$N$3,Total!F:F, A251, Total!A:A, "&lt;&gt;")</f>
        <v>8</v>
      </c>
      <c r="E251">
        <f>COUNTIFS(Total!C:C,$N$5,Total!F:F, A251, Total!A:A, "&lt;&gt;")</f>
        <v>0</v>
      </c>
    </row>
    <row r="252" spans="1:5" x14ac:dyDescent="0.3">
      <c r="A252" s="1">
        <v>46002</v>
      </c>
      <c r="B252">
        <f>COUNTIFS(Total!F:F, A252, Total!A:A, "&lt;&gt;")</f>
        <v>16</v>
      </c>
      <c r="C252">
        <f>COUNTIFS(Total!C:C,$N$4,Total!F:F, A252, Total!A:A, "&lt;&gt;")</f>
        <v>3</v>
      </c>
      <c r="D252">
        <f>COUNTIFS(Total!C:C,$N$3,Total!F:F, A252, Total!A:A, "&lt;&gt;")</f>
        <v>13</v>
      </c>
      <c r="E252">
        <f>COUNTIFS(Total!C:C,$N$5,Total!F:F, A252, Total!A:A, "&lt;&gt;")</f>
        <v>0</v>
      </c>
    </row>
    <row r="253" spans="1:5" x14ac:dyDescent="0.3">
      <c r="A253" s="1">
        <v>46003</v>
      </c>
      <c r="B253">
        <f>COUNTIFS(Total!F:F, A253, Total!A:A, "&lt;&gt;")</f>
        <v>16</v>
      </c>
      <c r="C253">
        <f>COUNTIFS(Total!C:C,$N$4,Total!F:F, A253, Total!A:A, "&lt;&gt;")</f>
        <v>6</v>
      </c>
      <c r="D253">
        <f>COUNTIFS(Total!C:C,$N$3,Total!F:F, A253, Total!A:A, "&lt;&gt;")</f>
        <v>10</v>
      </c>
      <c r="E253">
        <f>COUNTIFS(Total!C:C,$N$5,Total!F:F, A253, Total!A:A, "&lt;&gt;")</f>
        <v>0</v>
      </c>
    </row>
    <row r="254" spans="1:5" x14ac:dyDescent="0.3">
      <c r="A254" s="1">
        <v>46004</v>
      </c>
      <c r="B254">
        <f>COUNTIFS(Total!F:F, A254, Total!A:A, "&lt;&gt;")</f>
        <v>0</v>
      </c>
      <c r="C254">
        <f>COUNTIFS(Total!C:C,$N$4,Total!F:F, A254, Total!A:A, "&lt;&gt;")</f>
        <v>0</v>
      </c>
      <c r="D254">
        <f>COUNTIFS(Total!C:C,$N$3,Total!F:F, A254, Total!A:A, "&lt;&gt;")</f>
        <v>0</v>
      </c>
      <c r="E254">
        <f>COUNTIFS(Total!C:C,$N$5,Total!F:F, A254, Total!A:A, "&lt;&gt;")</f>
        <v>0</v>
      </c>
    </row>
    <row r="255" spans="1:5" x14ac:dyDescent="0.3">
      <c r="A255" s="1">
        <v>46005</v>
      </c>
      <c r="B255">
        <f>COUNTIFS(Total!F:F, A255, Total!A:A, "&lt;&gt;")</f>
        <v>0</v>
      </c>
      <c r="C255">
        <f>COUNTIFS(Total!C:C,$N$4,Total!F:F, A255, Total!A:A, "&lt;&gt;")</f>
        <v>0</v>
      </c>
      <c r="D255">
        <f>COUNTIFS(Total!C:C,$N$3,Total!F:F, A255, Total!A:A, "&lt;&gt;")</f>
        <v>0</v>
      </c>
      <c r="E255">
        <f>COUNTIFS(Total!C:C,$N$5,Total!F:F, A255, Total!A:A, "&lt;&gt;")</f>
        <v>0</v>
      </c>
    </row>
    <row r="256" spans="1:5" x14ac:dyDescent="0.3">
      <c r="A256" s="1">
        <v>46006</v>
      </c>
      <c r="B256">
        <f>COUNTIFS(Total!F:F, A256, Total!A:A, "&lt;&gt;")</f>
        <v>14</v>
      </c>
      <c r="C256">
        <f>COUNTIFS(Total!C:C,$N$4,Total!F:F, A256, Total!A:A, "&lt;&gt;")</f>
        <v>6</v>
      </c>
      <c r="D256">
        <f>COUNTIFS(Total!C:C,$N$3,Total!F:F, A256, Total!A:A, "&lt;&gt;")</f>
        <v>8</v>
      </c>
      <c r="E256">
        <f>COUNTIFS(Total!C:C,$N$5,Total!F:F, A256, Total!A:A, "&lt;&gt;")</f>
        <v>0</v>
      </c>
    </row>
    <row r="257" spans="1:5" x14ac:dyDescent="0.3">
      <c r="A257" s="1">
        <v>46007</v>
      </c>
      <c r="B257">
        <f>COUNTIFS(Total!F:F, A257, Total!A:A, "&lt;&gt;")</f>
        <v>16</v>
      </c>
      <c r="C257">
        <f>COUNTIFS(Total!C:C,$N$4,Total!F:F, A257, Total!A:A, "&lt;&gt;")</f>
        <v>5</v>
      </c>
      <c r="D257">
        <f>COUNTIFS(Total!C:C,$N$3,Total!F:F, A257, Total!A:A, "&lt;&gt;")</f>
        <v>11</v>
      </c>
      <c r="E257">
        <f>COUNTIFS(Total!C:C,$N$5,Total!F:F, A257, Total!A:A, "&lt;&gt;")</f>
        <v>0</v>
      </c>
    </row>
    <row r="258" spans="1:5" x14ac:dyDescent="0.3">
      <c r="A258" s="1">
        <v>46008</v>
      </c>
      <c r="B258">
        <f>COUNTIFS(Total!F:F, A258, Total!A:A, "&lt;&gt;")</f>
        <v>29</v>
      </c>
      <c r="C258">
        <f>COUNTIFS(Total!C:C,$N$4,Total!F:F, A258, Total!A:A, "&lt;&gt;")</f>
        <v>4</v>
      </c>
      <c r="D258">
        <f>COUNTIFS(Total!C:C,$N$3,Total!F:F, A258, Total!A:A, "&lt;&gt;")</f>
        <v>25</v>
      </c>
      <c r="E258">
        <f>COUNTIFS(Total!C:C,$N$5,Total!F:F, A258, Total!A:A, "&lt;&gt;")</f>
        <v>0</v>
      </c>
    </row>
    <row r="259" spans="1:5" x14ac:dyDescent="0.3">
      <c r="A259" s="1">
        <v>46009</v>
      </c>
      <c r="B259">
        <f>COUNTIFS(Total!F:F, A259, Total!A:A, "&lt;&gt;")</f>
        <v>21</v>
      </c>
      <c r="C259">
        <f>COUNTIFS(Total!C:C,$N$4,Total!F:F, A259, Total!A:A, "&lt;&gt;")</f>
        <v>2</v>
      </c>
      <c r="D259">
        <f>COUNTIFS(Total!C:C,$N$3,Total!F:F, A259, Total!A:A, "&lt;&gt;")</f>
        <v>19</v>
      </c>
      <c r="E259">
        <f>COUNTIFS(Total!C:C,$N$5,Total!F:F, A259, Total!A:A, "&lt;&gt;")</f>
        <v>0</v>
      </c>
    </row>
    <row r="260" spans="1:5" x14ac:dyDescent="0.3">
      <c r="A260" s="1">
        <v>46010</v>
      </c>
      <c r="B260">
        <f>COUNTIFS(Total!F:F, A260, Total!A:A, "&lt;&gt;")</f>
        <v>24</v>
      </c>
      <c r="C260">
        <f>COUNTIFS(Total!C:C,$N$4,Total!F:F, A260, Total!A:A, "&lt;&gt;")</f>
        <v>7</v>
      </c>
      <c r="D260">
        <f>COUNTIFS(Total!C:C,$N$3,Total!F:F, A260, Total!A:A, "&lt;&gt;")</f>
        <v>17</v>
      </c>
      <c r="E260">
        <f>COUNTIFS(Total!C:C,$N$5,Total!F:F, A260, Total!A:A, "&lt;&gt;")</f>
        <v>0</v>
      </c>
    </row>
    <row r="261" spans="1:5" x14ac:dyDescent="0.3">
      <c r="A261" s="1">
        <v>46011</v>
      </c>
      <c r="B261">
        <f>COUNTIFS(Total!F:F, A261, Total!A:A, "&lt;&gt;")</f>
        <v>0</v>
      </c>
      <c r="C261">
        <f>COUNTIFS(Total!C:C,$N$4,Total!F:F, A261, Total!A:A, "&lt;&gt;")</f>
        <v>0</v>
      </c>
      <c r="D261">
        <f>COUNTIFS(Total!C:C,$N$3,Total!F:F, A261, Total!A:A, "&lt;&gt;")</f>
        <v>0</v>
      </c>
      <c r="E261">
        <f>COUNTIFS(Total!C:C,$N$5,Total!F:F, A261, Total!A:A, "&lt;&gt;")</f>
        <v>0</v>
      </c>
    </row>
    <row r="262" spans="1:5" x14ac:dyDescent="0.3">
      <c r="A262" s="1">
        <v>46012</v>
      </c>
      <c r="B262">
        <f>COUNTIFS(Total!F:F, A262, Total!A:A, "&lt;&gt;")</f>
        <v>0</v>
      </c>
      <c r="C262">
        <f>COUNTIFS(Total!C:C,$N$4,Total!F:F, A262, Total!A:A, "&lt;&gt;")</f>
        <v>0</v>
      </c>
      <c r="D262">
        <f>COUNTIFS(Total!C:C,$N$3,Total!F:F, A262, Total!A:A, "&lt;&gt;")</f>
        <v>0</v>
      </c>
      <c r="E262">
        <f>COUNTIFS(Total!C:C,$N$5,Total!F:F, A262, Total!A:A, "&lt;&gt;")</f>
        <v>0</v>
      </c>
    </row>
    <row r="263" spans="1:5" x14ac:dyDescent="0.3">
      <c r="A263" s="1">
        <v>46013</v>
      </c>
      <c r="B263">
        <f>COUNTIFS(Total!F:F, A263, Total!A:A, "&lt;&gt;")</f>
        <v>20</v>
      </c>
      <c r="C263">
        <f>COUNTIFS(Total!C:C,$N$4,Total!F:F, A263, Total!A:A, "&lt;&gt;")</f>
        <v>3</v>
      </c>
      <c r="D263">
        <f>COUNTIFS(Total!C:C,$N$3,Total!F:F, A263, Total!A:A, "&lt;&gt;")</f>
        <v>17</v>
      </c>
      <c r="E263">
        <f>COUNTIFS(Total!C:C,$N$5,Total!F:F, A263, Total!A:A, "&lt;&gt;")</f>
        <v>0</v>
      </c>
    </row>
    <row r="264" spans="1:5" x14ac:dyDescent="0.3">
      <c r="A264" s="1">
        <v>46014</v>
      </c>
      <c r="B264">
        <f>COUNTIFS(Total!F:F, A264, Total!A:A, "&lt;&gt;")</f>
        <v>20</v>
      </c>
      <c r="C264">
        <f>COUNTIFS(Total!C:C,$N$4,Total!F:F, A264, Total!A:A, "&lt;&gt;")</f>
        <v>3</v>
      </c>
      <c r="D264">
        <f>COUNTIFS(Total!C:C,$N$3,Total!F:F, A264, Total!A:A, "&lt;&gt;")</f>
        <v>17</v>
      </c>
      <c r="E264">
        <f>COUNTIFS(Total!C:C,$N$5,Total!F:F, A264, Total!A:A, "&lt;&gt;")</f>
        <v>0</v>
      </c>
    </row>
    <row r="265" spans="1:5" x14ac:dyDescent="0.3">
      <c r="A265" s="1">
        <v>46015</v>
      </c>
      <c r="B265">
        <f>COUNTIFS(Total!F:F, A265, Total!A:A, "&lt;&gt;")</f>
        <v>0</v>
      </c>
      <c r="C265">
        <f>COUNTIFS(Total!C:C,$N$4,Total!F:F, A265, Total!A:A, "&lt;&gt;")</f>
        <v>0</v>
      </c>
      <c r="D265">
        <f>COUNTIFS(Total!C:C,$N$3,Total!F:F, A265, Total!A:A, "&lt;&gt;")</f>
        <v>0</v>
      </c>
      <c r="E265">
        <f>COUNTIFS(Total!C:C,$N$5,Total!F:F, A265, Total!A:A, "&lt;&gt;")</f>
        <v>0</v>
      </c>
    </row>
    <row r="266" spans="1:5" x14ac:dyDescent="0.3">
      <c r="A266" s="1">
        <v>46016</v>
      </c>
      <c r="B266">
        <f>COUNTIFS(Total!F:F, A266, Total!A:A, "&lt;&gt;")</f>
        <v>0</v>
      </c>
      <c r="C266">
        <f>COUNTIFS(Total!C:C,$N$4,Total!F:F, A266, Total!A:A, "&lt;&gt;")</f>
        <v>0</v>
      </c>
      <c r="D266">
        <f>COUNTIFS(Total!C:C,$N$3,Total!F:F, A266, Total!A:A, "&lt;&gt;")</f>
        <v>0</v>
      </c>
      <c r="E266">
        <f>COUNTIFS(Total!C:C,$N$5,Total!F:F, A266, Total!A:A, "&lt;&gt;")</f>
        <v>0</v>
      </c>
    </row>
    <row r="267" spans="1:5" x14ac:dyDescent="0.3">
      <c r="A267" s="1">
        <v>46017</v>
      </c>
      <c r="B267">
        <f>COUNTIFS(Total!F:F, A267, Total!A:A, "&lt;&gt;")</f>
        <v>0</v>
      </c>
      <c r="C267">
        <f>COUNTIFS(Total!C:C,$N$4,Total!F:F, A267, Total!A:A, "&lt;&gt;")</f>
        <v>0</v>
      </c>
      <c r="D267">
        <f>COUNTIFS(Total!C:C,$N$3,Total!F:F, A267, Total!A:A, "&lt;&gt;")</f>
        <v>0</v>
      </c>
      <c r="E267">
        <f>COUNTIFS(Total!C:C,$N$5,Total!F:F, A267, Total!A:A, "&lt;&gt;")</f>
        <v>0</v>
      </c>
    </row>
    <row r="268" spans="1:5" x14ac:dyDescent="0.3">
      <c r="A268" s="1">
        <v>46018</v>
      </c>
      <c r="B268">
        <f>COUNTIFS(Total!F:F, A268, Total!A:A, "&lt;&gt;")</f>
        <v>0</v>
      </c>
      <c r="C268">
        <f>COUNTIFS(Total!C:C,$N$4,Total!F:F, A268, Total!A:A, "&lt;&gt;")</f>
        <v>0</v>
      </c>
      <c r="D268">
        <f>COUNTIFS(Total!C:C,$N$3,Total!F:F, A268, Total!A:A, "&lt;&gt;")</f>
        <v>0</v>
      </c>
      <c r="E268">
        <f>COUNTIFS(Total!C:C,$N$5,Total!F:F, A268, Total!A:A, "&lt;&gt;")</f>
        <v>0</v>
      </c>
    </row>
    <row r="269" spans="1:5" x14ac:dyDescent="0.3">
      <c r="A269" s="1">
        <v>46019</v>
      </c>
      <c r="B269">
        <f>COUNTIFS(Total!F:F, A269, Total!A:A, "&lt;&gt;")</f>
        <v>0</v>
      </c>
      <c r="C269">
        <f>COUNTIFS(Total!C:C,$N$4,Total!F:F, A269, Total!A:A, "&lt;&gt;")</f>
        <v>0</v>
      </c>
      <c r="D269">
        <f>COUNTIFS(Total!C:C,$N$3,Total!F:F, A269, Total!A:A, "&lt;&gt;")</f>
        <v>0</v>
      </c>
      <c r="E269">
        <f>COUNTIFS(Total!C:C,$N$5,Total!F:F, A269, Total!A:A, "&lt;&gt;")</f>
        <v>0</v>
      </c>
    </row>
    <row r="270" spans="1:5" x14ac:dyDescent="0.3">
      <c r="A270" s="1">
        <v>46020</v>
      </c>
      <c r="B270">
        <f>COUNTIFS(Total!F:F, A270, Total!A:A, "&lt;&gt;")</f>
        <v>0</v>
      </c>
      <c r="C270">
        <f>COUNTIFS(Total!C:C,$N$4,Total!F:F, A270, Total!A:A, "&lt;&gt;")</f>
        <v>0</v>
      </c>
      <c r="D270">
        <f>COUNTIFS(Total!C:C,$N$3,Total!F:F, A270, Total!A:A, "&lt;&gt;")</f>
        <v>0</v>
      </c>
      <c r="E270">
        <f>COUNTIFS(Total!C:C,$N$5,Total!F:F, A270, Total!A:A, "&lt;&gt;")</f>
        <v>0</v>
      </c>
    </row>
    <row r="271" spans="1:5" x14ac:dyDescent="0.3">
      <c r="A271" s="1">
        <v>46021</v>
      </c>
      <c r="B271">
        <f>COUNTIFS(Total!F:F, A271, Total!A:A, "&lt;&gt;")</f>
        <v>0</v>
      </c>
      <c r="C271">
        <f>COUNTIFS(Total!C:C,$N$4,Total!F:F, A271, Total!A:A, "&lt;&gt;")</f>
        <v>0</v>
      </c>
      <c r="D271">
        <f>COUNTIFS(Total!C:C,$N$3,Total!F:F, A271, Total!A:A, "&lt;&gt;")</f>
        <v>0</v>
      </c>
      <c r="E271">
        <f>COUNTIFS(Total!C:C,$N$5,Total!F:F, A271, Total!A:A, "&lt;&gt;")</f>
        <v>0</v>
      </c>
    </row>
    <row r="272" spans="1:5" x14ac:dyDescent="0.3">
      <c r="A272" s="1">
        <v>46022</v>
      </c>
      <c r="B272">
        <f>COUNTIFS(Total!F:F, A272, Total!A:A, "&lt;&gt;")</f>
        <v>0</v>
      </c>
      <c r="C272">
        <f>COUNTIFS(Total!C:C,$N$4,Total!F:F, A272, Total!A:A, "&lt;&gt;")</f>
        <v>0</v>
      </c>
      <c r="D272">
        <f>COUNTIFS(Total!C:C,$N$3,Total!F:F, A272, Total!A:A, "&lt;&gt;")</f>
        <v>0</v>
      </c>
      <c r="E272">
        <f>COUNTIFS(Total!C:C,$N$5,Total!F:F, A272, Total!A:A, "&lt;&gt;")</f>
        <v>0</v>
      </c>
    </row>
    <row r="273" spans="1:5" x14ac:dyDescent="0.3">
      <c r="A273" s="1">
        <v>46023</v>
      </c>
      <c r="B273">
        <f>COUNTIFS(Total!F:F, A273, Total!A:A, "&lt;&gt;")</f>
        <v>0</v>
      </c>
      <c r="C273">
        <f>COUNTIFS(Total!C:C,$N$4,Total!F:F, A273, Total!A:A, "&lt;&gt;")</f>
        <v>0</v>
      </c>
      <c r="D273">
        <f>COUNTIFS(Total!C:C,$N$3,Total!F:F, A273, Total!A:A, "&lt;&gt;")</f>
        <v>0</v>
      </c>
      <c r="E273">
        <f>COUNTIFS(Total!C:C,$N$5,Total!F:F, A273, Total!A:A, "&lt;&gt;")</f>
        <v>0</v>
      </c>
    </row>
    <row r="274" spans="1:5" x14ac:dyDescent="0.3">
      <c r="A274" s="1">
        <v>46024</v>
      </c>
      <c r="B274">
        <f>COUNTIFS(Total!F:F, A274, Total!A:A, "&lt;&gt;")</f>
        <v>11</v>
      </c>
      <c r="C274">
        <f>COUNTIFS(Total!C:C,$N$4,Total!F:F, A274, Total!A:A, "&lt;&gt;")</f>
        <v>1</v>
      </c>
      <c r="D274">
        <f>COUNTIFS(Total!C:C,$N$3,Total!F:F, A274, Total!A:A, "&lt;&gt;")</f>
        <v>10</v>
      </c>
      <c r="E274">
        <f>COUNTIFS(Total!C:C,$N$5,Total!F:F, A274, Total!A:A, "&lt;&gt;")</f>
        <v>0</v>
      </c>
    </row>
    <row r="275" spans="1:5" x14ac:dyDescent="0.3">
      <c r="A275" s="1">
        <v>46025</v>
      </c>
      <c r="B275">
        <f>COUNTIFS(Total!F:F, A275, Total!A:A, "&lt;&gt;")</f>
        <v>0</v>
      </c>
      <c r="C275">
        <f>COUNTIFS(Total!C:C,$N$4,Total!F:F, A275, Total!A:A, "&lt;&gt;")</f>
        <v>0</v>
      </c>
      <c r="D275">
        <f>COUNTIFS(Total!C:C,$N$3,Total!F:F, A275, Total!A:A, "&lt;&gt;")</f>
        <v>0</v>
      </c>
      <c r="E275">
        <f>COUNTIFS(Total!C:C,$N$5,Total!F:F, A275, Total!A:A, "&lt;&gt;")</f>
        <v>0</v>
      </c>
    </row>
    <row r="276" spans="1:5" x14ac:dyDescent="0.3">
      <c r="A276" s="1">
        <v>46026</v>
      </c>
      <c r="B276">
        <f>COUNTIFS(Total!F:F, A276, Total!A:A, "&lt;&gt;")</f>
        <v>0</v>
      </c>
      <c r="C276">
        <f>COUNTIFS(Total!C:C,$N$4,Total!F:F, A276, Total!A:A, "&lt;&gt;")</f>
        <v>0</v>
      </c>
      <c r="D276">
        <f>COUNTIFS(Total!C:C,$N$3,Total!F:F, A276, Total!A:A, "&lt;&gt;")</f>
        <v>0</v>
      </c>
      <c r="E276">
        <f>COUNTIFS(Total!C:C,$N$5,Total!F:F, A276, Total!A:A, "&lt;&gt;")</f>
        <v>0</v>
      </c>
    </row>
    <row r="277" spans="1:5" x14ac:dyDescent="0.3">
      <c r="A277" s="1">
        <v>46027</v>
      </c>
      <c r="B277">
        <f>COUNTIFS(Total!F:F, A277, Total!A:A, "&lt;&gt;")</f>
        <v>11</v>
      </c>
      <c r="C277">
        <f>COUNTIFS(Total!C:C,$N$4,Total!F:F, A277, Total!A:A, "&lt;&gt;")</f>
        <v>1</v>
      </c>
      <c r="D277">
        <f>COUNTIFS(Total!C:C,$N$3,Total!F:F, A277, Total!A:A, "&lt;&gt;")</f>
        <v>10</v>
      </c>
      <c r="E277">
        <f>COUNTIFS(Total!C:C,$N$5,Total!F:F, A277, Total!A:A, "&lt;&gt;")</f>
        <v>0</v>
      </c>
    </row>
    <row r="278" spans="1:5" x14ac:dyDescent="0.3">
      <c r="A278" s="1">
        <v>46028</v>
      </c>
      <c r="B278">
        <f>COUNTIFS(Total!F:F, A278, Total!A:A, "&lt;&gt;")</f>
        <v>16</v>
      </c>
      <c r="C278">
        <f>COUNTIFS(Total!C:C,$N$4,Total!F:F, A278, Total!A:A, "&lt;&gt;")</f>
        <v>6</v>
      </c>
      <c r="D278">
        <f>COUNTIFS(Total!C:C,$N$3,Total!F:F, A278, Total!A:A, "&lt;&gt;")</f>
        <v>10</v>
      </c>
      <c r="E278">
        <f>COUNTIFS(Total!C:C,$N$5,Total!F:F, A278, Total!A:A, "&lt;&gt;")</f>
        <v>0</v>
      </c>
    </row>
    <row r="279" spans="1:5" x14ac:dyDescent="0.3">
      <c r="A279" s="1">
        <v>46029</v>
      </c>
      <c r="B279">
        <f>COUNTIFS(Total!F:F, A279, Total!A:A, "&lt;&gt;")</f>
        <v>20</v>
      </c>
      <c r="C279">
        <f>COUNTIFS(Total!C:C,$N$4,Total!F:F, A279, Total!A:A, "&lt;&gt;")</f>
        <v>2</v>
      </c>
      <c r="D279">
        <f>COUNTIFS(Total!C:C,$N$3,Total!F:F, A279, Total!A:A, "&lt;&gt;")</f>
        <v>18</v>
      </c>
      <c r="E279">
        <f>COUNTIFS(Total!C:C,$N$5,Total!F:F, A279, Total!A:A, "&lt;&gt;")</f>
        <v>0</v>
      </c>
    </row>
    <row r="280" spans="1:5" x14ac:dyDescent="0.3">
      <c r="A280" s="1">
        <v>46030</v>
      </c>
      <c r="B280">
        <f>COUNTIFS(Total!F:F, A280, Total!A:A, "&lt;&gt;")</f>
        <v>27</v>
      </c>
      <c r="C280">
        <f>COUNTIFS(Total!C:C,$N$4,Total!F:F, A280, Total!A:A, "&lt;&gt;")</f>
        <v>6</v>
      </c>
      <c r="D280">
        <f>COUNTIFS(Total!C:C,$N$3,Total!F:F, A280, Total!A:A, "&lt;&gt;")</f>
        <v>21</v>
      </c>
      <c r="E280">
        <f>COUNTIFS(Total!C:C,$N$5,Total!F:F, A280, Total!A:A, "&lt;&gt;")</f>
        <v>0</v>
      </c>
    </row>
    <row r="281" spans="1:5" x14ac:dyDescent="0.3">
      <c r="A281" s="1">
        <v>46031</v>
      </c>
      <c r="B281">
        <f>COUNTIFS(Total!F:F, A281, Total!A:A, "&lt;&gt;")</f>
        <v>11</v>
      </c>
      <c r="C281">
        <f>COUNTIFS(Total!C:C,$N$4,Total!F:F, A281, Total!A:A, "&lt;&gt;")</f>
        <v>3</v>
      </c>
      <c r="D281">
        <f>COUNTIFS(Total!C:C,$N$3,Total!F:F, A281, Total!A:A, "&lt;&gt;")</f>
        <v>8</v>
      </c>
      <c r="E281">
        <f>COUNTIFS(Total!C:C,$N$5,Total!F:F, A281, Total!A:A, "&lt;&gt;")</f>
        <v>0</v>
      </c>
    </row>
    <row r="282" spans="1:5" x14ac:dyDescent="0.3">
      <c r="A282" s="1">
        <v>46032</v>
      </c>
      <c r="B282">
        <f>COUNTIFS(Total!F:F, A282, Total!A:A, "&lt;&gt;")</f>
        <v>0</v>
      </c>
      <c r="C282">
        <f>COUNTIFS(Total!C:C,$N$4,Total!F:F, A282, Total!A:A, "&lt;&gt;")</f>
        <v>0</v>
      </c>
      <c r="D282">
        <f>COUNTIFS(Total!C:C,$N$3,Total!F:F, A282, Total!A:A, "&lt;&gt;")</f>
        <v>0</v>
      </c>
      <c r="E282">
        <f>COUNTIFS(Total!C:C,$N$5,Total!F:F, A282, Total!A:A, "&lt;&gt;")</f>
        <v>0</v>
      </c>
    </row>
    <row r="283" spans="1:5" x14ac:dyDescent="0.3">
      <c r="A283" s="1">
        <v>46033</v>
      </c>
      <c r="B283">
        <f>COUNTIFS(Total!F:F, A283, Total!A:A, "&lt;&gt;")</f>
        <v>0</v>
      </c>
      <c r="C283">
        <f>COUNTIFS(Total!C:C,$N$4,Total!F:F, A283, Total!A:A, "&lt;&gt;")</f>
        <v>0</v>
      </c>
      <c r="D283">
        <f>COUNTIFS(Total!C:C,$N$3,Total!F:F, A283, Total!A:A, "&lt;&gt;")</f>
        <v>0</v>
      </c>
      <c r="E283">
        <f>COUNTIFS(Total!C:C,$N$5,Total!F:F, A283, Total!A:A, "&lt;&gt;")</f>
        <v>0</v>
      </c>
    </row>
    <row r="284" spans="1:5" x14ac:dyDescent="0.3">
      <c r="A284" s="1">
        <v>46034</v>
      </c>
      <c r="B284">
        <f>COUNTIFS(Total!F:F, A284, Total!A:A, "&lt;&gt;")</f>
        <v>18</v>
      </c>
      <c r="C284">
        <f>COUNTIFS(Total!C:C,$N$4,Total!F:F, A284, Total!A:A, "&lt;&gt;")</f>
        <v>5</v>
      </c>
      <c r="D284">
        <f>COUNTIFS(Total!C:C,$N$3,Total!F:F, A284, Total!A:A, "&lt;&gt;")</f>
        <v>13</v>
      </c>
      <c r="E284">
        <f>COUNTIFS(Total!C:C,$N$5,Total!F:F, A284, Total!A:A, "&lt;&gt;")</f>
        <v>0</v>
      </c>
    </row>
    <row r="285" spans="1:5" x14ac:dyDescent="0.3">
      <c r="A285" s="1">
        <v>46035</v>
      </c>
      <c r="B285">
        <f>COUNTIFS(Total!F:F, A285, Total!A:A, "&lt;&gt;")</f>
        <v>20</v>
      </c>
      <c r="C285">
        <f>COUNTIFS(Total!C:C,$N$4,Total!F:F, A285, Total!A:A, "&lt;&gt;")</f>
        <v>1</v>
      </c>
      <c r="D285">
        <f>COUNTIFS(Total!C:C,$N$3,Total!F:F, A285, Total!A:A, "&lt;&gt;")</f>
        <v>19</v>
      </c>
      <c r="E285">
        <f>COUNTIFS(Total!C:C,$N$5,Total!F:F, A285, Total!A:A, "&lt;&gt;")</f>
        <v>0</v>
      </c>
    </row>
    <row r="286" spans="1:5" x14ac:dyDescent="0.3">
      <c r="A286" s="1">
        <v>46036</v>
      </c>
      <c r="B286">
        <f>COUNTIFS(Total!F:F, A286, Total!A:A, "&lt;&gt;")</f>
        <v>32</v>
      </c>
      <c r="C286">
        <f>COUNTIFS(Total!C:C,$N$4,Total!F:F, A286, Total!A:A, "&lt;&gt;")</f>
        <v>3</v>
      </c>
      <c r="D286">
        <f>COUNTIFS(Total!C:C,$N$3,Total!F:F, A286, Total!A:A, "&lt;&gt;")</f>
        <v>29</v>
      </c>
      <c r="E286">
        <f>COUNTIFS(Total!C:C,$N$5,Total!F:F, A286, Total!A:A, "&lt;&gt;")</f>
        <v>0</v>
      </c>
    </row>
    <row r="287" spans="1:5" x14ac:dyDescent="0.3">
      <c r="A287" s="1">
        <v>46037</v>
      </c>
      <c r="B287">
        <f>COUNTIFS(Total!F:F, A287, Total!A:A, "&lt;&gt;")</f>
        <v>19</v>
      </c>
      <c r="C287">
        <f>COUNTIFS(Total!C:C,$N$4,Total!F:F, A287, Total!A:A, "&lt;&gt;")</f>
        <v>6</v>
      </c>
      <c r="D287">
        <f>COUNTIFS(Total!C:C,$N$3,Total!F:F, A287, Total!A:A, "&lt;&gt;")</f>
        <v>13</v>
      </c>
      <c r="E287">
        <f>COUNTIFS(Total!C:C,$N$5,Total!F:F, A287, Total!A:A, "&lt;&gt;")</f>
        <v>0</v>
      </c>
    </row>
    <row r="288" spans="1:5" x14ac:dyDescent="0.3">
      <c r="A288" s="1">
        <v>46038</v>
      </c>
      <c r="B288">
        <f>COUNTIFS(Total!F:F, A288, Total!A:A, "&lt;&gt;")</f>
        <v>17</v>
      </c>
      <c r="C288">
        <f>COUNTIFS(Total!C:C,$N$4,Total!F:F, A288, Total!A:A, "&lt;&gt;")</f>
        <v>2</v>
      </c>
      <c r="D288">
        <f>COUNTIFS(Total!C:C,$N$3,Total!F:F, A288, Total!A:A, "&lt;&gt;")</f>
        <v>15</v>
      </c>
      <c r="E288">
        <f>COUNTIFS(Total!C:C,$N$5,Total!F:F, A288, Total!A:A, "&lt;&gt;")</f>
        <v>0</v>
      </c>
    </row>
    <row r="289" spans="1:5" x14ac:dyDescent="0.3">
      <c r="A289" s="1">
        <v>46039</v>
      </c>
      <c r="B289">
        <f>COUNTIFS(Total!F:F, A289, Total!A:A, "&lt;&gt;")</f>
        <v>0</v>
      </c>
      <c r="C289">
        <f>COUNTIFS(Total!C:C,$N$4,Total!F:F, A289, Total!A:A, "&lt;&gt;")</f>
        <v>0</v>
      </c>
      <c r="D289">
        <f>COUNTIFS(Total!C:C,$N$3,Total!F:F, A289, Total!A:A, "&lt;&gt;")</f>
        <v>0</v>
      </c>
      <c r="E289">
        <f>COUNTIFS(Total!C:C,$N$5,Total!F:F, A289, Total!A:A, "&lt;&gt;")</f>
        <v>0</v>
      </c>
    </row>
    <row r="290" spans="1:5" x14ac:dyDescent="0.3">
      <c r="A290" s="1">
        <v>46040</v>
      </c>
      <c r="B290">
        <f>COUNTIFS(Total!F:F, A290, Total!A:A, "&lt;&gt;")</f>
        <v>0</v>
      </c>
      <c r="C290">
        <f>COUNTIFS(Total!C:C,$N$4,Total!F:F, A290, Total!A:A, "&lt;&gt;")</f>
        <v>0</v>
      </c>
      <c r="D290">
        <f>COUNTIFS(Total!C:C,$N$3,Total!F:F, A290, Total!A:A, "&lt;&gt;")</f>
        <v>0</v>
      </c>
      <c r="E290">
        <f>COUNTIFS(Total!C:C,$N$5,Total!F:F, A290, Total!A:A, "&lt;&gt;")</f>
        <v>0</v>
      </c>
    </row>
    <row r="291" spans="1:5" x14ac:dyDescent="0.3">
      <c r="A291" s="1">
        <v>46041</v>
      </c>
      <c r="B291">
        <f>COUNTIFS(Total!F:F, A291, Total!A:A, "&lt;&gt;")</f>
        <v>17</v>
      </c>
      <c r="C291">
        <f>COUNTIFS(Total!C:C,$N$4,Total!F:F, A291, Total!A:A, "&lt;&gt;")</f>
        <v>7</v>
      </c>
      <c r="D291">
        <f>COUNTIFS(Total!C:C,$N$3,Total!F:F, A291, Total!A:A, "&lt;&gt;")</f>
        <v>10</v>
      </c>
      <c r="E291">
        <f>COUNTIFS(Total!C:C,$N$5,Total!F:F, A291, Total!A:A, "&lt;&gt;")</f>
        <v>0</v>
      </c>
    </row>
    <row r="292" spans="1:5" x14ac:dyDescent="0.3">
      <c r="A292" s="1">
        <v>46042</v>
      </c>
      <c r="B292">
        <f>COUNTIFS(Total!F:F, A292, Total!A:A, "&lt;&gt;")</f>
        <v>23</v>
      </c>
      <c r="C292">
        <f>COUNTIFS(Total!C:C,$N$4,Total!F:F, A292, Total!A:A, "&lt;&gt;")</f>
        <v>1</v>
      </c>
      <c r="D292">
        <f>COUNTIFS(Total!C:C,$N$3,Total!F:F, A292, Total!A:A, "&lt;&gt;")</f>
        <v>22</v>
      </c>
      <c r="E292">
        <f>COUNTIFS(Total!C:C,$N$5,Total!F:F, A292, Total!A:A, "&lt;&gt;")</f>
        <v>0</v>
      </c>
    </row>
    <row r="293" spans="1:5" x14ac:dyDescent="0.3">
      <c r="A293" s="1">
        <v>46043</v>
      </c>
      <c r="B293">
        <f>COUNTIFS(Total!F:F, A293, Total!A:A, "&lt;&gt;")</f>
        <v>23</v>
      </c>
      <c r="C293">
        <f>COUNTIFS(Total!C:C,$N$4,Total!F:F, A293, Total!A:A, "&lt;&gt;")</f>
        <v>7</v>
      </c>
      <c r="D293">
        <f>COUNTIFS(Total!C:C,$N$3,Total!F:F, A293, Total!A:A, "&lt;&gt;")</f>
        <v>11</v>
      </c>
      <c r="E293">
        <f>COUNTIFS(Total!C:C,$N$5,Total!F:F, A293, Total!A:A, "&lt;&gt;")</f>
        <v>5</v>
      </c>
    </row>
    <row r="294" spans="1:5" x14ac:dyDescent="0.3">
      <c r="A294" s="1">
        <v>46044</v>
      </c>
      <c r="B294">
        <f>COUNTIFS(Total!F:F, A294, Total!A:A, "&lt;&gt;")</f>
        <v>22</v>
      </c>
      <c r="C294">
        <f>COUNTIFS(Total!C:C,$N$4,Total!F:F, A294, Total!A:A, "&lt;&gt;")</f>
        <v>3</v>
      </c>
      <c r="D294">
        <f>COUNTIFS(Total!C:C,$N$3,Total!F:F, A294, Total!A:A, "&lt;&gt;")</f>
        <v>18</v>
      </c>
      <c r="E294">
        <f>COUNTIFS(Total!C:C,$N$5,Total!F:F, A294, Total!A:A, "&lt;&gt;")</f>
        <v>1</v>
      </c>
    </row>
    <row r="295" spans="1:5" x14ac:dyDescent="0.3">
      <c r="A295" s="1">
        <v>46045</v>
      </c>
      <c r="B295">
        <f>COUNTIFS(Total!F:F, A295, Total!A:A, "&lt;&gt;")</f>
        <v>24</v>
      </c>
      <c r="C295">
        <f>COUNTIFS(Total!C:C,$N$4,Total!F:F, A295, Total!A:A, "&lt;&gt;")</f>
        <v>5</v>
      </c>
      <c r="D295">
        <f>COUNTIFS(Total!C:C,$N$3,Total!F:F, A295, Total!A:A, "&lt;&gt;")</f>
        <v>18</v>
      </c>
      <c r="E295">
        <f>COUNTIFS(Total!C:C,$N$5,Total!F:F, A295, Total!A:A, "&lt;&gt;")</f>
        <v>1</v>
      </c>
    </row>
    <row r="296" spans="1:5" x14ac:dyDescent="0.3">
      <c r="A296" s="1">
        <v>46046</v>
      </c>
      <c r="B296">
        <f>COUNTIFS(Total!F:F, A296, Total!A:A, "&lt;&gt;")</f>
        <v>0</v>
      </c>
      <c r="C296">
        <f>COUNTIFS(Total!C:C,$N$4,Total!F:F, A296, Total!A:A, "&lt;&gt;")</f>
        <v>0</v>
      </c>
      <c r="D296">
        <f>COUNTIFS(Total!C:C,$N$3,Total!F:F, A296, Total!A:A, "&lt;&gt;")</f>
        <v>0</v>
      </c>
      <c r="E296">
        <f>COUNTIFS(Total!C:C,$N$5,Total!F:F, A296, Total!A:A, "&lt;&gt;")</f>
        <v>0</v>
      </c>
    </row>
    <row r="297" spans="1:5" x14ac:dyDescent="0.3">
      <c r="A297" s="1">
        <v>46047</v>
      </c>
      <c r="B297">
        <f>COUNTIFS(Total!F:F, A297, Total!A:A, "&lt;&gt;")</f>
        <v>0</v>
      </c>
      <c r="C297">
        <f>COUNTIFS(Total!C:C,$N$4,Total!F:F, A297, Total!A:A, "&lt;&gt;")</f>
        <v>0</v>
      </c>
      <c r="D297">
        <f>COUNTIFS(Total!C:C,$N$3,Total!F:F, A297, Total!A:A, "&lt;&gt;")</f>
        <v>0</v>
      </c>
      <c r="E297">
        <f>COUNTIFS(Total!C:C,$N$5,Total!F:F, A297, Total!A:A, "&lt;&gt;")</f>
        <v>0</v>
      </c>
    </row>
    <row r="298" spans="1:5" x14ac:dyDescent="0.3">
      <c r="A298" s="1">
        <v>46048</v>
      </c>
      <c r="B298">
        <f>COUNTIFS(Total!F:F, A298, Total!A:A, "&lt;&gt;")</f>
        <v>26</v>
      </c>
      <c r="C298">
        <f>COUNTIFS(Total!C:C,$N$4,Total!F:F, A298, Total!A:A, "&lt;&gt;")</f>
        <v>4</v>
      </c>
      <c r="D298">
        <f>COUNTIFS(Total!C:C,$N$3,Total!F:F, A298, Total!A:A, "&lt;&gt;")</f>
        <v>18</v>
      </c>
      <c r="E298">
        <f>COUNTIFS(Total!C:C,$N$5,Total!F:F, A298, Total!A:A, "&lt;&gt;")</f>
        <v>4</v>
      </c>
    </row>
    <row r="299" spans="1:5" x14ac:dyDescent="0.3">
      <c r="A299" s="1">
        <v>46049</v>
      </c>
      <c r="B299">
        <f>COUNTIFS(Total!F:F, A299, Total!A:A, "&lt;&gt;")</f>
        <v>14</v>
      </c>
      <c r="C299">
        <f>COUNTIFS(Total!C:C,$N$4,Total!F:F, A299, Total!A:A, "&lt;&gt;")</f>
        <v>1</v>
      </c>
      <c r="D299">
        <f>COUNTIFS(Total!C:C,$N$3,Total!F:F, A299, Total!A:A, "&lt;&gt;")</f>
        <v>6</v>
      </c>
      <c r="E299">
        <f>COUNTIFS(Total!C:C,$N$5,Total!F:F, A299, Total!A:A, "&lt;&gt;")</f>
        <v>7</v>
      </c>
    </row>
    <row r="300" spans="1:5" x14ac:dyDescent="0.3">
      <c r="A300" s="1">
        <v>46050</v>
      </c>
      <c r="B300">
        <f>COUNTIFS(Total!F:F, A300, Total!A:A, "&lt;&gt;")</f>
        <v>23</v>
      </c>
      <c r="C300">
        <f>COUNTIFS(Total!C:C,$N$4,Total!F:F, A300, Total!A:A, "&lt;&gt;")</f>
        <v>1</v>
      </c>
      <c r="D300">
        <f>COUNTIFS(Total!C:C,$N$3,Total!F:F, A300, Total!A:A, "&lt;&gt;")</f>
        <v>19</v>
      </c>
      <c r="E300">
        <f>COUNTIFS(Total!C:C,$N$5,Total!F:F, A300, Total!A:A, "&lt;&gt;")</f>
        <v>3</v>
      </c>
    </row>
    <row r="301" spans="1:5" x14ac:dyDescent="0.3">
      <c r="A301" s="1">
        <v>46051</v>
      </c>
      <c r="B301">
        <f>COUNTIFS(Total!F:F, A301, Total!A:A, "&lt;&gt;")</f>
        <v>26</v>
      </c>
      <c r="C301">
        <f>COUNTIFS(Total!C:C,$N$4,Total!F:F, A301, Total!A:A, "&lt;&gt;")</f>
        <v>3</v>
      </c>
      <c r="D301">
        <f>COUNTIFS(Total!C:C,$N$3,Total!F:F, A301, Total!A:A, "&lt;&gt;")</f>
        <v>18</v>
      </c>
      <c r="E301">
        <f>COUNTIFS(Total!C:C,$N$5,Total!F:F, A301, Total!A:A, "&lt;&gt;")</f>
        <v>5</v>
      </c>
    </row>
    <row r="302" spans="1:5" x14ac:dyDescent="0.3">
      <c r="A302" s="1">
        <v>46052</v>
      </c>
      <c r="B302">
        <f>COUNTIFS(Total!F:F, A302, Total!A:A, "&lt;&gt;")</f>
        <v>12</v>
      </c>
      <c r="C302">
        <f>COUNTIFS(Total!C:C,$N$4,Total!F:F, A302, Total!A:A, "&lt;&gt;")</f>
        <v>3</v>
      </c>
      <c r="D302">
        <f>COUNTIFS(Total!C:C,$N$3,Total!F:F, A302, Total!A:A, "&lt;&gt;")</f>
        <v>4</v>
      </c>
      <c r="E302">
        <f>COUNTIFS(Total!C:C,$N$5,Total!F:F, A302, Total!A:A, "&lt;&gt;")</f>
        <v>5</v>
      </c>
    </row>
    <row r="303" spans="1:5" x14ac:dyDescent="0.3">
      <c r="A303" s="1">
        <v>46053</v>
      </c>
      <c r="B303">
        <f>COUNTIFS(Total!F:F, A303, Total!A:A, "&lt;&gt;")</f>
        <v>0</v>
      </c>
      <c r="C303">
        <f>COUNTIFS(Total!C:C,$N$4,Total!F:F, A303, Total!A:A, "&lt;&gt;")</f>
        <v>0</v>
      </c>
      <c r="D303">
        <f>COUNTIFS(Total!C:C,$N$3,Total!F:F, A303, Total!A:A, "&lt;&gt;")</f>
        <v>0</v>
      </c>
      <c r="E303">
        <f>COUNTIFS(Total!C:C,$N$5,Total!F:F, A303, Total!A:A, "&lt;&gt;")</f>
        <v>0</v>
      </c>
    </row>
    <row r="304" spans="1:5" x14ac:dyDescent="0.3">
      <c r="A304" s="1">
        <v>46054</v>
      </c>
      <c r="B304">
        <f>COUNTIFS(Total!F:F, A304, Total!A:A, "&lt;&gt;")</f>
        <v>0</v>
      </c>
      <c r="C304">
        <f>COUNTIFS(Total!C:C,$N$4,Total!F:F, A304, Total!A:A, "&lt;&gt;")</f>
        <v>0</v>
      </c>
      <c r="D304">
        <f>COUNTIFS(Total!C:C,$N$3,Total!F:F, A304, Total!A:A, "&lt;&gt;")</f>
        <v>0</v>
      </c>
      <c r="E304">
        <f>COUNTIFS(Total!C:C,$N$5,Total!F:F, A304, Total!A:A, "&lt;&gt;")</f>
        <v>0</v>
      </c>
    </row>
    <row r="305" spans="1:5" x14ac:dyDescent="0.3">
      <c r="A305" s="1">
        <v>46055</v>
      </c>
      <c r="B305">
        <f>COUNTIFS(Total!F:F, A305, Total!A:A, "&lt;&gt;")</f>
        <v>13</v>
      </c>
      <c r="C305">
        <f>COUNTIFS(Total!C:C,$N$4,Total!F:F, A305, Total!A:A, "&lt;&gt;")</f>
        <v>5</v>
      </c>
      <c r="D305">
        <f>COUNTIFS(Total!C:C,$N$3,Total!F:F, A305, Total!A:A, "&lt;&gt;")</f>
        <v>7</v>
      </c>
      <c r="E305">
        <f>COUNTIFS(Total!C:C,$N$5,Total!F:F, A305, Total!A:A, "&lt;&gt;")</f>
        <v>1</v>
      </c>
    </row>
    <row r="306" spans="1:5" x14ac:dyDescent="0.3">
      <c r="A306" s="1">
        <v>46056</v>
      </c>
      <c r="B306">
        <f>COUNTIFS(Total!F:F, A306, Total!A:A, "&lt;&gt;")</f>
        <v>20</v>
      </c>
      <c r="C306">
        <f>COUNTIFS(Total!C:C,$N$4,Total!F:F, A306, Total!A:A, "&lt;&gt;")</f>
        <v>3</v>
      </c>
      <c r="D306">
        <f>COUNTIFS(Total!C:C,$N$3,Total!F:F, A306, Total!A:A, "&lt;&gt;")</f>
        <v>15</v>
      </c>
      <c r="E306">
        <f>COUNTIFS(Total!C:C,$N$5,Total!F:F, A306, Total!A:A, "&lt;&gt;")</f>
        <v>2</v>
      </c>
    </row>
    <row r="307" spans="1:5" x14ac:dyDescent="0.3">
      <c r="A307" s="1">
        <v>46057</v>
      </c>
      <c r="B307">
        <f>COUNTIFS(Total!F:F, A307, Total!A:A, "&lt;&gt;")</f>
        <v>25</v>
      </c>
      <c r="C307">
        <f>COUNTIFS(Total!C:C,$N$4,Total!F:F, A307, Total!A:A, "&lt;&gt;")</f>
        <v>3</v>
      </c>
      <c r="D307">
        <f>COUNTIFS(Total!C:C,$N$3,Total!F:F, A307, Total!A:A, "&lt;&gt;")</f>
        <v>21</v>
      </c>
      <c r="E307">
        <f>COUNTIFS(Total!C:C,$N$5,Total!F:F, A307, Total!A:A, "&lt;&gt;")</f>
        <v>1</v>
      </c>
    </row>
    <row r="308" spans="1:5" x14ac:dyDescent="0.3">
      <c r="A308" s="1">
        <v>46058</v>
      </c>
      <c r="B308">
        <f>COUNTIFS(Total!F:F, A308, Total!A:A, "&lt;&gt;")</f>
        <v>16</v>
      </c>
      <c r="C308">
        <f>COUNTIFS(Total!C:C,$N$4,Total!F:F, A308, Total!A:A, "&lt;&gt;")</f>
        <v>4</v>
      </c>
      <c r="D308">
        <f>COUNTIFS(Total!C:C,$N$3,Total!F:F, A308, Total!A:A, "&lt;&gt;")</f>
        <v>10</v>
      </c>
      <c r="E308">
        <f>COUNTIFS(Total!C:C,$N$5,Total!F:F, A308, Total!A:A, "&lt;&gt;")</f>
        <v>2</v>
      </c>
    </row>
    <row r="309" spans="1:5" x14ac:dyDescent="0.3">
      <c r="A309" s="1">
        <v>46059</v>
      </c>
      <c r="B309">
        <f>COUNTIFS(Total!F:F, A309, Total!A:A, "&lt;&gt;")</f>
        <v>17</v>
      </c>
      <c r="C309">
        <f>COUNTIFS(Total!C:C,$N$4,Total!F:F, A309, Total!A:A, "&lt;&gt;")</f>
        <v>3</v>
      </c>
      <c r="D309">
        <f>COUNTIFS(Total!C:C,$N$3,Total!F:F, A309, Total!A:A, "&lt;&gt;")</f>
        <v>11</v>
      </c>
      <c r="E309">
        <f>COUNTIFS(Total!C:C,$N$5,Total!F:F, A309, Total!A:A, "&lt;&gt;")</f>
        <v>3</v>
      </c>
    </row>
    <row r="310" spans="1:5" x14ac:dyDescent="0.3">
      <c r="A310" s="1">
        <v>46060</v>
      </c>
      <c r="B310">
        <f>COUNTIFS(Total!F:F, A310, Total!A:A, "&lt;&gt;")</f>
        <v>0</v>
      </c>
      <c r="C310">
        <f>COUNTIFS(Total!C:C,$N$4,Total!F:F, A310, Total!A:A, "&lt;&gt;")</f>
        <v>0</v>
      </c>
      <c r="D310">
        <f>COUNTIFS(Total!C:C,$N$3,Total!F:F, A310, Total!A:A, "&lt;&gt;")</f>
        <v>0</v>
      </c>
      <c r="E310">
        <f>COUNTIFS(Total!C:C,$N$5,Total!F:F, A310, Total!A:A, "&lt;&gt;")</f>
        <v>0</v>
      </c>
    </row>
    <row r="311" spans="1:5" x14ac:dyDescent="0.3">
      <c r="A311" s="1">
        <v>46061</v>
      </c>
      <c r="B311">
        <f>COUNTIFS(Total!F:F, A311, Total!A:A, "&lt;&gt;")</f>
        <v>0</v>
      </c>
      <c r="C311">
        <f>COUNTIFS(Total!C:C,$N$4,Total!F:F, A311, Total!A:A, "&lt;&gt;")</f>
        <v>0</v>
      </c>
      <c r="D311">
        <f>COUNTIFS(Total!C:C,$N$3,Total!F:F, A311, Total!A:A, "&lt;&gt;")</f>
        <v>0</v>
      </c>
      <c r="E311">
        <f>COUNTIFS(Total!C:C,$N$5,Total!F:F, A311, Total!A:A, "&lt;&gt;")</f>
        <v>0</v>
      </c>
    </row>
    <row r="312" spans="1:5" x14ac:dyDescent="0.3">
      <c r="A312" s="1">
        <v>46062</v>
      </c>
      <c r="B312">
        <f>COUNTIFS(Total!F:F, A312, Total!A:A, "&lt;&gt;")</f>
        <v>21</v>
      </c>
      <c r="C312">
        <f>COUNTIFS(Total!C:C,$N$4,Total!F:F, A312, Total!A:A, "&lt;&gt;")</f>
        <v>4</v>
      </c>
      <c r="D312">
        <f>COUNTIFS(Total!C:C,$N$3,Total!F:F, A312, Total!A:A, "&lt;&gt;")</f>
        <v>14</v>
      </c>
      <c r="E312">
        <f>COUNTIFS(Total!C:C,$N$5,Total!F:F, A312, Total!A:A, "&lt;&gt;")</f>
        <v>3</v>
      </c>
    </row>
    <row r="313" spans="1:5" x14ac:dyDescent="0.3">
      <c r="A313" s="1">
        <v>46063</v>
      </c>
      <c r="B313">
        <f>COUNTIFS(Total!F:F, A313, Total!A:A, "&lt;&gt;")</f>
        <v>24</v>
      </c>
      <c r="C313">
        <f>COUNTIFS(Total!C:C,$N$4,Total!F:F, A313, Total!A:A, "&lt;&gt;")</f>
        <v>4</v>
      </c>
      <c r="D313">
        <f>COUNTIFS(Total!C:C,$N$3,Total!F:F, A313, Total!A:A, "&lt;&gt;")</f>
        <v>18</v>
      </c>
      <c r="E313">
        <f>COUNTIFS(Total!C:C,$N$5,Total!F:F, A313, Total!A:A, "&lt;&gt;")</f>
        <v>2</v>
      </c>
    </row>
    <row r="314" spans="1:5" x14ac:dyDescent="0.3">
      <c r="A314" s="1">
        <v>46064</v>
      </c>
      <c r="B314">
        <f>COUNTIFS(Total!F:F, A314, Total!A:A, "&lt;&gt;")</f>
        <v>19</v>
      </c>
      <c r="C314">
        <f>COUNTIFS(Total!C:C,$N$4,Total!F:F, A314, Total!A:A, "&lt;&gt;")</f>
        <v>5</v>
      </c>
      <c r="D314">
        <f>COUNTIFS(Total!C:C,$N$3,Total!F:F, A314, Total!A:A, "&lt;&gt;")</f>
        <v>10</v>
      </c>
      <c r="E314">
        <f>COUNTIFS(Total!C:C,$N$5,Total!F:F, A314, Total!A:A, "&lt;&gt;")</f>
        <v>4</v>
      </c>
    </row>
    <row r="315" spans="1:5" x14ac:dyDescent="0.3">
      <c r="A315" s="1">
        <v>46065</v>
      </c>
      <c r="B315">
        <f>COUNTIFS(Total!F:F, A315, Total!A:A, "&lt;&gt;")</f>
        <v>23</v>
      </c>
      <c r="C315">
        <f>COUNTIFS(Total!C:C,$N$4,Total!F:F, A315, Total!A:A, "&lt;&gt;")</f>
        <v>2</v>
      </c>
      <c r="D315">
        <f>COUNTIFS(Total!C:C,$N$3,Total!F:F, A315, Total!A:A, "&lt;&gt;")</f>
        <v>16</v>
      </c>
      <c r="E315">
        <f>COUNTIFS(Total!C:C,$N$5,Total!F:F, A315, Total!A:A, "&lt;&gt;")</f>
        <v>5</v>
      </c>
    </row>
    <row r="316" spans="1:5" x14ac:dyDescent="0.3">
      <c r="A316" s="1">
        <v>46066</v>
      </c>
      <c r="B316">
        <f>COUNTIFS(Total!F:F, A316, Total!A:A, "&lt;&gt;")</f>
        <v>26</v>
      </c>
      <c r="C316">
        <f>COUNTIFS(Total!C:C,$N$4,Total!F:F, A316, Total!A:A, "&lt;&gt;")</f>
        <v>6</v>
      </c>
      <c r="D316">
        <f>COUNTIFS(Total!C:C,$N$3,Total!F:F, A316, Total!A:A, "&lt;&gt;")</f>
        <v>16</v>
      </c>
      <c r="E316">
        <f>COUNTIFS(Total!C:C,$N$5,Total!F:F, A316, Total!A:A, "&lt;&gt;")</f>
        <v>4</v>
      </c>
    </row>
    <row r="317" spans="1:5" x14ac:dyDescent="0.3">
      <c r="A317" s="1">
        <v>46067</v>
      </c>
      <c r="B317">
        <f>COUNTIFS(Total!F:F, A317, Total!A:A, "&lt;&gt;")</f>
        <v>0</v>
      </c>
      <c r="C317">
        <f>COUNTIFS(Total!C:C,$N$4,Total!F:F, A317, Total!A:A, "&lt;&gt;")</f>
        <v>0</v>
      </c>
      <c r="D317">
        <f>COUNTIFS(Total!C:C,$N$3,Total!F:F, A317, Total!A:A, "&lt;&gt;")</f>
        <v>0</v>
      </c>
      <c r="E317">
        <f>COUNTIFS(Total!C:C,$N$5,Total!F:F, A317, Total!A:A, "&lt;&gt;")</f>
        <v>0</v>
      </c>
    </row>
    <row r="318" spans="1:5" x14ac:dyDescent="0.3">
      <c r="A318" s="1">
        <v>46068</v>
      </c>
      <c r="B318">
        <f>COUNTIFS(Total!F:F, A318, Total!A:A, "&lt;&gt;")</f>
        <v>0</v>
      </c>
      <c r="C318">
        <f>COUNTIFS(Total!C:C,$N$4,Total!F:F, A318, Total!A:A, "&lt;&gt;")</f>
        <v>0</v>
      </c>
      <c r="D318">
        <f>COUNTIFS(Total!C:C,$N$3,Total!F:F, A318, Total!A:A, "&lt;&gt;")</f>
        <v>0</v>
      </c>
      <c r="E318">
        <f>COUNTIFS(Total!C:C,$N$5,Total!F:F, A318, Total!A:A, "&lt;&gt;")</f>
        <v>0</v>
      </c>
    </row>
    <row r="319" spans="1:5" x14ac:dyDescent="0.3">
      <c r="A319" s="1">
        <v>46069</v>
      </c>
      <c r="B319">
        <f>COUNTIFS(Total!F:F, A319, Total!A:A, "&lt;&gt;")</f>
        <v>0</v>
      </c>
      <c r="C319">
        <f>COUNTIFS(Total!C:C,$N$4,Total!F:F, A319, Total!A:A, "&lt;&gt;")</f>
        <v>0</v>
      </c>
      <c r="D319">
        <f>COUNTIFS(Total!C:C,$N$3,Total!F:F, A319, Total!A:A, "&lt;&gt;")</f>
        <v>0</v>
      </c>
      <c r="E319">
        <f>COUNTIFS(Total!C:C,$N$5,Total!F:F, A319, Total!A:A, "&lt;&gt;")</f>
        <v>0</v>
      </c>
    </row>
    <row r="320" spans="1:5" x14ac:dyDescent="0.3">
      <c r="A320" s="1">
        <v>46070</v>
      </c>
      <c r="B320">
        <f>COUNTIFS(Total!F:F, A320, Total!A:A, "&lt;&gt;")</f>
        <v>29</v>
      </c>
      <c r="C320">
        <f>COUNTIFS(Total!C:C,$N$4,Total!F:F, A320, Total!A:A, "&lt;&gt;")</f>
        <v>5</v>
      </c>
      <c r="D320">
        <f>COUNTIFS(Total!C:C,$N$3,Total!F:F, A320, Total!A:A, "&lt;&gt;")</f>
        <v>22</v>
      </c>
      <c r="E320">
        <f>COUNTIFS(Total!C:C,$N$5,Total!F:F, A320, Total!A:A, "&lt;&gt;")</f>
        <v>2</v>
      </c>
    </row>
    <row r="321" spans="1:5" x14ac:dyDescent="0.3">
      <c r="A321" s="1">
        <v>46071</v>
      </c>
      <c r="B321">
        <f>COUNTIFS(Total!F:F, A321, Total!A:A, "&lt;&gt;")</f>
        <v>27</v>
      </c>
      <c r="C321">
        <f>COUNTIFS(Total!C:C,$N$4,Total!F:F, A321, Total!A:A, "&lt;&gt;")</f>
        <v>3</v>
      </c>
      <c r="D321">
        <f>COUNTIFS(Total!C:C,$N$3,Total!F:F, A321, Total!A:A, "&lt;&gt;")</f>
        <v>24</v>
      </c>
      <c r="E321">
        <f>COUNTIFS(Total!C:C,$N$5,Total!F:F, A321, Total!A:A, "&lt;&gt;")</f>
        <v>0</v>
      </c>
    </row>
    <row r="322" spans="1:5" x14ac:dyDescent="0.3">
      <c r="A322" s="1">
        <v>46072</v>
      </c>
      <c r="B322">
        <f>COUNTIFS(Total!F:F, A322, Total!A:A, "&lt;&gt;")</f>
        <v>31</v>
      </c>
      <c r="C322">
        <f>COUNTIFS(Total!C:C,$N$4,Total!F:F, A322, Total!A:A, "&lt;&gt;")</f>
        <v>1</v>
      </c>
      <c r="D322">
        <f>COUNTIFS(Total!C:C,$N$3,Total!F:F, A322, Total!A:A, "&lt;&gt;")</f>
        <v>29</v>
      </c>
      <c r="E322">
        <f>COUNTIFS(Total!C:C,$N$5,Total!F:F, A322, Total!A:A, "&lt;&gt;")</f>
        <v>1</v>
      </c>
    </row>
    <row r="323" spans="1:5" x14ac:dyDescent="0.3">
      <c r="A323" s="1">
        <v>46073</v>
      </c>
      <c r="B323">
        <f>COUNTIFS(Total!F:F, A323, Total!A:A, "&lt;&gt;")</f>
        <v>29</v>
      </c>
      <c r="C323">
        <f>COUNTIFS(Total!C:C,$N$4,Total!F:F, A323, Total!A:A, "&lt;&gt;")</f>
        <v>2</v>
      </c>
      <c r="D323">
        <f>COUNTIFS(Total!C:C,$N$3,Total!F:F, A323, Total!A:A, "&lt;&gt;")</f>
        <v>23</v>
      </c>
      <c r="E323">
        <f>COUNTIFS(Total!C:C,$N$5,Total!F:F, A323, Total!A:A, "&lt;&gt;")</f>
        <v>4</v>
      </c>
    </row>
    <row r="324" spans="1:5" x14ac:dyDescent="0.3">
      <c r="A324" s="1">
        <v>46074</v>
      </c>
      <c r="B324">
        <f>COUNTIFS(Total!F:F, A324, Total!A:A, "&lt;&gt;")</f>
        <v>0</v>
      </c>
      <c r="C324">
        <f>COUNTIFS(Total!C:C,$N$4,Total!F:F, A324, Total!A:A, "&lt;&gt;")</f>
        <v>0</v>
      </c>
      <c r="D324">
        <f>COUNTIFS(Total!C:C,$N$3,Total!F:F, A324, Total!A:A, "&lt;&gt;")</f>
        <v>0</v>
      </c>
      <c r="E324">
        <f>COUNTIFS(Total!C:C,$N$5,Total!F:F, A324, Total!A:A, "&lt;&gt;")</f>
        <v>0</v>
      </c>
    </row>
    <row r="325" spans="1:5" x14ac:dyDescent="0.3">
      <c r="A325" s="1">
        <v>46075</v>
      </c>
      <c r="B325">
        <f>COUNTIFS(Total!F:F, A325, Total!A:A, "&lt;&gt;")</f>
        <v>0</v>
      </c>
      <c r="C325">
        <f>COUNTIFS(Total!C:C,$N$4,Total!F:F, A325, Total!A:A, "&lt;&gt;")</f>
        <v>0</v>
      </c>
      <c r="D325">
        <f>COUNTIFS(Total!C:C,$N$3,Total!F:F, A325, Total!A:A, "&lt;&gt;")</f>
        <v>0</v>
      </c>
      <c r="E325">
        <f>COUNTIFS(Total!C:C,$N$5,Total!F:F, A325, Total!A:A, "&lt;&gt;")</f>
        <v>0</v>
      </c>
    </row>
    <row r="326" spans="1:5" x14ac:dyDescent="0.3">
      <c r="A326" s="1">
        <v>46076</v>
      </c>
      <c r="B326">
        <f>COUNTIFS(Total!F:F, A326, Total!A:A, "&lt;&gt;")</f>
        <v>27</v>
      </c>
      <c r="C326">
        <f>COUNTIFS(Total!C:C,$N$4,Total!F:F, A326, Total!A:A, "&lt;&gt;")</f>
        <v>3</v>
      </c>
      <c r="D326">
        <f>COUNTIFS(Total!C:C,$N$3,Total!F:F, A326, Total!A:A, "&lt;&gt;")</f>
        <v>22</v>
      </c>
      <c r="E326">
        <f>COUNTIFS(Total!C:C,$N$5,Total!F:F, A326, Total!A:A, "&lt;&gt;")</f>
        <v>2</v>
      </c>
    </row>
    <row r="327" spans="1:5" x14ac:dyDescent="0.3">
      <c r="A327" s="1">
        <v>46077</v>
      </c>
      <c r="B327">
        <f>COUNTIFS(Total!F:F, A327, Total!A:A, "&lt;&gt;")</f>
        <v>29</v>
      </c>
      <c r="C327">
        <f>COUNTIFS(Total!C:C,$N$4,Total!F:F, A327, Total!A:A, "&lt;&gt;")</f>
        <v>4</v>
      </c>
      <c r="D327">
        <f>COUNTIFS(Total!C:C,$N$3,Total!F:F, A327, Total!A:A, "&lt;&gt;")</f>
        <v>22</v>
      </c>
      <c r="E327">
        <f>COUNTIFS(Total!C:C,$N$5,Total!F:F, A327, Total!A:A, "&lt;&gt;")</f>
        <v>3</v>
      </c>
    </row>
    <row r="328" spans="1:5" x14ac:dyDescent="0.3">
      <c r="A328" s="1">
        <v>46078</v>
      </c>
      <c r="B328">
        <f>COUNTIFS(Total!F:F, A328, Total!A:A, "&lt;&gt;")</f>
        <v>35</v>
      </c>
      <c r="C328">
        <f>COUNTIFS(Total!C:C,$N$4,Total!F:F, A328, Total!A:A, "&lt;&gt;")</f>
        <v>5</v>
      </c>
      <c r="D328">
        <f>COUNTIFS(Total!C:C,$N$3,Total!F:F, A328, Total!A:A, "&lt;&gt;")</f>
        <v>26</v>
      </c>
      <c r="E328">
        <f>COUNTIFS(Total!C:C,$N$5,Total!F:F, A328, Total!A:A, "&lt;&gt;")</f>
        <v>4</v>
      </c>
    </row>
    <row r="329" spans="1:5" x14ac:dyDescent="0.3">
      <c r="A329" s="1">
        <v>46079</v>
      </c>
      <c r="B329">
        <f>COUNTIFS(Total!F:F, A329, Total!A:A, "&lt;&gt;")</f>
        <v>18</v>
      </c>
      <c r="C329">
        <f>COUNTIFS(Total!C:C,$N$4,Total!F:F, A329, Total!A:A, "&lt;&gt;")</f>
        <v>4</v>
      </c>
      <c r="D329">
        <f>COUNTIFS(Total!C:C,$N$3,Total!F:F, A329, Total!A:A, "&lt;&gt;")</f>
        <v>12</v>
      </c>
      <c r="E329">
        <f>COUNTIFS(Total!C:C,$N$5,Total!F:F, A329, Total!A:A, "&lt;&gt;")</f>
        <v>2</v>
      </c>
    </row>
    <row r="330" spans="1:5" x14ac:dyDescent="0.3">
      <c r="A330" s="1">
        <v>46080</v>
      </c>
      <c r="B330">
        <f>COUNTIFS(Total!F:F, A330, Total!A:A, "&lt;&gt;")</f>
        <v>23</v>
      </c>
      <c r="C330">
        <f>COUNTIFS(Total!C:C,$N$4,Total!F:F, A330, Total!A:A, "&lt;&gt;")</f>
        <v>4</v>
      </c>
      <c r="D330">
        <f>COUNTIFS(Total!C:C,$N$3,Total!F:F, A330, Total!A:A, "&lt;&gt;")</f>
        <v>16</v>
      </c>
      <c r="E330">
        <f>COUNTIFS(Total!C:C,$N$5,Total!F:F, A330, Total!A:A, "&lt;&gt;")</f>
        <v>3</v>
      </c>
    </row>
    <row r="331" spans="1:5" x14ac:dyDescent="0.3">
      <c r="A331" s="1">
        <v>46081</v>
      </c>
      <c r="B331">
        <f>COUNTIFS(Total!F:F, A331, Total!A:A, "&lt;&gt;")</f>
        <v>0</v>
      </c>
      <c r="C331">
        <f>COUNTIFS(Total!C:C,$N$4,Total!F:F, A331, Total!A:A, "&lt;&gt;")</f>
        <v>0</v>
      </c>
      <c r="D331">
        <f>COUNTIFS(Total!C:C,$N$3,Total!F:F, A331, Total!A:A, "&lt;&gt;")</f>
        <v>0</v>
      </c>
      <c r="E331">
        <f>COUNTIFS(Total!C:C,$N$5,Total!F:F, A331, Total!A:A, "&lt;&gt;")</f>
        <v>0</v>
      </c>
    </row>
    <row r="332" spans="1:5" x14ac:dyDescent="0.3">
      <c r="A332" s="1">
        <v>46082</v>
      </c>
      <c r="B332">
        <f>COUNTIFS(Total!F:F, A332, Total!A:A, "&lt;&gt;")</f>
        <v>0</v>
      </c>
      <c r="C332">
        <f>COUNTIFS(Total!C:C,$N$4,Total!F:F, A332, Total!A:A, "&lt;&gt;")</f>
        <v>0</v>
      </c>
      <c r="D332">
        <f>COUNTIFS(Total!C:C,$N$3,Total!F:F, A332, Total!A:A, "&lt;&gt;")</f>
        <v>0</v>
      </c>
      <c r="E332">
        <f>COUNTIFS(Total!C:C,$N$5,Total!F:F, A332, Total!A:A, "&lt;&gt;")</f>
        <v>0</v>
      </c>
    </row>
    <row r="333" spans="1:5" x14ac:dyDescent="0.3">
      <c r="A333" s="1">
        <v>46083</v>
      </c>
      <c r="B333">
        <f>COUNTIFS(Total!F:F, A333, Total!A:A, "&lt;&gt;")</f>
        <v>26</v>
      </c>
      <c r="C333">
        <f>COUNTIFS(Total!C:C,$N$4,Total!F:F, A333, Total!A:A, "&lt;&gt;")</f>
        <v>3</v>
      </c>
      <c r="D333">
        <f>COUNTIFS(Total!C:C,$N$3,Total!F:F, A333, Total!A:A, "&lt;&gt;")</f>
        <v>19</v>
      </c>
      <c r="E333">
        <f>COUNTIFS(Total!C:C,$N$5,Total!F:F, A333, Total!A:A, "&lt;&gt;")</f>
        <v>4</v>
      </c>
    </row>
    <row r="334" spans="1:5" x14ac:dyDescent="0.3">
      <c r="A334" s="1">
        <v>46084</v>
      </c>
      <c r="B334">
        <f>COUNTIFS(Total!F:F, A334, Total!A:A, "&lt;&gt;")</f>
        <v>27</v>
      </c>
      <c r="C334">
        <f>COUNTIFS(Total!C:C,$N$4,Total!F:F, A334, Total!A:A, "&lt;&gt;")</f>
        <v>2</v>
      </c>
      <c r="D334">
        <f>COUNTIFS(Total!C:C,$N$3,Total!F:F, A334, Total!A:A, "&lt;&gt;")</f>
        <v>24</v>
      </c>
      <c r="E334">
        <f>COUNTIFS(Total!C:C,$N$5,Total!F:F, A334, Total!A:A, "&lt;&gt;")</f>
        <v>1</v>
      </c>
    </row>
    <row r="335" spans="1:5" x14ac:dyDescent="0.3">
      <c r="A335" s="1">
        <v>46085</v>
      </c>
      <c r="B335">
        <f>COUNTIFS(Total!F:F, A335, Total!A:A, "&lt;&gt;")</f>
        <v>20</v>
      </c>
      <c r="C335">
        <f>COUNTIFS(Total!C:C,$N$4,Total!F:F, A335, Total!A:A, "&lt;&gt;")</f>
        <v>3</v>
      </c>
      <c r="D335">
        <f>COUNTIFS(Total!C:C,$N$3,Total!F:F, A335, Total!A:A, "&lt;&gt;")</f>
        <v>13</v>
      </c>
      <c r="E335">
        <f>COUNTIFS(Total!C:C,$N$5,Total!F:F, A335, Total!A:A, "&lt;&gt;")</f>
        <v>4</v>
      </c>
    </row>
    <row r="336" spans="1:5" x14ac:dyDescent="0.3">
      <c r="A336" s="1">
        <v>46086</v>
      </c>
      <c r="B336">
        <f>COUNTIFS(Total!F:F, A336, Total!A:A, "&lt;&gt;")</f>
        <v>39</v>
      </c>
      <c r="C336">
        <f>COUNTIFS(Total!C:C,$N$4,Total!F:F, A336, Total!A:A, "&lt;&gt;")</f>
        <v>2</v>
      </c>
      <c r="D336">
        <f>COUNTIFS(Total!C:C,$N$3,Total!F:F, A336, Total!A:A, "&lt;&gt;")</f>
        <v>34</v>
      </c>
      <c r="E336">
        <f>COUNTIFS(Total!C:C,$N$5,Total!F:F, A336, Total!A:A, "&lt;&gt;")</f>
        <v>3</v>
      </c>
    </row>
    <row r="337" spans="1:5" x14ac:dyDescent="0.3">
      <c r="A337" s="1">
        <v>46087</v>
      </c>
      <c r="B337">
        <f>COUNTIFS(Total!F:F, A337, Total!A:A, "&lt;&gt;")</f>
        <v>0</v>
      </c>
      <c r="C337">
        <f>COUNTIFS(Total!C:C,$N$4,Total!F:F, A337, Total!A:A, "&lt;&gt;")</f>
        <v>0</v>
      </c>
      <c r="D337">
        <f>COUNTIFS(Total!C:C,$N$3,Total!F:F, A337, Total!A:A, "&lt;&gt;")</f>
        <v>0</v>
      </c>
      <c r="E337">
        <f>COUNTIFS(Total!C:C,$N$5,Total!F:F, A337, Total!A:A, "&lt;&gt;")</f>
        <v>0</v>
      </c>
    </row>
    <row r="338" spans="1:5" x14ac:dyDescent="0.3">
      <c r="A338" s="1">
        <v>46088</v>
      </c>
      <c r="B338">
        <f>COUNTIFS(Total!F:F, A338, Total!A:A, "&lt;&gt;")</f>
        <v>0</v>
      </c>
      <c r="C338">
        <f>COUNTIFS(Total!C:C,$N$4,Total!F:F, A338, Total!A:A, "&lt;&gt;")</f>
        <v>0</v>
      </c>
      <c r="D338">
        <f>COUNTIFS(Total!C:C,$N$3,Total!F:F, A338, Total!A:A, "&lt;&gt;")</f>
        <v>0</v>
      </c>
      <c r="E338">
        <f>COUNTIFS(Total!C:C,$N$5,Total!F:F, A338, Total!A:A, "&lt;&gt;")</f>
        <v>0</v>
      </c>
    </row>
    <row r="339" spans="1:5" x14ac:dyDescent="0.3">
      <c r="A339" s="1">
        <v>46089</v>
      </c>
      <c r="B339">
        <f>COUNTIFS(Total!F:F, A339, Total!A:A, "&lt;&gt;")</f>
        <v>0</v>
      </c>
      <c r="C339">
        <f>COUNTIFS(Total!C:C,$N$4,Total!F:F, A339, Total!A:A, "&lt;&gt;")</f>
        <v>0</v>
      </c>
      <c r="D339">
        <f>COUNTIFS(Total!C:C,$N$3,Total!F:F, A339, Total!A:A, "&lt;&gt;")</f>
        <v>0</v>
      </c>
      <c r="E339">
        <f>COUNTIFS(Total!C:C,$N$5,Total!F:F, A339, Total!A:A, "&lt;&gt;")</f>
        <v>0</v>
      </c>
    </row>
    <row r="340" spans="1:5" x14ac:dyDescent="0.3">
      <c r="A340" s="1">
        <v>46090</v>
      </c>
      <c r="B340">
        <f>COUNTIFS(Total!F:F, A340, Total!A:A, "&lt;&gt;")</f>
        <v>19</v>
      </c>
      <c r="C340">
        <f>COUNTIFS(Total!C:C,$N$4,Total!F:F, A340, Total!A:A, "&lt;&gt;")</f>
        <v>2</v>
      </c>
      <c r="D340">
        <f>COUNTIFS(Total!C:C,$N$3,Total!F:F, A340, Total!A:A, "&lt;&gt;")</f>
        <v>17</v>
      </c>
      <c r="E340">
        <f>COUNTIFS(Total!C:C,$N$5,Total!F:F, A340, Total!A:A, "&lt;&gt;")</f>
        <v>0</v>
      </c>
    </row>
    <row r="341" spans="1:5" x14ac:dyDescent="0.3">
      <c r="A341" s="1">
        <v>46091</v>
      </c>
      <c r="B341">
        <f>COUNTIFS(Total!F:F, A341, Total!A:A, "&lt;&gt;")</f>
        <v>32</v>
      </c>
      <c r="C341">
        <f>COUNTIFS(Total!C:C,$N$4,Total!F:F, A341, Total!A:A, "&lt;&gt;")</f>
        <v>1</v>
      </c>
      <c r="D341">
        <f>COUNTIFS(Total!C:C,$N$3,Total!F:F, A341, Total!A:A, "&lt;&gt;")</f>
        <v>26</v>
      </c>
      <c r="E341">
        <f>COUNTIFS(Total!C:C,$N$5,Total!F:F, A341, Total!A:A, "&lt;&gt;")</f>
        <v>5</v>
      </c>
    </row>
    <row r="342" spans="1:5" x14ac:dyDescent="0.3">
      <c r="A342" s="1">
        <v>46092</v>
      </c>
      <c r="B342">
        <f>COUNTIFS(Total!F:F, A342, Total!A:A, "&lt;&gt;")</f>
        <v>16</v>
      </c>
      <c r="C342">
        <f>COUNTIFS(Total!C:C,$N$4,Total!F:F, A342, Total!A:A, "&lt;&gt;")</f>
        <v>4</v>
      </c>
      <c r="D342">
        <f>COUNTIFS(Total!C:C,$N$3,Total!F:F, A342, Total!A:A, "&lt;&gt;")</f>
        <v>10</v>
      </c>
      <c r="E342">
        <f>COUNTIFS(Total!C:C,$N$5,Total!F:F, A342, Total!A:A, "&lt;&gt;")</f>
        <v>2</v>
      </c>
    </row>
    <row r="343" spans="1:5" x14ac:dyDescent="0.3">
      <c r="A343" s="1">
        <v>46093</v>
      </c>
      <c r="B343">
        <f>COUNTIFS(Total!F:F, A343, Total!A:A, "&lt;&gt;")</f>
        <v>16</v>
      </c>
      <c r="C343">
        <f>COUNTIFS(Total!C:C,$N$4,Total!F:F, A343, Total!A:A, "&lt;&gt;")</f>
        <v>2</v>
      </c>
      <c r="D343">
        <f>COUNTIFS(Total!C:C,$N$3,Total!F:F, A343, Total!A:A, "&lt;&gt;")</f>
        <v>9</v>
      </c>
      <c r="E343">
        <f>COUNTIFS(Total!C:C,$N$5,Total!F:F, A343, Total!A:A, "&lt;&gt;")</f>
        <v>5</v>
      </c>
    </row>
    <row r="344" spans="1:5" x14ac:dyDescent="0.3">
      <c r="A344" s="1">
        <v>46094</v>
      </c>
      <c r="B344">
        <f>COUNTIFS(Total!F:F, A344, Total!A:A, "&lt;&gt;")</f>
        <v>14</v>
      </c>
      <c r="C344">
        <f>COUNTIFS(Total!C:C,$N$4,Total!F:F, A344, Total!A:A, "&lt;&gt;")</f>
        <v>3</v>
      </c>
      <c r="D344">
        <f>COUNTIFS(Total!C:C,$N$3,Total!F:F, A344, Total!A:A, "&lt;&gt;")</f>
        <v>9</v>
      </c>
      <c r="E344">
        <f>COUNTIFS(Total!C:C,$N$5,Total!F:F, A344, Total!A:A, "&lt;&gt;")</f>
        <v>2</v>
      </c>
    </row>
    <row r="345" spans="1:5" x14ac:dyDescent="0.3">
      <c r="A345" s="1">
        <v>46095</v>
      </c>
      <c r="B345">
        <f>COUNTIFS(Total!F:F, A345, Total!A:A, "&lt;&gt;")</f>
        <v>0</v>
      </c>
      <c r="C345">
        <f>COUNTIFS(Total!C:C,$N$4,Total!F:F, A345, Total!A:A, "&lt;&gt;")</f>
        <v>0</v>
      </c>
      <c r="D345">
        <f>COUNTIFS(Total!C:C,$N$3,Total!F:F, A345, Total!A:A, "&lt;&gt;")</f>
        <v>0</v>
      </c>
      <c r="E345">
        <f>COUNTIFS(Total!C:C,$N$5,Total!F:F, A345, Total!A:A, "&lt;&gt;")</f>
        <v>0</v>
      </c>
    </row>
    <row r="346" spans="1:5" x14ac:dyDescent="0.3">
      <c r="A346" s="1">
        <v>46096</v>
      </c>
      <c r="B346">
        <f>COUNTIFS(Total!F:F, A346, Total!A:A, "&lt;&gt;")</f>
        <v>0</v>
      </c>
      <c r="C346">
        <f>COUNTIFS(Total!C:C,$N$4,Total!F:F, A346, Total!A:A, "&lt;&gt;")</f>
        <v>0</v>
      </c>
      <c r="D346">
        <f>COUNTIFS(Total!C:C,$N$3,Total!F:F, A346, Total!A:A, "&lt;&gt;")</f>
        <v>0</v>
      </c>
      <c r="E346">
        <f>COUNTIFS(Total!C:C,$N$5,Total!F:F, A346, Total!A:A, "&lt;&gt;")</f>
        <v>0</v>
      </c>
    </row>
    <row r="347" spans="1:5" x14ac:dyDescent="0.3">
      <c r="A347" s="1">
        <v>46097</v>
      </c>
      <c r="B347">
        <f>COUNTIFS(Total!F:F, A347, Total!A:A, "&lt;&gt;")</f>
        <v>18</v>
      </c>
      <c r="C347">
        <f>COUNTIFS(Total!C:C,$N$4,Total!F:F, A347, Total!A:A, "&lt;&gt;")</f>
        <v>2</v>
      </c>
      <c r="D347">
        <f>COUNTIFS(Total!C:C,$N$3,Total!F:F, A347, Total!A:A, "&lt;&gt;")</f>
        <v>12</v>
      </c>
      <c r="E347">
        <f>COUNTIFS(Total!C:C,$N$5,Total!F:F, A347, Total!A:A, "&lt;&gt;")</f>
        <v>4</v>
      </c>
    </row>
    <row r="348" spans="1:5" x14ac:dyDescent="0.3">
      <c r="A348" s="1">
        <v>46098</v>
      </c>
      <c r="B348">
        <f>COUNTIFS(Total!F:F, A348, Total!A:A, "&lt;&gt;")</f>
        <v>18</v>
      </c>
      <c r="C348">
        <f>COUNTIFS(Total!C:C,$N$4,Total!F:F, A348, Total!A:A, "&lt;&gt;")</f>
        <v>5</v>
      </c>
      <c r="D348">
        <f>COUNTIFS(Total!C:C,$N$3,Total!F:F, A348, Total!A:A, "&lt;&gt;")</f>
        <v>7</v>
      </c>
      <c r="E348">
        <f>COUNTIFS(Total!C:C,$N$5,Total!F:F, A348, Total!A:A, "&lt;&gt;")</f>
        <v>6</v>
      </c>
    </row>
    <row r="349" spans="1:5" x14ac:dyDescent="0.3">
      <c r="A349" s="1">
        <v>46099</v>
      </c>
      <c r="B349">
        <f>COUNTIFS(Total!F:F, A349, Total!A:A, "&lt;&gt;")</f>
        <v>30</v>
      </c>
      <c r="C349">
        <f>COUNTIFS(Total!C:C,$N$4,Total!F:F, A349, Total!A:A, "&lt;&gt;")</f>
        <v>4</v>
      </c>
      <c r="D349">
        <f>COUNTIFS(Total!C:C,$N$3,Total!F:F, A349, Total!A:A, "&lt;&gt;")</f>
        <v>24</v>
      </c>
      <c r="E349">
        <f>COUNTIFS(Total!C:C,$N$5,Total!F:F, A349, Total!A:A, "&lt;&gt;")</f>
        <v>2</v>
      </c>
    </row>
    <row r="350" spans="1:5" x14ac:dyDescent="0.3">
      <c r="A350" s="1">
        <v>46100</v>
      </c>
      <c r="B350">
        <f>COUNTIFS(Total!F:F, A350, Total!A:A, "&lt;&gt;")</f>
        <v>25</v>
      </c>
      <c r="C350">
        <f>COUNTIFS(Total!C:C,$N$4,Total!F:F, A350, Total!A:A, "&lt;&gt;")</f>
        <v>4</v>
      </c>
      <c r="D350">
        <f>COUNTIFS(Total!C:C,$N$3,Total!F:F, A350, Total!A:A, "&lt;&gt;")</f>
        <v>21</v>
      </c>
      <c r="E350">
        <f>COUNTIFS(Total!C:C,$N$5,Total!F:F, A350, Total!A:A, "&lt;&gt;")</f>
        <v>0</v>
      </c>
    </row>
    <row r="351" spans="1:5" x14ac:dyDescent="0.3">
      <c r="A351" s="1">
        <v>46101</v>
      </c>
      <c r="B351">
        <f>COUNTIFS(Total!F:F, A351, Total!A:A, "&lt;&gt;")</f>
        <v>26</v>
      </c>
      <c r="C351">
        <f>COUNTIFS(Total!C:C,$N$4,Total!F:F, A351, Total!A:A, "&lt;&gt;")</f>
        <v>2</v>
      </c>
      <c r="D351">
        <f>COUNTIFS(Total!C:C,$N$3,Total!F:F, A351, Total!A:A, "&lt;&gt;")</f>
        <v>19</v>
      </c>
      <c r="E351">
        <f>COUNTIFS(Total!C:C,$N$5,Total!F:F, A351, Total!A:A, "&lt;&gt;")</f>
        <v>5</v>
      </c>
    </row>
    <row r="352" spans="1:5" x14ac:dyDescent="0.3">
      <c r="A352" s="1">
        <v>46102</v>
      </c>
      <c r="B352">
        <f>COUNTIFS(Total!F:F, A352, Total!A:A, "&lt;&gt;")</f>
        <v>0</v>
      </c>
      <c r="C352">
        <f>COUNTIFS(Total!C:C,$N$4,Total!F:F, A352, Total!A:A, "&lt;&gt;")</f>
        <v>0</v>
      </c>
      <c r="D352">
        <f>COUNTIFS(Total!C:C,$N$3,Total!F:F, A352, Total!A:A, "&lt;&gt;")</f>
        <v>0</v>
      </c>
      <c r="E352">
        <f>COUNTIFS(Total!C:C,$N$5,Total!F:F, A352, Total!A:A, "&lt;&gt;")</f>
        <v>0</v>
      </c>
    </row>
    <row r="353" spans="1:5" x14ac:dyDescent="0.3">
      <c r="A353" s="1">
        <v>46103</v>
      </c>
      <c r="B353">
        <f>COUNTIFS(Total!F:F, A353, Total!A:A, "&lt;&gt;")</f>
        <v>0</v>
      </c>
      <c r="C353">
        <f>COUNTIFS(Total!C:C,$N$4,Total!F:F, A353, Total!A:A, "&lt;&gt;")</f>
        <v>0</v>
      </c>
      <c r="D353">
        <f>COUNTIFS(Total!C:C,$N$3,Total!F:F, A353, Total!A:A, "&lt;&gt;")</f>
        <v>0</v>
      </c>
      <c r="E353">
        <f>COUNTIFS(Total!C:C,$N$5,Total!F:F, A353, Total!A:A, "&lt;&gt;")</f>
        <v>0</v>
      </c>
    </row>
    <row r="354" spans="1:5" x14ac:dyDescent="0.3">
      <c r="A354" s="1">
        <v>46104</v>
      </c>
      <c r="B354">
        <f>COUNTIFS(Total!F:F, A354, Total!A:A, "&lt;&gt;")</f>
        <v>29</v>
      </c>
      <c r="C354">
        <f>COUNTIFS(Total!C:C,$N$4,Total!F:F, A354, Total!A:A, "&lt;&gt;")</f>
        <v>8</v>
      </c>
      <c r="D354">
        <f>COUNTIFS(Total!C:C,$N$3,Total!F:F, A354, Total!A:A, "&lt;&gt;")</f>
        <v>19</v>
      </c>
      <c r="E354">
        <f>COUNTIFS(Total!C:C,$N$5,Total!F:F, A354, Total!A:A, "&lt;&gt;")</f>
        <v>2</v>
      </c>
    </row>
    <row r="355" spans="1:5" x14ac:dyDescent="0.3">
      <c r="A355" s="1">
        <v>46105</v>
      </c>
      <c r="B355">
        <f>COUNTIFS(Total!F:F, A355, Total!A:A, "&lt;&gt;")</f>
        <v>22</v>
      </c>
      <c r="C355">
        <f>COUNTIFS(Total!C:C,$N$4,Total!F:F, A355, Total!A:A, "&lt;&gt;")</f>
        <v>6</v>
      </c>
      <c r="D355">
        <f>COUNTIFS(Total!C:C,$N$3,Total!F:F, A355, Total!A:A, "&lt;&gt;")</f>
        <v>10</v>
      </c>
      <c r="E355">
        <f>COUNTIFS(Total!C:C,$N$5,Total!F:F, A355, Total!A:A, "&lt;&gt;")</f>
        <v>6</v>
      </c>
    </row>
    <row r="356" spans="1:5" x14ac:dyDescent="0.3">
      <c r="A356" s="1">
        <v>46106</v>
      </c>
      <c r="B356">
        <f>COUNTIFS(Total!F:F, A356, Total!A:A, "&lt;&gt;")</f>
        <v>27</v>
      </c>
      <c r="C356">
        <f>COUNTIFS(Total!C:C,$N$4,Total!F:F, A356, Total!A:A, "&lt;&gt;")</f>
        <v>5</v>
      </c>
      <c r="D356">
        <f>COUNTIFS(Total!C:C,$N$3,Total!F:F, A356, Total!A:A, "&lt;&gt;")</f>
        <v>18</v>
      </c>
      <c r="E356">
        <f>COUNTIFS(Total!C:C,$N$5,Total!F:F, A356, Total!A:A, "&lt;&gt;")</f>
        <v>4</v>
      </c>
    </row>
    <row r="357" spans="1:5" x14ac:dyDescent="0.3">
      <c r="A357" s="1">
        <v>46107</v>
      </c>
      <c r="B357">
        <f>COUNTIFS(Total!F:F, A357, Total!A:A, "&lt;&gt;")</f>
        <v>41</v>
      </c>
      <c r="C357">
        <f>COUNTIFS(Total!C:C,$N$4,Total!F:F, A357, Total!A:A, "&lt;&gt;")</f>
        <v>9</v>
      </c>
      <c r="D357">
        <f>COUNTIFS(Total!C:C,$N$3,Total!F:F, A357, Total!A:A, "&lt;&gt;")</f>
        <v>26</v>
      </c>
      <c r="E357">
        <f>COUNTIFS(Total!C:C,$N$5,Total!F:F, A357, Total!A:A, "&lt;&gt;")</f>
        <v>6</v>
      </c>
    </row>
    <row r="358" spans="1:5" x14ac:dyDescent="0.3">
      <c r="A358" s="1">
        <v>46108</v>
      </c>
      <c r="B358">
        <f>COUNTIFS(Total!F:F, A358, Total!A:A, "&lt;&gt;")</f>
        <v>25</v>
      </c>
      <c r="C358">
        <f>COUNTIFS(Total!C:C,$N$4,Total!F:F, A358, Total!A:A, "&lt;&gt;")</f>
        <v>8</v>
      </c>
      <c r="D358">
        <f>COUNTIFS(Total!C:C,$N$3,Total!F:F, A358, Total!A:A, "&lt;&gt;")</f>
        <v>15</v>
      </c>
      <c r="E358">
        <f>COUNTIFS(Total!C:C,$N$5,Total!F:F, A358, Total!A:A, "&lt;&gt;")</f>
        <v>2</v>
      </c>
    </row>
    <row r="359" spans="1:5" x14ac:dyDescent="0.3">
      <c r="A359" s="1">
        <v>46109</v>
      </c>
      <c r="B359">
        <f>COUNTIFS(Total!F:F, A359, Total!A:A, "&lt;&gt;")</f>
        <v>0</v>
      </c>
      <c r="C359">
        <f>COUNTIFS(Total!C:C,$N$4,Total!F:F, A359, Total!A:A, "&lt;&gt;")</f>
        <v>0</v>
      </c>
      <c r="D359">
        <f>COUNTIFS(Total!C:C,$N$3,Total!F:F, A359, Total!A:A, "&lt;&gt;")</f>
        <v>0</v>
      </c>
      <c r="E359">
        <f>COUNTIFS(Total!C:C,$N$5,Total!F:F, A359, Total!A:A, "&lt;&gt;")</f>
        <v>0</v>
      </c>
    </row>
    <row r="360" spans="1:5" x14ac:dyDescent="0.3">
      <c r="A360" s="1">
        <v>46110</v>
      </c>
      <c r="B360">
        <f>COUNTIFS(Total!F:F, A360, Total!A:A, "&lt;&gt;")</f>
        <v>0</v>
      </c>
      <c r="C360">
        <f>COUNTIFS(Total!C:C,$N$4,Total!F:F, A360, Total!A:A, "&lt;&gt;")</f>
        <v>0</v>
      </c>
      <c r="D360">
        <f>COUNTIFS(Total!C:C,$N$3,Total!F:F, A360, Total!A:A, "&lt;&gt;")</f>
        <v>0</v>
      </c>
      <c r="E360">
        <f>COUNTIFS(Total!C:C,$N$5,Total!F:F, A360, Total!A:A, "&lt;&gt;")</f>
        <v>0</v>
      </c>
    </row>
    <row r="361" spans="1:5" x14ac:dyDescent="0.3">
      <c r="A361" s="1">
        <v>46111</v>
      </c>
      <c r="B361">
        <f>COUNTIFS(Total!F:F, A361, Total!A:A, "&lt;&gt;")</f>
        <v>22</v>
      </c>
      <c r="C361">
        <f>COUNTIFS(Total!C:C,$N$4,Total!F:F, A361, Total!A:A, "&lt;&gt;")</f>
        <v>5</v>
      </c>
      <c r="D361">
        <f>COUNTIFS(Total!C:C,$N$3,Total!F:F, A361, Total!A:A, "&lt;&gt;")</f>
        <v>16</v>
      </c>
      <c r="E361">
        <f>COUNTIFS(Total!C:C,$N$5,Total!F:F, A361, Total!A:A, "&lt;&gt;")</f>
        <v>1</v>
      </c>
    </row>
    <row r="362" spans="1:5" x14ac:dyDescent="0.3">
      <c r="A362" s="1">
        <v>46112</v>
      </c>
      <c r="B362">
        <f>COUNTIFS(Total!F:F, A362, Total!A:A, "&lt;&gt;")</f>
        <v>25</v>
      </c>
      <c r="C362">
        <f>COUNTIFS(Total!C:C,$N$4,Total!F:F, A362, Total!A:A, "&lt;&gt;")</f>
        <v>9</v>
      </c>
      <c r="D362">
        <f>COUNTIFS(Total!C:C,$N$3,Total!F:F, A362, Total!A:A, "&lt;&gt;")</f>
        <v>14</v>
      </c>
      <c r="E362">
        <f>COUNTIFS(Total!C:C,$N$5,Total!F:F, A362, Total!A:A, "&lt;&gt;")</f>
        <v>2</v>
      </c>
    </row>
    <row r="363" spans="1:5" x14ac:dyDescent="0.3">
      <c r="A363" s="1">
        <v>46113</v>
      </c>
      <c r="B363">
        <f>COUNTIFS(Total!F:F, A363, Total!A:A, "&lt;&gt;")</f>
        <v>26</v>
      </c>
      <c r="C363">
        <f>COUNTIFS(Total!C:C,$N$4,Total!F:F, A363, Total!A:A, "&lt;&gt;")</f>
        <v>7</v>
      </c>
      <c r="D363">
        <f>COUNTIFS(Total!C:C,$N$3,Total!F:F, A363, Total!A:A, "&lt;&gt;")</f>
        <v>15</v>
      </c>
      <c r="E363">
        <f>COUNTIFS(Total!C:C,$N$5,Total!F:F, A363, Total!A:A, "&lt;&gt;")</f>
        <v>4</v>
      </c>
    </row>
    <row r="364" spans="1:5" x14ac:dyDescent="0.3">
      <c r="A364" s="1">
        <v>46114</v>
      </c>
      <c r="B364">
        <f>COUNTIFS(Total!F:F, A364, Total!A:A, "&lt;&gt;")</f>
        <v>33</v>
      </c>
      <c r="C364">
        <f>COUNTIFS(Total!C:C,$N$4,Total!F:F, A364, Total!A:A, "&lt;&gt;")</f>
        <v>8</v>
      </c>
      <c r="D364">
        <f>COUNTIFS(Total!C:C,$N$3,Total!F:F, A364, Total!A:A, "&lt;&gt;")</f>
        <v>21</v>
      </c>
      <c r="E364">
        <f>COUNTIFS(Total!C:C,$N$5,Total!F:F, A364, Total!A:A, "&lt;&gt;")</f>
        <v>4</v>
      </c>
    </row>
    <row r="365" spans="1:5" x14ac:dyDescent="0.3">
      <c r="A365" s="1">
        <v>46115</v>
      </c>
      <c r="B365">
        <f>COUNTIFS(Total!F:F, A365, Total!A:A, "&lt;&gt;")</f>
        <v>0</v>
      </c>
      <c r="C365">
        <f>COUNTIFS(Total!C:C,$N$4,Total!F:F, A365, Total!A:A, "&lt;&gt;")</f>
        <v>0</v>
      </c>
      <c r="D365">
        <f>COUNTIFS(Total!C:C,$N$3,Total!F:F, A365, Total!A:A, "&lt;&gt;")</f>
        <v>0</v>
      </c>
      <c r="E365">
        <f>COUNTIFS(Total!C:C,$N$5,Total!F:F, A365, Total!A:A, "&lt;&gt;")</f>
        <v>0</v>
      </c>
    </row>
    <row r="366" spans="1:5" x14ac:dyDescent="0.3">
      <c r="A366" s="1">
        <v>46116</v>
      </c>
      <c r="B366">
        <f>COUNTIFS(Total!F:F, A366, Total!A:A, "&lt;&gt;")</f>
        <v>0</v>
      </c>
      <c r="C366">
        <f>COUNTIFS(Total!C:C,$N$4,Total!F:F, A366, Total!A:A, "&lt;&gt;")</f>
        <v>0</v>
      </c>
      <c r="D366">
        <f>COUNTIFS(Total!C:C,$N$3,Total!F:F, A366, Total!A:A, "&lt;&gt;")</f>
        <v>0</v>
      </c>
      <c r="E366">
        <f>COUNTIFS(Total!C:C,$N$5,Total!F:F, A366, Total!A:A, "&lt;&gt;")</f>
        <v>0</v>
      </c>
    </row>
    <row r="367" spans="1:5" x14ac:dyDescent="0.3">
      <c r="A367" s="1">
        <v>46117</v>
      </c>
      <c r="B367">
        <f>COUNTIFS(Total!F:F, A367, Total!A:A, "&lt;&gt;")</f>
        <v>0</v>
      </c>
      <c r="C367">
        <f>COUNTIFS(Total!C:C,$N$4,Total!F:F, A367, Total!A:A, "&lt;&gt;")</f>
        <v>0</v>
      </c>
      <c r="D367">
        <f>COUNTIFS(Total!C:C,$N$3,Total!F:F, A367, Total!A:A, "&lt;&gt;")</f>
        <v>0</v>
      </c>
      <c r="E367">
        <f>COUNTIFS(Total!C:C,$N$5,Total!F:F, A367, Total!A:A, "&lt;&gt;")</f>
        <v>0</v>
      </c>
    </row>
    <row r="368" spans="1:5" x14ac:dyDescent="0.3">
      <c r="A368" s="1">
        <v>46118</v>
      </c>
      <c r="B368">
        <f>COUNTIFS(Total!F:F, A368, Total!A:A, "&lt;&gt;")</f>
        <v>0</v>
      </c>
      <c r="C368">
        <f>COUNTIFS(Total!C:C,$N$4,Total!F:F, A368, Total!A:A, "&lt;&gt;")</f>
        <v>0</v>
      </c>
      <c r="D368">
        <f>COUNTIFS(Total!C:C,$N$3,Total!F:F, A368, Total!A:A, "&lt;&gt;")</f>
        <v>0</v>
      </c>
      <c r="E368">
        <f>COUNTIFS(Total!C:C,$N$5,Total!F:F, A368, Total!A:A, "&lt;&gt;")</f>
        <v>0</v>
      </c>
    </row>
    <row r="369" spans="1:5" x14ac:dyDescent="0.3">
      <c r="A369" s="1">
        <v>46119</v>
      </c>
      <c r="B369">
        <f>COUNTIFS(Total!F:F, A369, Total!A:A, "&lt;&gt;")</f>
        <v>28</v>
      </c>
      <c r="C369">
        <f>COUNTIFS(Total!C:C,$N$4,Total!F:F, A369, Total!A:A, "&lt;&gt;")</f>
        <v>7</v>
      </c>
      <c r="D369">
        <f>COUNTIFS(Total!C:C,$N$3,Total!F:F, A369, Total!A:A, "&lt;&gt;")</f>
        <v>19</v>
      </c>
      <c r="E369">
        <f>COUNTIFS(Total!C:C,$N$5,Total!F:F, A369, Total!A:A, "&lt;&gt;")</f>
        <v>2</v>
      </c>
    </row>
    <row r="370" spans="1:5" x14ac:dyDescent="0.3">
      <c r="A370" s="1">
        <v>46120</v>
      </c>
      <c r="B370">
        <f>COUNTIFS(Total!F:F, A370, Total!A:A, "&lt;&gt;")</f>
        <v>23</v>
      </c>
      <c r="C370">
        <f>COUNTIFS(Total!C:C,$N$4,Total!F:F, A370, Total!A:A, "&lt;&gt;")</f>
        <v>3</v>
      </c>
      <c r="D370">
        <f>COUNTIFS(Total!C:C,$N$3,Total!F:F, A370, Total!A:A, "&lt;&gt;")</f>
        <v>18</v>
      </c>
      <c r="E370">
        <f>COUNTIFS(Total!C:C,$N$5,Total!F:F, A370, Total!A:A, "&lt;&gt;")</f>
        <v>2</v>
      </c>
    </row>
    <row r="371" spans="1:5" x14ac:dyDescent="0.3">
      <c r="A371" s="1">
        <v>46121</v>
      </c>
      <c r="B371">
        <f>COUNTIFS(Total!F:F, A371, Total!A:A, "&lt;&gt;")</f>
        <v>31</v>
      </c>
      <c r="C371">
        <f>COUNTIFS(Total!C:C,$N$4,Total!F:F, A371, Total!A:A, "&lt;&gt;")</f>
        <v>3</v>
      </c>
      <c r="D371">
        <f>COUNTIFS(Total!C:C,$N$3,Total!F:F, A371, Total!A:A, "&lt;&gt;")</f>
        <v>27</v>
      </c>
      <c r="E371">
        <f>COUNTIFS(Total!C:C,$N$5,Total!F:F, A371, Total!A:A, "&lt;&gt;")</f>
        <v>1</v>
      </c>
    </row>
    <row r="372" spans="1:5" x14ac:dyDescent="0.3">
      <c r="A372" s="1">
        <v>46122</v>
      </c>
      <c r="B372">
        <f>COUNTIFS(Total!F:F, A372, Total!A:A, "&lt;&gt;")</f>
        <v>25</v>
      </c>
      <c r="C372">
        <f>COUNTIFS(Total!C:C,$N$4,Total!F:F, A372, Total!A:A, "&lt;&gt;")</f>
        <v>2</v>
      </c>
      <c r="D372">
        <f>COUNTIFS(Total!C:C,$N$3,Total!F:F, A372, Total!A:A, "&lt;&gt;")</f>
        <v>18</v>
      </c>
      <c r="E372">
        <f>COUNTIFS(Total!C:C,$N$5,Total!F:F, A372, Total!A:A, "&lt;&gt;")</f>
        <v>5</v>
      </c>
    </row>
    <row r="373" spans="1:5" x14ac:dyDescent="0.3">
      <c r="A373" s="1">
        <v>46123</v>
      </c>
      <c r="B373">
        <f>COUNTIFS(Total!F:F, A373, Total!A:A, "&lt;&gt;")</f>
        <v>0</v>
      </c>
      <c r="C373">
        <f>COUNTIFS(Total!C:C,$N$4,Total!F:F, A373, Total!A:A, "&lt;&gt;")</f>
        <v>0</v>
      </c>
      <c r="D373">
        <f>COUNTIFS(Total!C:C,$N$3,Total!F:F, A373, Total!A:A, "&lt;&gt;")</f>
        <v>0</v>
      </c>
      <c r="E373">
        <f>COUNTIFS(Total!C:C,$N$5,Total!F:F, A373, Total!A:A, "&lt;&gt;")</f>
        <v>0</v>
      </c>
    </row>
    <row r="374" spans="1:5" x14ac:dyDescent="0.3">
      <c r="A374" s="1">
        <v>46124</v>
      </c>
      <c r="B374">
        <f>COUNTIFS(Total!F:F, A374, Total!A:A, "&lt;&gt;")</f>
        <v>0</v>
      </c>
      <c r="C374">
        <f>COUNTIFS(Total!C:C,$N$4,Total!F:F, A374, Total!A:A, "&lt;&gt;")</f>
        <v>0</v>
      </c>
      <c r="D374">
        <f>COUNTIFS(Total!C:C,$N$3,Total!F:F, A374, Total!A:A, "&lt;&gt;")</f>
        <v>0</v>
      </c>
      <c r="E374">
        <f>COUNTIFS(Total!C:C,$N$5,Total!F:F, A374, Total!A:A, "&lt;&gt;")</f>
        <v>0</v>
      </c>
    </row>
    <row r="375" spans="1:5" x14ac:dyDescent="0.3">
      <c r="A375" s="1">
        <v>46125</v>
      </c>
      <c r="B375">
        <f>COUNTIFS(Total!F:F, A375, Total!A:A, "&lt;&gt;")</f>
        <v>30</v>
      </c>
      <c r="C375">
        <f>COUNTIFS(Total!C:C,$N$4,Total!F:F, A375, Total!A:A, "&lt;&gt;")</f>
        <v>2</v>
      </c>
      <c r="D375">
        <f>COUNTIFS(Total!C:C,$N$3,Total!F:F, A375, Total!A:A, "&lt;&gt;")</f>
        <v>28</v>
      </c>
      <c r="E375">
        <f>COUNTIFS(Total!C:C,$N$5,Total!F:F, A375, Total!A:A, "&lt;&gt;")</f>
        <v>0</v>
      </c>
    </row>
    <row r="376" spans="1:5" x14ac:dyDescent="0.3">
      <c r="A376" s="1">
        <v>46126</v>
      </c>
      <c r="B376">
        <f>COUNTIFS(Total!F:F, A376, Total!A:A, "&lt;&gt;")</f>
        <v>26</v>
      </c>
      <c r="C376">
        <f>COUNTIFS(Total!C:C,$N$4,Total!F:F, A376, Total!A:A, "&lt;&gt;")</f>
        <v>3</v>
      </c>
      <c r="D376">
        <f>COUNTIFS(Total!C:C,$N$3,Total!F:F, A376, Total!A:A, "&lt;&gt;")</f>
        <v>21</v>
      </c>
      <c r="E376">
        <f>COUNTIFS(Total!C:C,$N$5,Total!F:F, A376, Total!A:A, "&lt;&gt;")</f>
        <v>2</v>
      </c>
    </row>
    <row r="377" spans="1:5" x14ac:dyDescent="0.3">
      <c r="A377" s="1">
        <v>46127</v>
      </c>
      <c r="B377">
        <f>COUNTIFS(Total!F:F, A377, Total!A:A, "&lt;&gt;")</f>
        <v>25</v>
      </c>
      <c r="C377">
        <f>COUNTIFS(Total!C:C,$N$4,Total!F:F, A377, Total!A:A, "&lt;&gt;")</f>
        <v>1</v>
      </c>
      <c r="D377">
        <f>COUNTIFS(Total!C:C,$N$3,Total!F:F, A377, Total!A:A, "&lt;&gt;")</f>
        <v>23</v>
      </c>
      <c r="E377">
        <f>COUNTIFS(Total!C:C,$N$5,Total!F:F, A377, Total!A:A, "&lt;&gt;")</f>
        <v>1</v>
      </c>
    </row>
    <row r="378" spans="1:5" x14ac:dyDescent="0.3">
      <c r="A378" s="1">
        <v>46128</v>
      </c>
      <c r="B378">
        <f>COUNTIFS(Total!F:F, A378, Total!A:A, "&lt;&gt;")</f>
        <v>29</v>
      </c>
      <c r="C378">
        <f>COUNTIFS(Total!C:C,$N$4,Total!F:F, A378, Total!A:A, "&lt;&gt;")</f>
        <v>4</v>
      </c>
      <c r="D378">
        <f>COUNTIFS(Total!C:C,$N$3,Total!F:F, A378, Total!A:A, "&lt;&gt;")</f>
        <v>25</v>
      </c>
      <c r="E378">
        <f>COUNTIFS(Total!C:C,$N$5,Total!F:F, A378, Total!A:A, "&lt;&gt;")</f>
        <v>0</v>
      </c>
    </row>
    <row r="379" spans="1:5" x14ac:dyDescent="0.3">
      <c r="A379" s="1">
        <v>46129</v>
      </c>
      <c r="B379">
        <f>COUNTIFS(Total!F:F, A379, Total!A:A, "&lt;&gt;")</f>
        <v>25</v>
      </c>
      <c r="C379">
        <f>COUNTIFS(Total!C:C,$N$4,Total!F:F, A379, Total!A:A, "&lt;&gt;")</f>
        <v>3</v>
      </c>
      <c r="D379">
        <f>COUNTIFS(Total!C:C,$N$3,Total!F:F, A379, Total!A:A, "&lt;&gt;")</f>
        <v>22</v>
      </c>
      <c r="E379">
        <f>COUNTIFS(Total!C:C,$N$5,Total!F:F, A379, Total!A:A, "&lt;&gt;")</f>
        <v>0</v>
      </c>
    </row>
    <row r="380" spans="1:5" x14ac:dyDescent="0.3">
      <c r="A380" s="1">
        <v>46130</v>
      </c>
      <c r="B380">
        <f>COUNTIFS(Total!F:F, A380, Total!A:A, "&lt;&gt;")</f>
        <v>0</v>
      </c>
      <c r="C380">
        <f>COUNTIFS(Total!C:C,$N$4,Total!F:F, A380, Total!A:A, "&lt;&gt;")</f>
        <v>0</v>
      </c>
      <c r="D380">
        <f>COUNTIFS(Total!C:C,$N$3,Total!F:F, A380, Total!A:A, "&lt;&gt;")</f>
        <v>0</v>
      </c>
      <c r="E380">
        <f>COUNTIFS(Total!C:C,$N$5,Total!F:F, A380, Total!A:A, "&lt;&gt;")</f>
        <v>0</v>
      </c>
    </row>
    <row r="381" spans="1:5" x14ac:dyDescent="0.3">
      <c r="A381" s="1">
        <v>46131</v>
      </c>
      <c r="B381">
        <f>COUNTIFS(Total!F:F, A381, Total!A:A, "&lt;&gt;")</f>
        <v>0</v>
      </c>
      <c r="C381">
        <f>COUNTIFS(Total!C:C,$N$4,Total!F:F, A381, Total!A:A, "&lt;&gt;")</f>
        <v>0</v>
      </c>
      <c r="D381">
        <f>COUNTIFS(Total!C:C,$N$3,Total!F:F, A381, Total!A:A, "&lt;&gt;")</f>
        <v>0</v>
      </c>
      <c r="E381">
        <f>COUNTIFS(Total!C:C,$N$5,Total!F:F, A381, Total!A:A, "&lt;&gt;")</f>
        <v>0</v>
      </c>
    </row>
    <row r="382" spans="1:5" x14ac:dyDescent="0.3">
      <c r="A382" s="1">
        <v>46132</v>
      </c>
      <c r="B382">
        <f>COUNTIFS(Total!F:F, A382, Total!A:A, "&lt;&gt;")</f>
        <v>25</v>
      </c>
      <c r="C382">
        <f>COUNTIFS(Total!C:C,$N$4,Total!F:F, A382, Total!A:A, "&lt;&gt;")</f>
        <v>2</v>
      </c>
      <c r="D382">
        <f>COUNTIFS(Total!C:C,$N$3,Total!F:F, A382, Total!A:A, "&lt;&gt;")</f>
        <v>21</v>
      </c>
      <c r="E382">
        <f>COUNTIFS(Total!C:C,$N$5,Total!F:F, A382, Total!A:A, "&lt;&gt;")</f>
        <v>2</v>
      </c>
    </row>
    <row r="383" spans="1:5" x14ac:dyDescent="0.3">
      <c r="A383" s="1">
        <v>46133</v>
      </c>
      <c r="B383">
        <f>COUNTIFS(Total!F:F, A383, Total!A:A, "&lt;&gt;")</f>
        <v>40</v>
      </c>
      <c r="C383">
        <f>COUNTIFS(Total!C:C,$N$4,Total!F:F, A383, Total!A:A, "&lt;&gt;")</f>
        <v>1</v>
      </c>
      <c r="D383">
        <f>COUNTIFS(Total!C:C,$N$3,Total!F:F, A383, Total!A:A, "&lt;&gt;")</f>
        <v>31</v>
      </c>
      <c r="E383">
        <f>COUNTIFS(Total!C:C,$N$5,Total!F:F, A383, Total!A:A, "&lt;&gt;")</f>
        <v>8</v>
      </c>
    </row>
    <row r="384" spans="1:5" x14ac:dyDescent="0.3">
      <c r="A384" s="1">
        <v>46134</v>
      </c>
      <c r="B384">
        <f>COUNTIFS(Total!F:F, A384, Total!A:A, "&lt;&gt;")</f>
        <v>43</v>
      </c>
      <c r="C384">
        <f>COUNTIFS(Total!C:C,$N$4,Total!F:F, A384, Total!A:A, "&lt;&gt;")</f>
        <v>7</v>
      </c>
      <c r="D384">
        <f>COUNTIFS(Total!C:C,$N$3,Total!F:F, A384, Total!A:A, "&lt;&gt;")</f>
        <v>31</v>
      </c>
      <c r="E384">
        <f>COUNTIFS(Total!C:C,$N$5,Total!F:F, A384, Total!A:A, "&lt;&gt;")</f>
        <v>5</v>
      </c>
    </row>
    <row r="385" spans="1:5" x14ac:dyDescent="0.3">
      <c r="A385" s="1">
        <v>46135</v>
      </c>
      <c r="B385">
        <f>COUNTIFS(Total!F:F, A385, Total!A:A, "&lt;&gt;")</f>
        <v>40</v>
      </c>
      <c r="C385">
        <f>COUNTIFS(Total!C:C,$N$4,Total!F:F, A385, Total!A:A, "&lt;&gt;")</f>
        <v>1</v>
      </c>
      <c r="D385">
        <f>COUNTIFS(Total!C:C,$N$3,Total!F:F, A385, Total!A:A, "&lt;&gt;")</f>
        <v>29</v>
      </c>
      <c r="E385">
        <f>COUNTIFS(Total!C:C,$N$5,Total!F:F, A385, Total!A:A, "&lt;&gt;")</f>
        <v>10</v>
      </c>
    </row>
    <row r="386" spans="1:5" x14ac:dyDescent="0.3">
      <c r="A386" s="1">
        <v>46136</v>
      </c>
      <c r="B386">
        <f>COUNTIFS(Total!F:F, A386, Total!A:A, "&lt;&gt;")</f>
        <v>17</v>
      </c>
      <c r="C386">
        <f>COUNTIFS(Total!C:C,$N$4,Total!F:F, A386, Total!A:A, "&lt;&gt;")</f>
        <v>2</v>
      </c>
      <c r="D386">
        <f>COUNTIFS(Total!C:C,$N$3,Total!F:F, A386, Total!A:A, "&lt;&gt;")</f>
        <v>13</v>
      </c>
      <c r="E386">
        <f>COUNTIFS(Total!C:C,$N$5,Total!F:F, A386, Total!A:A, "&lt;&gt;")</f>
        <v>2</v>
      </c>
    </row>
    <row r="387" spans="1:5" x14ac:dyDescent="0.3">
      <c r="A387" s="1">
        <v>46137</v>
      </c>
      <c r="B387">
        <f>COUNTIFS(Total!F:F, A387, Total!A:A, "&lt;&gt;")</f>
        <v>0</v>
      </c>
      <c r="C387">
        <f>COUNTIFS(Total!C:C,$N$4,Total!F:F, A387, Total!A:A, "&lt;&gt;")</f>
        <v>0</v>
      </c>
      <c r="D387">
        <f>COUNTIFS(Total!C:C,$N$3,Total!F:F, A387, Total!A:A, "&lt;&gt;")</f>
        <v>0</v>
      </c>
      <c r="E387">
        <f>COUNTIFS(Total!C:C,$N$5,Total!F:F, A387, Total!A:A, "&lt;&gt;")</f>
        <v>0</v>
      </c>
    </row>
    <row r="388" spans="1:5" x14ac:dyDescent="0.3">
      <c r="A388" s="1">
        <v>46138</v>
      </c>
      <c r="B388">
        <f>COUNTIFS(Total!F:F, A388, Total!A:A, "&lt;&gt;")</f>
        <v>0</v>
      </c>
      <c r="C388">
        <f>COUNTIFS(Total!C:C,$N$4,Total!F:F, A388, Total!A:A, "&lt;&gt;")</f>
        <v>0</v>
      </c>
      <c r="D388">
        <f>COUNTIFS(Total!C:C,$N$3,Total!F:F, A388, Total!A:A, "&lt;&gt;")</f>
        <v>0</v>
      </c>
      <c r="E388">
        <f>COUNTIFS(Total!C:C,$N$5,Total!F:F, A388, Total!A:A, "&lt;&gt;")</f>
        <v>0</v>
      </c>
    </row>
    <row r="389" spans="1:5" x14ac:dyDescent="0.3">
      <c r="A389" s="1">
        <v>46139</v>
      </c>
      <c r="B389">
        <f>COUNTIFS(Total!F:F, A389, Total!A:A, "&lt;&gt;")</f>
        <v>0</v>
      </c>
      <c r="C389">
        <f>COUNTIFS(Total!C:C,$N$4,Total!F:F, A389, Total!A:A, "&lt;&gt;")</f>
        <v>0</v>
      </c>
      <c r="D389">
        <f>COUNTIFS(Total!C:C,$N$3,Total!F:F, A389, Total!A:A, "&lt;&gt;")</f>
        <v>0</v>
      </c>
      <c r="E389">
        <f>COUNTIFS(Total!C:C,$N$5,Total!F:F, A389, Total!A:A, "&lt;&gt;")</f>
        <v>0</v>
      </c>
    </row>
    <row r="390" spans="1:5" x14ac:dyDescent="0.3">
      <c r="A390" s="1">
        <v>46140</v>
      </c>
      <c r="B390">
        <f>COUNTIFS(Total!F:F, A390, Total!A:A, "&lt;&gt;")</f>
        <v>0</v>
      </c>
      <c r="C390">
        <f>COUNTIFS(Total!C:C,$N$4,Total!F:F, A390, Total!A:A, "&lt;&gt;")</f>
        <v>0</v>
      </c>
      <c r="D390">
        <f>COUNTIFS(Total!C:C,$N$3,Total!F:F, A390, Total!A:A, "&lt;&gt;")</f>
        <v>0</v>
      </c>
      <c r="E390">
        <f>COUNTIFS(Total!C:C,$N$5,Total!F:F, A390, Total!A:A, "&lt;&gt;")</f>
        <v>0</v>
      </c>
    </row>
    <row r="391" spans="1:5" x14ac:dyDescent="0.3">
      <c r="A391" s="1">
        <v>46141</v>
      </c>
      <c r="B391">
        <f>COUNTIFS(Total!F:F, A391, Total!A:A, "&lt;&gt;")</f>
        <v>0</v>
      </c>
      <c r="C391">
        <f>COUNTIFS(Total!C:C,$N$4,Total!F:F, A391, Total!A:A, "&lt;&gt;")</f>
        <v>0</v>
      </c>
      <c r="D391">
        <f>COUNTIFS(Total!C:C,$N$3,Total!F:F, A391, Total!A:A, "&lt;&gt;")</f>
        <v>0</v>
      </c>
      <c r="E391">
        <f>COUNTIFS(Total!C:C,$N$5,Total!F:F, A391, Total!A:A, "&lt;&gt;")</f>
        <v>0</v>
      </c>
    </row>
    <row r="392" spans="1:5" x14ac:dyDescent="0.3">
      <c r="A392" s="1">
        <v>46142</v>
      </c>
      <c r="B392">
        <f>COUNTIFS(Total!F:F, A392, Total!A:A, "&lt;&gt;")</f>
        <v>0</v>
      </c>
      <c r="C392">
        <f>COUNTIFS(Total!C:C,$N$4,Total!F:F, A392, Total!A:A, "&lt;&gt;")</f>
        <v>0</v>
      </c>
      <c r="D392">
        <f>COUNTIFS(Total!C:C,$N$3,Total!F:F, A392, Total!A:A, "&lt;&gt;")</f>
        <v>0</v>
      </c>
      <c r="E392">
        <f>COUNTIFS(Total!C:C,$N$5,Total!F:F, A392, Total!A:A, "&lt;&gt;")</f>
        <v>0</v>
      </c>
    </row>
    <row r="393" spans="1:5" x14ac:dyDescent="0.3">
      <c r="A393" s="1">
        <v>46143</v>
      </c>
      <c r="B393">
        <f>COUNTIFS(Total!F:F, A393, Total!A:A, "&lt;&gt;")</f>
        <v>0</v>
      </c>
      <c r="C393">
        <f>COUNTIFS(Total!C:C,$N$4,Total!F:F, A393, Total!A:A, "&lt;&gt;")</f>
        <v>0</v>
      </c>
      <c r="D393">
        <f>COUNTIFS(Total!C:C,$N$3,Total!F:F, A393, Total!A:A, "&lt;&gt;")</f>
        <v>0</v>
      </c>
      <c r="E393">
        <f>COUNTIFS(Total!C:C,$N$5,Total!F:F, A393, Total!A:A, "&lt;&gt;")</f>
        <v>0</v>
      </c>
    </row>
    <row r="394" spans="1:5" x14ac:dyDescent="0.3">
      <c r="A394" s="1">
        <v>46144</v>
      </c>
      <c r="B394">
        <f>COUNTIFS(Total!F:F, A394, Total!A:A, "&lt;&gt;")</f>
        <v>0</v>
      </c>
      <c r="C394">
        <f>COUNTIFS(Total!C:C,$N$4,Total!F:F, A394, Total!A:A, "&lt;&gt;")</f>
        <v>0</v>
      </c>
      <c r="D394">
        <f>COUNTIFS(Total!C:C,$N$3,Total!F:F, A394, Total!A:A, "&lt;&gt;")</f>
        <v>0</v>
      </c>
      <c r="E394">
        <f>COUNTIFS(Total!C:C,$N$5,Total!F:F, A394, Total!A:A, "&lt;&gt;")</f>
        <v>0</v>
      </c>
    </row>
    <row r="395" spans="1:5" x14ac:dyDescent="0.3">
      <c r="A395" s="1">
        <v>46145</v>
      </c>
      <c r="B395">
        <f>COUNTIFS(Total!F:F, A395, Total!A:A, "&lt;&gt;")</f>
        <v>0</v>
      </c>
      <c r="C395">
        <f>COUNTIFS(Total!C:C,$N$4,Total!F:F, A395, Total!A:A, "&lt;&gt;")</f>
        <v>0</v>
      </c>
      <c r="D395">
        <f>COUNTIFS(Total!C:C,$N$3,Total!F:F, A395, Total!A:A, "&lt;&gt;")</f>
        <v>0</v>
      </c>
      <c r="E395">
        <f>COUNTIFS(Total!C:C,$N$5,Total!F:F, A395, Total!A:A, "&lt;&gt;")</f>
        <v>0</v>
      </c>
    </row>
    <row r="396" spans="1:5" x14ac:dyDescent="0.3">
      <c r="A396" s="1">
        <v>46146</v>
      </c>
      <c r="B396">
        <f>COUNTIFS(Total!F:F, A396, Total!A:A, "&lt;&gt;")</f>
        <v>0</v>
      </c>
      <c r="C396">
        <f>COUNTIFS(Total!C:C,$N$4,Total!F:F, A396, Total!A:A, "&lt;&gt;")</f>
        <v>0</v>
      </c>
      <c r="D396">
        <f>COUNTIFS(Total!C:C,$N$3,Total!F:F, A396, Total!A:A, "&lt;&gt;")</f>
        <v>0</v>
      </c>
      <c r="E396">
        <f>COUNTIFS(Total!C:C,$N$5,Total!F:F, A396, Total!A:A, "&lt;&gt;")</f>
        <v>0</v>
      </c>
    </row>
    <row r="397" spans="1:5" x14ac:dyDescent="0.3">
      <c r="A397" s="1">
        <v>46147</v>
      </c>
      <c r="B397">
        <f>COUNTIFS(Total!F:F, A397, Total!A:A, "&lt;&gt;")</f>
        <v>0</v>
      </c>
      <c r="C397">
        <f>COUNTIFS(Total!C:C,$N$4,Total!F:F, A397, Total!A:A, "&lt;&gt;")</f>
        <v>0</v>
      </c>
      <c r="D397">
        <f>COUNTIFS(Total!C:C,$N$3,Total!F:F, A397, Total!A:A, "&lt;&gt;")</f>
        <v>0</v>
      </c>
      <c r="E397">
        <f>COUNTIFS(Total!C:C,$N$5,Total!F:F, A397, Total!A:A, "&lt;&gt;")</f>
        <v>0</v>
      </c>
    </row>
    <row r="398" spans="1:5" x14ac:dyDescent="0.3">
      <c r="A398" s="1">
        <v>46148</v>
      </c>
      <c r="B398">
        <f>COUNTIFS(Total!F:F, A398, Total!A:A, "&lt;&gt;")</f>
        <v>0</v>
      </c>
      <c r="C398">
        <f>COUNTIFS(Total!C:C,$N$4,Total!F:F, A398, Total!A:A, "&lt;&gt;")</f>
        <v>0</v>
      </c>
      <c r="D398">
        <f>COUNTIFS(Total!C:C,$N$3,Total!F:F, A398, Total!A:A, "&lt;&gt;")</f>
        <v>0</v>
      </c>
      <c r="E398">
        <f>COUNTIFS(Total!C:C,$N$5,Total!F:F, A398, Total!A:A, "&lt;&gt;")</f>
        <v>0</v>
      </c>
    </row>
    <row r="399" spans="1:5" x14ac:dyDescent="0.3">
      <c r="A399" s="1">
        <v>46149</v>
      </c>
      <c r="B399">
        <f>COUNTIFS(Total!F:F, A399, Total!A:A, "&lt;&gt;")</f>
        <v>0</v>
      </c>
      <c r="C399">
        <f>COUNTIFS(Total!C:C,$N$4,Total!F:F, A399, Total!A:A, "&lt;&gt;")</f>
        <v>0</v>
      </c>
      <c r="D399">
        <f>COUNTIFS(Total!C:C,$N$3,Total!F:F, A399, Total!A:A, "&lt;&gt;")</f>
        <v>0</v>
      </c>
      <c r="E399">
        <f>COUNTIFS(Total!C:C,$N$5,Total!F:F, A399, Total!A:A, "&lt;&gt;")</f>
        <v>0</v>
      </c>
    </row>
    <row r="400" spans="1:5" x14ac:dyDescent="0.3">
      <c r="A400" s="1">
        <v>46150</v>
      </c>
      <c r="B400">
        <f>COUNTIFS(Total!F:F, A400, Total!A:A, "&lt;&gt;")</f>
        <v>0</v>
      </c>
      <c r="C400">
        <f>COUNTIFS(Total!C:C,$N$4,Total!F:F, A400, Total!A:A, "&lt;&gt;")</f>
        <v>0</v>
      </c>
      <c r="D400">
        <f>COUNTIFS(Total!C:C,$N$3,Total!F:F, A400, Total!A:A, "&lt;&gt;")</f>
        <v>0</v>
      </c>
      <c r="E400">
        <f>COUNTIFS(Total!C:C,$N$5,Total!F:F, A400, Total!A:A, "&lt;&gt;")</f>
        <v>0</v>
      </c>
    </row>
    <row r="401" spans="1:5" x14ac:dyDescent="0.3">
      <c r="A401" s="1">
        <v>46151</v>
      </c>
      <c r="B401">
        <f>COUNTIFS(Total!F:F, A401, Total!A:A, "&lt;&gt;")</f>
        <v>0</v>
      </c>
      <c r="C401">
        <f>COUNTIFS(Total!C:C,$N$4,Total!F:F, A401, Total!A:A, "&lt;&gt;")</f>
        <v>0</v>
      </c>
      <c r="D401">
        <f>COUNTIFS(Total!C:C,$N$3,Total!F:F, A401, Total!A:A, "&lt;&gt;")</f>
        <v>0</v>
      </c>
      <c r="E401">
        <f>COUNTIFS(Total!C:C,$N$5,Total!F:F, A401, Total!A:A, "&lt;&gt;")</f>
        <v>0</v>
      </c>
    </row>
    <row r="402" spans="1:5" x14ac:dyDescent="0.3">
      <c r="A402" s="1">
        <v>46152</v>
      </c>
      <c r="B402">
        <f>COUNTIFS(Total!F:F, A402, Total!A:A, "&lt;&gt;")</f>
        <v>0</v>
      </c>
      <c r="C402">
        <f>COUNTIFS(Total!C:C,$N$4,Total!F:F, A402, Total!A:A, "&lt;&gt;")</f>
        <v>0</v>
      </c>
      <c r="D402">
        <f>COUNTIFS(Total!C:C,$N$3,Total!F:F, A402, Total!A:A, "&lt;&gt;")</f>
        <v>0</v>
      </c>
      <c r="E402">
        <f>COUNTIFS(Total!C:C,$N$5,Total!F:F, A402, Total!A:A, "&lt;&gt;")</f>
        <v>0</v>
      </c>
    </row>
    <row r="403" spans="1:5" x14ac:dyDescent="0.3">
      <c r="A403" s="1">
        <v>46153</v>
      </c>
      <c r="B403">
        <f>COUNTIFS(Total!F:F, A403, Total!A:A, "&lt;&gt;")</f>
        <v>0</v>
      </c>
      <c r="C403">
        <f>COUNTIFS(Total!C:C,$N$4,Total!F:F, A403, Total!A:A, "&lt;&gt;")</f>
        <v>0</v>
      </c>
      <c r="D403">
        <f>COUNTIFS(Total!C:C,$N$3,Total!F:F, A403, Total!A:A, "&lt;&gt;")</f>
        <v>0</v>
      </c>
      <c r="E403">
        <f>COUNTIFS(Total!C:C,$N$5,Total!F:F, A403, Total!A:A, "&lt;&gt;")</f>
        <v>0</v>
      </c>
    </row>
    <row r="404" spans="1:5" x14ac:dyDescent="0.3">
      <c r="A404" s="1">
        <v>46154</v>
      </c>
      <c r="B404">
        <f>COUNTIFS(Total!F:F, A404, Total!A:A, "&lt;&gt;")</f>
        <v>0</v>
      </c>
      <c r="C404">
        <f>COUNTIFS(Total!C:C,$N$4,Total!F:F, A404, Total!A:A, "&lt;&gt;")</f>
        <v>0</v>
      </c>
      <c r="D404">
        <f>COUNTIFS(Total!C:C,$N$3,Total!F:F, A404, Total!A:A, "&lt;&gt;")</f>
        <v>0</v>
      </c>
      <c r="E404">
        <f>COUNTIFS(Total!C:C,$N$5,Total!F:F, A404, Total!A:A, "&lt;&gt;")</f>
        <v>0</v>
      </c>
    </row>
    <row r="405" spans="1:5" x14ac:dyDescent="0.3">
      <c r="A405" s="1">
        <v>46155</v>
      </c>
      <c r="B405">
        <f>COUNTIFS(Total!F:F, A405, Total!A:A, "&lt;&gt;")</f>
        <v>0</v>
      </c>
      <c r="C405">
        <f>COUNTIFS(Total!C:C,$N$4,Total!F:F, A405, Total!A:A, "&lt;&gt;")</f>
        <v>0</v>
      </c>
      <c r="D405">
        <f>COUNTIFS(Total!C:C,$N$3,Total!F:F, A405, Total!A:A, "&lt;&gt;")</f>
        <v>0</v>
      </c>
      <c r="E405">
        <f>COUNTIFS(Total!C:C,$N$5,Total!F:F, A405, Total!A:A, "&lt;&gt;")</f>
        <v>0</v>
      </c>
    </row>
    <row r="406" spans="1:5" x14ac:dyDescent="0.3">
      <c r="A406" s="1">
        <v>46156</v>
      </c>
      <c r="B406">
        <f>COUNTIFS(Total!F:F, A406, Total!A:A, "&lt;&gt;")</f>
        <v>0</v>
      </c>
      <c r="C406">
        <f>COUNTIFS(Total!C:C,$N$4,Total!F:F, A406, Total!A:A, "&lt;&gt;")</f>
        <v>0</v>
      </c>
      <c r="D406">
        <f>COUNTIFS(Total!C:C,$N$3,Total!F:F, A406, Total!A:A, "&lt;&gt;")</f>
        <v>0</v>
      </c>
      <c r="E406">
        <f>COUNTIFS(Total!C:C,$N$5,Total!F:F, A406, Total!A:A, "&lt;&gt;")</f>
        <v>0</v>
      </c>
    </row>
    <row r="407" spans="1:5" x14ac:dyDescent="0.3">
      <c r="A407" s="1">
        <v>46157</v>
      </c>
      <c r="B407">
        <f>COUNTIFS(Total!F:F, A407, Total!A:A, "&lt;&gt;")</f>
        <v>0</v>
      </c>
      <c r="C407">
        <f>COUNTIFS(Total!C:C,$N$4,Total!F:F, A407, Total!A:A, "&lt;&gt;")</f>
        <v>0</v>
      </c>
      <c r="D407">
        <f>COUNTIFS(Total!C:C,$N$3,Total!F:F, A407, Total!A:A, "&lt;&gt;")</f>
        <v>0</v>
      </c>
      <c r="E407">
        <f>COUNTIFS(Total!C:C,$N$5,Total!F:F, A407, Total!A:A, "&lt;&gt;")</f>
        <v>0</v>
      </c>
    </row>
    <row r="408" spans="1:5" x14ac:dyDescent="0.3">
      <c r="A408" s="1">
        <v>46158</v>
      </c>
      <c r="B408">
        <f>COUNTIFS(Total!F:F, A408, Total!A:A, "&lt;&gt;")</f>
        <v>0</v>
      </c>
      <c r="C408">
        <f>COUNTIFS(Total!C:C,$N$4,Total!F:F, A408, Total!A:A, "&lt;&gt;")</f>
        <v>0</v>
      </c>
      <c r="D408">
        <f>COUNTIFS(Total!C:C,$N$3,Total!F:F, A408, Total!A:A, "&lt;&gt;")</f>
        <v>0</v>
      </c>
      <c r="E408">
        <f>COUNTIFS(Total!C:C,$N$5,Total!F:F, A408, Total!A:A, "&lt;&gt;")</f>
        <v>0</v>
      </c>
    </row>
    <row r="409" spans="1:5" x14ac:dyDescent="0.3">
      <c r="A409" s="1">
        <v>46159</v>
      </c>
      <c r="B409">
        <f>COUNTIFS(Total!F:F, A409, Total!A:A, "&lt;&gt;")</f>
        <v>0</v>
      </c>
      <c r="C409">
        <f>COUNTIFS(Total!C:C,$N$4,Total!F:F, A409, Total!A:A, "&lt;&gt;")</f>
        <v>0</v>
      </c>
      <c r="D409">
        <f>COUNTIFS(Total!C:C,$N$3,Total!F:F, A409, Total!A:A, "&lt;&gt;")</f>
        <v>0</v>
      </c>
      <c r="E409">
        <f>COUNTIFS(Total!C:C,$N$5,Total!F:F, A409, Total!A:A, "&lt;&gt;")</f>
        <v>0</v>
      </c>
    </row>
    <row r="410" spans="1:5" x14ac:dyDescent="0.3">
      <c r="A410" s="1">
        <v>46160</v>
      </c>
      <c r="B410">
        <f>COUNTIFS(Total!F:F, A410, Total!A:A, "&lt;&gt;")</f>
        <v>0</v>
      </c>
      <c r="C410">
        <f>COUNTIFS(Total!C:C,$N$4,Total!F:F, A410, Total!A:A, "&lt;&gt;")</f>
        <v>0</v>
      </c>
      <c r="D410">
        <f>COUNTIFS(Total!C:C,$N$3,Total!F:F, A410, Total!A:A, "&lt;&gt;")</f>
        <v>0</v>
      </c>
      <c r="E410">
        <f>COUNTIFS(Total!C:C,$N$5,Total!F:F, A410, Total!A:A, "&lt;&gt;")</f>
        <v>0</v>
      </c>
    </row>
    <row r="411" spans="1:5" x14ac:dyDescent="0.3">
      <c r="A411" s="1">
        <v>46161</v>
      </c>
      <c r="B411">
        <f>COUNTIFS(Total!F:F, A411, Total!A:A, "&lt;&gt;")</f>
        <v>0</v>
      </c>
      <c r="C411">
        <f>COUNTIFS(Total!C:C,$N$4,Total!F:F, A411, Total!A:A, "&lt;&gt;")</f>
        <v>0</v>
      </c>
      <c r="D411">
        <f>COUNTIFS(Total!C:C,$N$3,Total!F:F, A411, Total!A:A, "&lt;&gt;")</f>
        <v>0</v>
      </c>
      <c r="E411">
        <f>COUNTIFS(Total!C:C,$N$5,Total!F:F, A411, Total!A:A, "&lt;&gt;")</f>
        <v>0</v>
      </c>
    </row>
    <row r="412" spans="1:5" x14ac:dyDescent="0.3">
      <c r="A412" s="1">
        <v>46162</v>
      </c>
      <c r="B412">
        <f>COUNTIFS(Total!F:F, A412, Total!A:A, "&lt;&gt;")</f>
        <v>0</v>
      </c>
      <c r="C412">
        <f>COUNTIFS(Total!C:C,$N$4,Total!F:F, A412, Total!A:A, "&lt;&gt;")</f>
        <v>0</v>
      </c>
      <c r="D412">
        <f>COUNTIFS(Total!C:C,$N$3,Total!F:F, A412, Total!A:A, "&lt;&gt;")</f>
        <v>0</v>
      </c>
      <c r="E412">
        <f>COUNTIFS(Total!C:C,$N$5,Total!F:F, A412, Total!A:A, "&lt;&gt;")</f>
        <v>0</v>
      </c>
    </row>
    <row r="413" spans="1:5" x14ac:dyDescent="0.3">
      <c r="A413" s="1">
        <v>46163</v>
      </c>
      <c r="B413">
        <f>COUNTIFS(Total!F:F, A413, Total!A:A, "&lt;&gt;")</f>
        <v>0</v>
      </c>
      <c r="C413">
        <f>COUNTIFS(Total!C:C,$N$4,Total!F:F, A413, Total!A:A, "&lt;&gt;")</f>
        <v>0</v>
      </c>
      <c r="D413">
        <f>COUNTIFS(Total!C:C,$N$3,Total!F:F, A413, Total!A:A, "&lt;&gt;")</f>
        <v>0</v>
      </c>
      <c r="E413">
        <f>COUNTIFS(Total!C:C,$N$5,Total!F:F, A413, Total!A:A, "&lt;&gt;")</f>
        <v>0</v>
      </c>
    </row>
    <row r="414" spans="1:5" x14ac:dyDescent="0.3">
      <c r="A414" s="1">
        <v>46164</v>
      </c>
      <c r="B414">
        <f>COUNTIFS(Total!F:F, A414, Total!A:A, "&lt;&gt;")</f>
        <v>0</v>
      </c>
      <c r="C414">
        <f>COUNTIFS(Total!C:C,$N$4,Total!F:F, A414, Total!A:A, "&lt;&gt;")</f>
        <v>0</v>
      </c>
      <c r="D414">
        <f>COUNTIFS(Total!C:C,$N$3,Total!F:F, A414, Total!A:A, "&lt;&gt;")</f>
        <v>0</v>
      </c>
      <c r="E414">
        <f>COUNTIFS(Total!C:C,$N$5,Total!F:F, A414, Total!A:A, "&lt;&gt;")</f>
        <v>0</v>
      </c>
    </row>
    <row r="415" spans="1:5" x14ac:dyDescent="0.3">
      <c r="A415" s="1">
        <v>46165</v>
      </c>
      <c r="B415">
        <f>COUNTIFS(Total!F:F, A415, Total!A:A, "&lt;&gt;")</f>
        <v>0</v>
      </c>
      <c r="C415">
        <f>COUNTIFS(Total!C:C,$N$4,Total!F:F, A415, Total!A:A, "&lt;&gt;")</f>
        <v>0</v>
      </c>
      <c r="D415">
        <f>COUNTIFS(Total!C:C,$N$3,Total!F:F, A415, Total!A:A, "&lt;&gt;")</f>
        <v>0</v>
      </c>
      <c r="E415">
        <f>COUNTIFS(Total!C:C,$N$5,Total!F:F, A415, Total!A:A, "&lt;&gt;")</f>
        <v>0</v>
      </c>
    </row>
    <row r="416" spans="1:5" x14ac:dyDescent="0.3">
      <c r="A416" s="1">
        <v>46166</v>
      </c>
      <c r="B416">
        <f>COUNTIFS(Total!F:F, A416, Total!A:A, "&lt;&gt;")</f>
        <v>0</v>
      </c>
      <c r="C416">
        <f>COUNTIFS(Total!C:C,$N$4,Total!F:F, A416, Total!A:A, "&lt;&gt;")</f>
        <v>0</v>
      </c>
      <c r="D416">
        <f>COUNTIFS(Total!C:C,$N$3,Total!F:F, A416, Total!A:A, "&lt;&gt;")</f>
        <v>0</v>
      </c>
      <c r="E416">
        <f>COUNTIFS(Total!C:C,$N$5,Total!F:F, A416, Total!A:A, "&lt;&gt;")</f>
        <v>0</v>
      </c>
    </row>
    <row r="417" spans="1:5" x14ac:dyDescent="0.3">
      <c r="A417" s="1">
        <v>46167</v>
      </c>
      <c r="B417">
        <f>COUNTIFS(Total!F:F, A417, Total!A:A, "&lt;&gt;")</f>
        <v>0</v>
      </c>
      <c r="C417">
        <f>COUNTIFS(Total!C:C,$N$4,Total!F:F, A417, Total!A:A, "&lt;&gt;")</f>
        <v>0</v>
      </c>
      <c r="D417">
        <f>COUNTIFS(Total!C:C,$N$3,Total!F:F, A417, Total!A:A, "&lt;&gt;")</f>
        <v>0</v>
      </c>
      <c r="E417">
        <f>COUNTIFS(Total!C:C,$N$5,Total!F:F, A417, Total!A:A, "&lt;&gt;")</f>
        <v>0</v>
      </c>
    </row>
    <row r="418" spans="1:5" x14ac:dyDescent="0.3">
      <c r="A418" s="1">
        <v>46168</v>
      </c>
      <c r="B418">
        <f>COUNTIFS(Total!F:F, A418, Total!A:A, "&lt;&gt;")</f>
        <v>0</v>
      </c>
      <c r="C418">
        <f>COUNTIFS(Total!C:C,$N$4,Total!F:F, A418, Total!A:A, "&lt;&gt;")</f>
        <v>0</v>
      </c>
      <c r="D418">
        <f>COUNTIFS(Total!C:C,$N$3,Total!F:F, A418, Total!A:A, "&lt;&gt;")</f>
        <v>0</v>
      </c>
      <c r="E418">
        <f>COUNTIFS(Total!C:C,$N$5,Total!F:F, A418, Total!A:A, "&lt;&gt;")</f>
        <v>0</v>
      </c>
    </row>
    <row r="419" spans="1:5" x14ac:dyDescent="0.3">
      <c r="A419" s="1">
        <v>46169</v>
      </c>
      <c r="B419">
        <f>COUNTIFS(Total!F:F, A419, Total!A:A, "&lt;&gt;")</f>
        <v>0</v>
      </c>
      <c r="C419">
        <f>COUNTIFS(Total!C:C,$N$4,Total!F:F, A419, Total!A:A, "&lt;&gt;")</f>
        <v>0</v>
      </c>
      <c r="D419">
        <f>COUNTIFS(Total!C:C,$N$3,Total!F:F, A419, Total!A:A, "&lt;&gt;")</f>
        <v>0</v>
      </c>
      <c r="E419">
        <f>COUNTIFS(Total!C:C,$N$5,Total!F:F, A419, Total!A:A, "&lt;&gt;")</f>
        <v>0</v>
      </c>
    </row>
    <row r="420" spans="1:5" x14ac:dyDescent="0.3">
      <c r="A420" s="1">
        <v>46170</v>
      </c>
      <c r="B420">
        <f>COUNTIFS(Total!F:F, A420, Total!A:A, "&lt;&gt;")</f>
        <v>0</v>
      </c>
      <c r="C420">
        <f>COUNTIFS(Total!C:C,$N$4,Total!F:F, A420, Total!A:A, "&lt;&gt;")</f>
        <v>0</v>
      </c>
      <c r="D420">
        <f>COUNTIFS(Total!C:C,$N$3,Total!F:F, A420, Total!A:A, "&lt;&gt;")</f>
        <v>0</v>
      </c>
      <c r="E420">
        <f>COUNTIFS(Total!C:C,$N$5,Total!F:F, A420, Total!A:A, "&lt;&gt;")</f>
        <v>0</v>
      </c>
    </row>
    <row r="421" spans="1:5" x14ac:dyDescent="0.3">
      <c r="A421" s="1">
        <v>46171</v>
      </c>
      <c r="B421">
        <f>COUNTIFS(Total!F:F, A421, Total!A:A, "&lt;&gt;")</f>
        <v>0</v>
      </c>
      <c r="C421">
        <f>COUNTIFS(Total!C:C,$N$4,Total!F:F, A421, Total!A:A, "&lt;&gt;")</f>
        <v>0</v>
      </c>
      <c r="D421">
        <f>COUNTIFS(Total!C:C,$N$3,Total!F:F, A421, Total!A:A, "&lt;&gt;")</f>
        <v>0</v>
      </c>
      <c r="E421">
        <f>COUNTIFS(Total!C:C,$N$5,Total!F:F, A421, Total!A:A, "&lt;&gt;")</f>
        <v>0</v>
      </c>
    </row>
    <row r="422" spans="1:5" x14ac:dyDescent="0.3">
      <c r="A422" s="1">
        <v>46172</v>
      </c>
      <c r="B422">
        <f>COUNTIFS(Total!F:F, A422, Total!A:A, "&lt;&gt;")</f>
        <v>0</v>
      </c>
      <c r="C422">
        <f>COUNTIFS(Total!C:C,$N$4,Total!F:F, A422, Total!A:A, "&lt;&gt;")</f>
        <v>0</v>
      </c>
      <c r="D422">
        <f>COUNTIFS(Total!C:C,$N$3,Total!F:F, A422, Total!A:A, "&lt;&gt;")</f>
        <v>0</v>
      </c>
      <c r="E422">
        <f>COUNTIFS(Total!C:C,$N$5,Total!F:F, A422, Total!A:A, "&lt;&gt;")</f>
        <v>0</v>
      </c>
    </row>
    <row r="423" spans="1:5" x14ac:dyDescent="0.3">
      <c r="A423" s="1">
        <v>46173</v>
      </c>
      <c r="B423">
        <f>COUNTIFS(Total!F:F, A423, Total!A:A, "&lt;&gt;")</f>
        <v>0</v>
      </c>
      <c r="C423">
        <f>COUNTIFS(Total!C:C,$N$4,Total!F:F, A423, Total!A:A, "&lt;&gt;")</f>
        <v>0</v>
      </c>
      <c r="D423">
        <f>COUNTIFS(Total!C:C,$N$3,Total!F:F, A423, Total!A:A, "&lt;&gt;")</f>
        <v>0</v>
      </c>
      <c r="E423">
        <f>COUNTIFS(Total!C:C,$N$5,Total!F:F, A423, Total!A:A, "&lt;&gt;")</f>
        <v>0</v>
      </c>
    </row>
    <row r="424" spans="1:5" x14ac:dyDescent="0.3">
      <c r="A424" s="1">
        <v>46174</v>
      </c>
      <c r="B424">
        <f>COUNTIFS(Total!F:F, A424, Total!A:A, "&lt;&gt;")</f>
        <v>0</v>
      </c>
      <c r="C424">
        <f>COUNTIFS(Total!C:C,$N$4,Total!F:F, A424, Total!A:A, "&lt;&gt;")</f>
        <v>0</v>
      </c>
      <c r="D424">
        <f>COUNTIFS(Total!C:C,$N$3,Total!F:F, A424, Total!A:A, "&lt;&gt;")</f>
        <v>0</v>
      </c>
      <c r="E424">
        <f>COUNTIFS(Total!C:C,$N$5,Total!F:F, A424, Total!A:A, "&lt;&gt;")</f>
        <v>0</v>
      </c>
    </row>
    <row r="425" spans="1:5" x14ac:dyDescent="0.3">
      <c r="A425" s="1">
        <v>46175</v>
      </c>
      <c r="B425">
        <f>COUNTIFS(Total!F:F, A425, Total!A:A, "&lt;&gt;")</f>
        <v>0</v>
      </c>
      <c r="C425">
        <f>COUNTIFS(Total!C:C,$N$4,Total!F:F, A425, Total!A:A, "&lt;&gt;")</f>
        <v>0</v>
      </c>
      <c r="D425">
        <f>COUNTIFS(Total!C:C,$N$3,Total!F:F, A425, Total!A:A, "&lt;&gt;")</f>
        <v>0</v>
      </c>
      <c r="E425">
        <f>COUNTIFS(Total!C:C,$N$5,Total!F:F, A425, Total!A:A, "&lt;&gt;")</f>
        <v>0</v>
      </c>
    </row>
    <row r="426" spans="1:5" x14ac:dyDescent="0.3">
      <c r="A426" s="1">
        <v>46176</v>
      </c>
      <c r="B426">
        <f>COUNTIFS(Total!F:F, A426, Total!A:A, "&lt;&gt;")</f>
        <v>0</v>
      </c>
      <c r="C426">
        <f>COUNTIFS(Total!C:C,$N$4,Total!F:F, A426, Total!A:A, "&lt;&gt;")</f>
        <v>0</v>
      </c>
      <c r="D426">
        <f>COUNTIFS(Total!C:C,$N$3,Total!F:F, A426, Total!A:A, "&lt;&gt;")</f>
        <v>0</v>
      </c>
      <c r="E426">
        <f>COUNTIFS(Total!C:C,$N$5,Total!F:F, A426, Total!A:A, "&lt;&gt;")</f>
        <v>0</v>
      </c>
    </row>
    <row r="427" spans="1:5" x14ac:dyDescent="0.3">
      <c r="A427" s="1">
        <v>46177</v>
      </c>
      <c r="B427">
        <f>COUNTIFS(Total!F:F, A427, Total!A:A, "&lt;&gt;")</f>
        <v>0</v>
      </c>
      <c r="C427">
        <f>COUNTIFS(Total!C:C,$N$4,Total!F:F, A427, Total!A:A, "&lt;&gt;")</f>
        <v>0</v>
      </c>
      <c r="D427">
        <f>COUNTIFS(Total!C:C,$N$3,Total!F:F, A427, Total!A:A, "&lt;&gt;")</f>
        <v>0</v>
      </c>
      <c r="E427">
        <f>COUNTIFS(Total!C:C,$N$5,Total!F:F, A427, Total!A:A, "&lt;&gt;")</f>
        <v>0</v>
      </c>
    </row>
    <row r="428" spans="1:5" x14ac:dyDescent="0.3">
      <c r="A428" s="1">
        <v>46178</v>
      </c>
      <c r="B428">
        <f>COUNTIFS(Total!F:F, A428, Total!A:A, "&lt;&gt;")</f>
        <v>0</v>
      </c>
      <c r="C428">
        <f>COUNTIFS(Total!C:C,$N$4,Total!F:F, A428, Total!A:A, "&lt;&gt;")</f>
        <v>0</v>
      </c>
      <c r="D428">
        <f>COUNTIFS(Total!C:C,$N$3,Total!F:F, A428, Total!A:A, "&lt;&gt;")</f>
        <v>0</v>
      </c>
      <c r="E428">
        <f>COUNTIFS(Total!C:C,$N$5,Total!F:F, A428, Total!A:A, "&lt;&gt;")</f>
        <v>0</v>
      </c>
    </row>
    <row r="429" spans="1:5" x14ac:dyDescent="0.3">
      <c r="A429" s="1">
        <v>46179</v>
      </c>
      <c r="B429">
        <f>COUNTIFS(Total!F:F, A429, Total!A:A, "&lt;&gt;")</f>
        <v>0</v>
      </c>
      <c r="C429">
        <f>COUNTIFS(Total!C:C,$N$4,Total!F:F, A429, Total!A:A, "&lt;&gt;")</f>
        <v>0</v>
      </c>
      <c r="D429">
        <f>COUNTIFS(Total!C:C,$N$3,Total!F:F, A429, Total!A:A, "&lt;&gt;")</f>
        <v>0</v>
      </c>
      <c r="E429">
        <f>COUNTIFS(Total!C:C,$N$5,Total!F:F, A429, Total!A:A, "&lt;&gt;")</f>
        <v>0</v>
      </c>
    </row>
    <row r="430" spans="1:5" x14ac:dyDescent="0.3">
      <c r="A430" s="1">
        <v>46180</v>
      </c>
      <c r="B430">
        <f>COUNTIFS(Total!F:F, A430, Total!A:A, "&lt;&gt;")</f>
        <v>0</v>
      </c>
      <c r="C430">
        <f>COUNTIFS(Total!C:C,$N$4,Total!F:F, A430, Total!A:A, "&lt;&gt;")</f>
        <v>0</v>
      </c>
      <c r="D430">
        <f>COUNTIFS(Total!C:C,$N$3,Total!F:F, A430, Total!A:A, "&lt;&gt;")</f>
        <v>0</v>
      </c>
      <c r="E430">
        <f>COUNTIFS(Total!C:C,$N$5,Total!F:F, A430, Total!A:A, "&lt;&gt;")</f>
        <v>0</v>
      </c>
    </row>
    <row r="431" spans="1:5" x14ac:dyDescent="0.3">
      <c r="A431" s="1">
        <v>46181</v>
      </c>
      <c r="B431">
        <f>COUNTIFS(Total!F:F, A431, Total!A:A, "&lt;&gt;")</f>
        <v>0</v>
      </c>
      <c r="C431">
        <f>COUNTIFS(Total!C:C,$N$4,Total!F:F, A431, Total!A:A, "&lt;&gt;")</f>
        <v>0</v>
      </c>
      <c r="D431">
        <f>COUNTIFS(Total!C:C,$N$3,Total!F:F, A431, Total!A:A, "&lt;&gt;")</f>
        <v>0</v>
      </c>
      <c r="E431">
        <f>COUNTIFS(Total!C:C,$N$5,Total!F:F, A431, Total!A:A, "&lt;&gt;")</f>
        <v>0</v>
      </c>
    </row>
    <row r="432" spans="1:5" x14ac:dyDescent="0.3">
      <c r="A432" s="1">
        <v>46182</v>
      </c>
      <c r="B432">
        <f>COUNTIFS(Total!F:F, A432, Total!A:A, "&lt;&gt;")</f>
        <v>0</v>
      </c>
      <c r="C432">
        <f>COUNTIFS(Total!C:C,$N$4,Total!F:F, A432, Total!A:A, "&lt;&gt;")</f>
        <v>0</v>
      </c>
      <c r="D432">
        <f>COUNTIFS(Total!C:C,$N$3,Total!F:F, A432, Total!A:A, "&lt;&gt;")</f>
        <v>0</v>
      </c>
      <c r="E432">
        <f>COUNTIFS(Total!C:C,$N$5,Total!F:F, A432, Total!A:A, "&lt;&gt;")</f>
        <v>0</v>
      </c>
    </row>
    <row r="433" spans="1:5" x14ac:dyDescent="0.3">
      <c r="A433" s="1">
        <v>46183</v>
      </c>
      <c r="B433">
        <f>COUNTIFS(Total!F:F, A433, Total!A:A, "&lt;&gt;")</f>
        <v>0</v>
      </c>
      <c r="C433">
        <f>COUNTIFS(Total!C:C,$N$4,Total!F:F, A433, Total!A:A, "&lt;&gt;")</f>
        <v>0</v>
      </c>
      <c r="D433">
        <f>COUNTIFS(Total!C:C,$N$3,Total!F:F, A433, Total!A:A, "&lt;&gt;")</f>
        <v>0</v>
      </c>
      <c r="E433">
        <f>COUNTIFS(Total!C:C,$N$5,Total!F:F, A433, Total!A:A, "&lt;&gt;")</f>
        <v>0</v>
      </c>
    </row>
    <row r="434" spans="1:5" x14ac:dyDescent="0.3">
      <c r="A434" s="1">
        <v>46184</v>
      </c>
      <c r="B434">
        <f>COUNTIFS(Total!F:F, A434, Total!A:A, "&lt;&gt;")</f>
        <v>0</v>
      </c>
      <c r="C434">
        <f>COUNTIFS(Total!C:C,$N$4,Total!F:F, A434, Total!A:A, "&lt;&gt;")</f>
        <v>0</v>
      </c>
      <c r="D434">
        <f>COUNTIFS(Total!C:C,$N$3,Total!F:F, A434, Total!A:A, "&lt;&gt;")</f>
        <v>0</v>
      </c>
      <c r="E434">
        <f>COUNTIFS(Total!C:C,$N$5,Total!F:F, A434, Total!A:A, "&lt;&gt;")</f>
        <v>0</v>
      </c>
    </row>
    <row r="435" spans="1:5" x14ac:dyDescent="0.3">
      <c r="A435" s="1">
        <v>46185</v>
      </c>
      <c r="B435">
        <f>COUNTIFS(Total!F:F, A435, Total!A:A, "&lt;&gt;")</f>
        <v>0</v>
      </c>
      <c r="C435">
        <f>COUNTIFS(Total!C:C,$N$4,Total!F:F, A435, Total!A:A, "&lt;&gt;")</f>
        <v>0</v>
      </c>
      <c r="D435">
        <f>COUNTIFS(Total!C:C,$N$3,Total!F:F, A435, Total!A:A, "&lt;&gt;")</f>
        <v>0</v>
      </c>
      <c r="E435">
        <f>COUNTIFS(Total!C:C,$N$5,Total!F:F, A435, Total!A:A, "&lt;&gt;")</f>
        <v>0</v>
      </c>
    </row>
    <row r="436" spans="1:5" x14ac:dyDescent="0.3">
      <c r="A436" s="1">
        <v>46186</v>
      </c>
      <c r="B436">
        <f>COUNTIFS(Total!F:F, A436, Total!A:A, "&lt;&gt;")</f>
        <v>0</v>
      </c>
      <c r="C436">
        <f>COUNTIFS(Total!C:C,$N$4,Total!F:F, A436, Total!A:A, "&lt;&gt;")</f>
        <v>0</v>
      </c>
      <c r="D436">
        <f>COUNTIFS(Total!C:C,$N$3,Total!F:F, A436, Total!A:A, "&lt;&gt;")</f>
        <v>0</v>
      </c>
      <c r="E436">
        <f>COUNTIFS(Total!C:C,$N$5,Total!F:F, A436, Total!A:A, "&lt;&gt;")</f>
        <v>0</v>
      </c>
    </row>
    <row r="437" spans="1:5" x14ac:dyDescent="0.3">
      <c r="A437" s="1">
        <v>46187</v>
      </c>
      <c r="B437">
        <f>COUNTIFS(Total!F:F, A437, Total!A:A, "&lt;&gt;")</f>
        <v>0</v>
      </c>
      <c r="C437">
        <f>COUNTIFS(Total!C:C,$N$4,Total!F:F, A437, Total!A:A, "&lt;&gt;")</f>
        <v>0</v>
      </c>
      <c r="D437">
        <f>COUNTIFS(Total!C:C,$N$3,Total!F:F, A437, Total!A:A, "&lt;&gt;")</f>
        <v>0</v>
      </c>
      <c r="E437">
        <f>COUNTIFS(Total!C:C,$N$5,Total!F:F, A437, Total!A:A, "&lt;&gt;")</f>
        <v>0</v>
      </c>
    </row>
    <row r="438" spans="1:5" x14ac:dyDescent="0.3">
      <c r="A438" s="1">
        <v>46188</v>
      </c>
      <c r="B438">
        <f>COUNTIFS(Total!F:F, A438, Total!A:A, "&lt;&gt;")</f>
        <v>0</v>
      </c>
      <c r="C438">
        <f>COUNTIFS(Total!C:C,$N$4,Total!F:F, A438, Total!A:A, "&lt;&gt;")</f>
        <v>0</v>
      </c>
      <c r="D438">
        <f>COUNTIFS(Total!C:C,$N$3,Total!F:F, A438, Total!A:A, "&lt;&gt;")</f>
        <v>0</v>
      </c>
      <c r="E438">
        <f>COUNTIFS(Total!C:C,$N$5,Total!F:F, A438, Total!A:A, "&lt;&gt;")</f>
        <v>0</v>
      </c>
    </row>
    <row r="439" spans="1:5" x14ac:dyDescent="0.3">
      <c r="A439" s="1">
        <v>46189</v>
      </c>
      <c r="B439">
        <f>COUNTIFS(Total!F:F, A439, Total!A:A, "&lt;&gt;")</f>
        <v>0</v>
      </c>
      <c r="C439">
        <f>COUNTIFS(Total!C:C,$N$4,Total!F:F, A439, Total!A:A, "&lt;&gt;")</f>
        <v>0</v>
      </c>
      <c r="D439">
        <f>COUNTIFS(Total!C:C,$N$3,Total!F:F, A439, Total!A:A, "&lt;&gt;")</f>
        <v>0</v>
      </c>
      <c r="E439">
        <f>COUNTIFS(Total!C:C,$N$5,Total!F:F, A439, Total!A:A, "&lt;&gt;")</f>
        <v>0</v>
      </c>
    </row>
    <row r="440" spans="1:5" x14ac:dyDescent="0.3">
      <c r="A440" s="1">
        <v>46190</v>
      </c>
      <c r="B440">
        <f>COUNTIFS(Total!F:F, A440, Total!A:A, "&lt;&gt;")</f>
        <v>0</v>
      </c>
      <c r="C440">
        <f>COUNTIFS(Total!C:C,$N$4,Total!F:F, A440, Total!A:A, "&lt;&gt;")</f>
        <v>0</v>
      </c>
      <c r="D440">
        <f>COUNTIFS(Total!C:C,$N$3,Total!F:F, A440, Total!A:A, "&lt;&gt;")</f>
        <v>0</v>
      </c>
      <c r="E440">
        <f>COUNTIFS(Total!C:C,$N$5,Total!F:F, A440, Total!A:A, "&lt;&gt;")</f>
        <v>0</v>
      </c>
    </row>
    <row r="441" spans="1:5" x14ac:dyDescent="0.3">
      <c r="A441" s="1">
        <v>46191</v>
      </c>
      <c r="B441">
        <f>COUNTIFS(Total!F:F, A441, Total!A:A, "&lt;&gt;")</f>
        <v>0</v>
      </c>
      <c r="C441">
        <f>COUNTIFS(Total!C:C,$N$4,Total!F:F, A441, Total!A:A, "&lt;&gt;")</f>
        <v>0</v>
      </c>
      <c r="D441">
        <f>COUNTIFS(Total!C:C,$N$3,Total!F:F, A441, Total!A:A, "&lt;&gt;")</f>
        <v>0</v>
      </c>
      <c r="E441">
        <f>COUNTIFS(Total!C:C,$N$5,Total!F:F, A441, Total!A:A, "&lt;&gt;")</f>
        <v>0</v>
      </c>
    </row>
    <row r="442" spans="1:5" x14ac:dyDescent="0.3">
      <c r="A442" s="1">
        <v>46192</v>
      </c>
      <c r="B442">
        <f>COUNTIFS(Total!F:F, A442, Total!A:A, "&lt;&gt;")</f>
        <v>0</v>
      </c>
      <c r="C442">
        <f>COUNTIFS(Total!C:C,$N$4,Total!F:F, A442, Total!A:A, "&lt;&gt;")</f>
        <v>0</v>
      </c>
      <c r="D442">
        <f>COUNTIFS(Total!C:C,$N$3,Total!F:F, A442, Total!A:A, "&lt;&gt;")</f>
        <v>0</v>
      </c>
      <c r="E442">
        <f>COUNTIFS(Total!C:C,$N$5,Total!F:F, A442, Total!A:A, "&lt;&gt;")</f>
        <v>0</v>
      </c>
    </row>
    <row r="443" spans="1:5" x14ac:dyDescent="0.3">
      <c r="A443" s="1">
        <v>46193</v>
      </c>
      <c r="B443">
        <f>COUNTIFS(Total!F:F, A443, Total!A:A, "&lt;&gt;")</f>
        <v>0</v>
      </c>
      <c r="C443">
        <f>COUNTIFS(Total!C:C,$N$4,Total!F:F, A443, Total!A:A, "&lt;&gt;")</f>
        <v>0</v>
      </c>
      <c r="D443">
        <f>COUNTIFS(Total!C:C,$N$3,Total!F:F, A443, Total!A:A, "&lt;&gt;")</f>
        <v>0</v>
      </c>
      <c r="E443">
        <f>COUNTIFS(Total!C:C,$N$5,Total!F:F, A443, Total!A:A, "&lt;&gt;")</f>
        <v>0</v>
      </c>
    </row>
    <row r="444" spans="1:5" x14ac:dyDescent="0.3">
      <c r="A444" s="1">
        <v>46194</v>
      </c>
      <c r="B444">
        <f>COUNTIFS(Total!F:F, A444, Total!A:A, "&lt;&gt;")</f>
        <v>0</v>
      </c>
      <c r="C444">
        <f>COUNTIFS(Total!C:C,$N$4,Total!F:F, A444, Total!A:A, "&lt;&gt;")</f>
        <v>0</v>
      </c>
      <c r="D444">
        <f>COUNTIFS(Total!C:C,$N$3,Total!F:F, A444, Total!A:A, "&lt;&gt;")</f>
        <v>0</v>
      </c>
      <c r="E444">
        <f>COUNTIFS(Total!C:C,$N$5,Total!F:F, A444, Total!A:A, "&lt;&gt;")</f>
        <v>0</v>
      </c>
    </row>
    <row r="445" spans="1:5" x14ac:dyDescent="0.3">
      <c r="A445" s="1">
        <v>46195</v>
      </c>
      <c r="B445">
        <f>COUNTIFS(Total!F:F, A445, Total!A:A, "&lt;&gt;")</f>
        <v>0</v>
      </c>
      <c r="C445">
        <f>COUNTIFS(Total!C:C,$N$4,Total!F:F, A445, Total!A:A, "&lt;&gt;")</f>
        <v>0</v>
      </c>
      <c r="D445">
        <f>COUNTIFS(Total!C:C,$N$3,Total!F:F, A445, Total!A:A, "&lt;&gt;")</f>
        <v>0</v>
      </c>
      <c r="E445">
        <f>COUNTIFS(Total!C:C,$N$5,Total!F:F, A445, Total!A:A, "&lt;&gt;")</f>
        <v>0</v>
      </c>
    </row>
    <row r="446" spans="1:5" x14ac:dyDescent="0.3">
      <c r="A446" s="1">
        <v>46196</v>
      </c>
      <c r="B446">
        <f>COUNTIFS(Total!F:F, A446, Total!A:A, "&lt;&gt;")</f>
        <v>0</v>
      </c>
      <c r="C446">
        <f>COUNTIFS(Total!C:C,$N$4,Total!F:F, A446, Total!A:A, "&lt;&gt;")</f>
        <v>0</v>
      </c>
      <c r="D446">
        <f>COUNTIFS(Total!C:C,$N$3,Total!F:F, A446, Total!A:A, "&lt;&gt;")</f>
        <v>0</v>
      </c>
      <c r="E446">
        <f>COUNTIFS(Total!C:C,$N$5,Total!F:F, A446, Total!A:A, "&lt;&gt;")</f>
        <v>0</v>
      </c>
    </row>
    <row r="447" spans="1:5" x14ac:dyDescent="0.3">
      <c r="A447" s="1">
        <v>46197</v>
      </c>
      <c r="B447">
        <f>COUNTIFS(Total!F:F, A447, Total!A:A, "&lt;&gt;")</f>
        <v>0</v>
      </c>
      <c r="C447">
        <f>COUNTIFS(Total!C:C,$N$4,Total!F:F, A447, Total!A:A, "&lt;&gt;")</f>
        <v>0</v>
      </c>
      <c r="D447">
        <f>COUNTIFS(Total!C:C,$N$3,Total!F:F, A447, Total!A:A, "&lt;&gt;")</f>
        <v>0</v>
      </c>
      <c r="E447">
        <f>COUNTIFS(Total!C:C,$N$5,Total!F:F, A447, Total!A:A, "&lt;&gt;")</f>
        <v>0</v>
      </c>
    </row>
    <row r="448" spans="1:5" x14ac:dyDescent="0.3">
      <c r="A448" s="1">
        <v>46198</v>
      </c>
      <c r="B448">
        <f>COUNTIFS(Total!F:F, A448, Total!A:A, "&lt;&gt;")</f>
        <v>0</v>
      </c>
      <c r="C448">
        <f>COUNTIFS(Total!C:C,$N$4,Total!F:F, A448, Total!A:A, "&lt;&gt;")</f>
        <v>0</v>
      </c>
      <c r="D448">
        <f>COUNTIFS(Total!C:C,$N$3,Total!F:F, A448, Total!A:A, "&lt;&gt;")</f>
        <v>0</v>
      </c>
      <c r="E448">
        <f>COUNTIFS(Total!C:C,$N$5,Total!F:F, A448, Total!A:A, "&lt;&gt;")</f>
        <v>0</v>
      </c>
    </row>
    <row r="449" spans="1:5" x14ac:dyDescent="0.3">
      <c r="A449" s="1">
        <v>46199</v>
      </c>
      <c r="B449">
        <f>COUNTIFS(Total!F:F, A449, Total!A:A, "&lt;&gt;")</f>
        <v>0</v>
      </c>
      <c r="C449">
        <f>COUNTIFS(Total!C:C,$N$4,Total!F:F, A449, Total!A:A, "&lt;&gt;")</f>
        <v>0</v>
      </c>
      <c r="D449">
        <f>COUNTIFS(Total!C:C,$N$3,Total!F:F, A449, Total!A:A, "&lt;&gt;")</f>
        <v>0</v>
      </c>
      <c r="E449">
        <f>COUNTIFS(Total!C:C,$N$5,Total!F:F, A449, Total!A:A, "&lt;&gt;")</f>
        <v>0</v>
      </c>
    </row>
    <row r="450" spans="1:5" x14ac:dyDescent="0.3">
      <c r="A450" s="1">
        <v>46200</v>
      </c>
      <c r="B450">
        <f>COUNTIFS(Total!F:F, A450, Total!A:A, "&lt;&gt;")</f>
        <v>0</v>
      </c>
      <c r="C450">
        <f>COUNTIFS(Total!C:C,$N$4,Total!F:F, A450, Total!A:A, "&lt;&gt;")</f>
        <v>0</v>
      </c>
      <c r="D450">
        <f>COUNTIFS(Total!C:C,$N$3,Total!F:F, A450, Total!A:A, "&lt;&gt;")</f>
        <v>0</v>
      </c>
      <c r="E450">
        <f>COUNTIFS(Total!C:C,$N$5,Total!F:F, A450, Total!A:A, "&lt;&gt;")</f>
        <v>0</v>
      </c>
    </row>
    <row r="451" spans="1:5" x14ac:dyDescent="0.3">
      <c r="A451" s="1">
        <v>46201</v>
      </c>
      <c r="B451">
        <f>COUNTIFS(Total!F:F, A451, Total!A:A, "&lt;&gt;")</f>
        <v>0</v>
      </c>
      <c r="C451">
        <f>COUNTIFS(Total!C:C,$N$4,Total!F:F, A451, Total!A:A, "&lt;&gt;")</f>
        <v>0</v>
      </c>
      <c r="D451">
        <f>COUNTIFS(Total!C:C,$N$3,Total!F:F, A451, Total!A:A, "&lt;&gt;")</f>
        <v>0</v>
      </c>
      <c r="E451">
        <f>COUNTIFS(Total!C:C,$N$5,Total!F:F, A451, Total!A:A, "&lt;&gt;")</f>
        <v>0</v>
      </c>
    </row>
    <row r="452" spans="1:5" x14ac:dyDescent="0.3">
      <c r="A452" s="1">
        <v>46202</v>
      </c>
      <c r="B452">
        <f>COUNTIFS(Total!F:F, A452, Total!A:A, "&lt;&gt;")</f>
        <v>0</v>
      </c>
      <c r="C452">
        <f>COUNTIFS(Total!C:C,$N$4,Total!F:F, A452, Total!A:A, "&lt;&gt;")</f>
        <v>0</v>
      </c>
      <c r="D452">
        <f>COUNTIFS(Total!C:C,$N$3,Total!F:F, A452, Total!A:A, "&lt;&gt;")</f>
        <v>0</v>
      </c>
      <c r="E452">
        <f>COUNTIFS(Total!C:C,$N$5,Total!F:F, A452, Total!A:A, "&lt;&gt;")</f>
        <v>0</v>
      </c>
    </row>
    <row r="453" spans="1:5" x14ac:dyDescent="0.3">
      <c r="A453" s="1">
        <v>46203</v>
      </c>
      <c r="B453">
        <f>COUNTIFS(Total!F:F, A453, Total!A:A, "&lt;&gt;")</f>
        <v>0</v>
      </c>
      <c r="C453">
        <f>COUNTIFS(Total!C:C,$N$4,Total!F:F, A453, Total!A:A, "&lt;&gt;")</f>
        <v>0</v>
      </c>
      <c r="D453">
        <f>COUNTIFS(Total!C:C,$N$3,Total!F:F, A453, Total!A:A, "&lt;&gt;")</f>
        <v>0</v>
      </c>
      <c r="E453">
        <f>COUNTIFS(Total!C:C,$N$5,Total!F:F, A453, Total!A:A, "&lt;&gt;")</f>
        <v>0</v>
      </c>
    </row>
    <row r="454" spans="1:5" x14ac:dyDescent="0.3">
      <c r="A454" s="1">
        <v>46204</v>
      </c>
      <c r="B454">
        <f>COUNTIFS(Total!F:F, A454, Total!A:A, "&lt;&gt;")</f>
        <v>0</v>
      </c>
      <c r="C454">
        <f>COUNTIFS(Total!C:C,$N$4,Total!F:F, A454, Total!A:A, "&lt;&gt;")</f>
        <v>0</v>
      </c>
      <c r="D454">
        <f>COUNTIFS(Total!C:C,$N$3,Total!F:F, A454, Total!A:A, "&lt;&gt;")</f>
        <v>0</v>
      </c>
      <c r="E454">
        <f>COUNTIFS(Total!C:C,$N$5,Total!F:F, A454, Total!A:A, "&lt;&gt;")</f>
        <v>0</v>
      </c>
    </row>
    <row r="455" spans="1:5" x14ac:dyDescent="0.3">
      <c r="A455" s="1">
        <v>46205</v>
      </c>
      <c r="B455">
        <f>COUNTIFS(Total!F:F, A455, Total!A:A, "&lt;&gt;")</f>
        <v>0</v>
      </c>
      <c r="C455">
        <f>COUNTIFS(Total!C:C,$N$4,Total!F:F, A455, Total!A:A, "&lt;&gt;")</f>
        <v>0</v>
      </c>
      <c r="D455">
        <f>COUNTIFS(Total!C:C,$N$3,Total!F:F, A455, Total!A:A, "&lt;&gt;")</f>
        <v>0</v>
      </c>
      <c r="E455">
        <f>COUNTIFS(Total!C:C,$N$5,Total!F:F, A455, Total!A:A, "&lt;&gt;")</f>
        <v>0</v>
      </c>
    </row>
    <row r="456" spans="1:5" x14ac:dyDescent="0.3">
      <c r="A456" s="1">
        <v>46206</v>
      </c>
      <c r="B456">
        <f>COUNTIFS(Total!F:F, A456, Total!A:A, "&lt;&gt;")</f>
        <v>0</v>
      </c>
      <c r="C456">
        <f>COUNTIFS(Total!C:C,$N$4,Total!F:F, A456, Total!A:A, "&lt;&gt;")</f>
        <v>0</v>
      </c>
      <c r="D456">
        <f>COUNTIFS(Total!C:C,$N$3,Total!F:F, A456, Total!A:A, "&lt;&gt;")</f>
        <v>0</v>
      </c>
      <c r="E456">
        <f>COUNTIFS(Total!C:C,$N$5,Total!F:F, A456, Total!A:A, "&lt;&gt;")</f>
        <v>0</v>
      </c>
    </row>
    <row r="457" spans="1:5" x14ac:dyDescent="0.3">
      <c r="A457" s="1">
        <v>46207</v>
      </c>
      <c r="B457">
        <f>COUNTIFS(Total!F:F, A457, Total!A:A, "&lt;&gt;")</f>
        <v>0</v>
      </c>
      <c r="C457">
        <f>COUNTIFS(Total!C:C,$N$4,Total!F:F, A457, Total!A:A, "&lt;&gt;")</f>
        <v>0</v>
      </c>
      <c r="D457">
        <f>COUNTIFS(Total!C:C,$N$3,Total!F:F, A457, Total!A:A, "&lt;&gt;")</f>
        <v>0</v>
      </c>
      <c r="E457">
        <f>COUNTIFS(Total!C:C,$N$5,Total!F:F, A457, Total!A:A, "&lt;&gt;")</f>
        <v>0</v>
      </c>
    </row>
    <row r="458" spans="1:5" x14ac:dyDescent="0.3">
      <c r="A458" s="1">
        <v>46208</v>
      </c>
      <c r="B458">
        <f>COUNTIFS(Total!F:F, A458, Total!A:A, "&lt;&gt;")</f>
        <v>0</v>
      </c>
      <c r="C458">
        <f>COUNTIFS(Total!C:C,$N$4,Total!F:F, A458, Total!A:A, "&lt;&gt;")</f>
        <v>0</v>
      </c>
      <c r="D458">
        <f>COUNTIFS(Total!C:C,$N$3,Total!F:F, A458, Total!A:A, "&lt;&gt;")</f>
        <v>0</v>
      </c>
      <c r="E458">
        <f>COUNTIFS(Total!C:C,$N$5,Total!F:F, A458, Total!A:A, "&lt;&gt;")</f>
        <v>0</v>
      </c>
    </row>
    <row r="459" spans="1:5" x14ac:dyDescent="0.3">
      <c r="A459" s="1">
        <v>46209</v>
      </c>
      <c r="B459">
        <f>COUNTIFS(Total!F:F, A459, Total!A:A, "&lt;&gt;")</f>
        <v>0</v>
      </c>
      <c r="C459">
        <f>COUNTIFS(Total!C:C,$N$4,Total!F:F, A459, Total!A:A, "&lt;&gt;")</f>
        <v>0</v>
      </c>
      <c r="D459">
        <f>COUNTIFS(Total!C:C,$N$3,Total!F:F, A459, Total!A:A, "&lt;&gt;")</f>
        <v>0</v>
      </c>
      <c r="E459">
        <f>COUNTIFS(Total!C:C,$N$5,Total!F:F, A459, Total!A:A, "&lt;&gt;")</f>
        <v>0</v>
      </c>
    </row>
    <row r="460" spans="1:5" x14ac:dyDescent="0.3">
      <c r="A460" s="1">
        <v>46210</v>
      </c>
      <c r="B460">
        <f>COUNTIFS(Total!F:F, A460, Total!A:A, "&lt;&gt;")</f>
        <v>0</v>
      </c>
      <c r="C460">
        <f>COUNTIFS(Total!C:C,$N$4,Total!F:F, A460, Total!A:A, "&lt;&gt;")</f>
        <v>0</v>
      </c>
      <c r="D460">
        <f>COUNTIFS(Total!C:C,$N$3,Total!F:F, A460, Total!A:A, "&lt;&gt;")</f>
        <v>0</v>
      </c>
      <c r="E460">
        <f>COUNTIFS(Total!C:C,$N$5,Total!F:F, A460, Total!A:A, "&lt;&gt;")</f>
        <v>0</v>
      </c>
    </row>
    <row r="461" spans="1:5" x14ac:dyDescent="0.3">
      <c r="A461" s="1">
        <v>46211</v>
      </c>
      <c r="B461">
        <f>COUNTIFS(Total!F:F, A461, Total!A:A, "&lt;&gt;")</f>
        <v>0</v>
      </c>
      <c r="C461">
        <f>COUNTIFS(Total!C:C,$N$4,Total!F:F, A461, Total!A:A, "&lt;&gt;")</f>
        <v>0</v>
      </c>
      <c r="D461">
        <f>COUNTIFS(Total!C:C,$N$3,Total!F:F, A461, Total!A:A, "&lt;&gt;")</f>
        <v>0</v>
      </c>
      <c r="E461">
        <f>COUNTIFS(Total!C:C,$N$5,Total!F:F, A461, Total!A:A, "&lt;&gt;")</f>
        <v>0</v>
      </c>
    </row>
    <row r="462" spans="1:5" x14ac:dyDescent="0.3">
      <c r="A462" s="1">
        <v>46212</v>
      </c>
      <c r="B462">
        <f>COUNTIFS(Total!F:F, A462, Total!A:A, "&lt;&gt;")</f>
        <v>0</v>
      </c>
      <c r="C462">
        <f>COUNTIFS(Total!C:C,$N$4,Total!F:F, A462, Total!A:A, "&lt;&gt;")</f>
        <v>0</v>
      </c>
      <c r="D462">
        <f>COUNTIFS(Total!C:C,$N$3,Total!F:F, A462, Total!A:A, "&lt;&gt;")</f>
        <v>0</v>
      </c>
      <c r="E462">
        <f>COUNTIFS(Total!C:C,$N$5,Total!F:F, A462, Total!A:A, "&lt;&gt;")</f>
        <v>0</v>
      </c>
    </row>
    <row r="463" spans="1:5" x14ac:dyDescent="0.3">
      <c r="A463" s="1">
        <v>46213</v>
      </c>
      <c r="B463">
        <f>COUNTIFS(Total!F:F, A463, Total!A:A, "&lt;&gt;")</f>
        <v>0</v>
      </c>
      <c r="C463">
        <f>COUNTIFS(Total!C:C,$N$4,Total!F:F, A463, Total!A:A, "&lt;&gt;")</f>
        <v>0</v>
      </c>
      <c r="D463">
        <f>COUNTIFS(Total!C:C,$N$3,Total!F:F, A463, Total!A:A, "&lt;&gt;")</f>
        <v>0</v>
      </c>
      <c r="E463">
        <f>COUNTIFS(Total!C:C,$N$5,Total!F:F, A463, Total!A:A, "&lt;&gt;")</f>
        <v>0</v>
      </c>
    </row>
    <row r="464" spans="1:5" x14ac:dyDescent="0.3">
      <c r="A464" s="1">
        <v>46214</v>
      </c>
      <c r="B464">
        <f>COUNTIFS(Total!F:F, A464, Total!A:A, "&lt;&gt;")</f>
        <v>0</v>
      </c>
      <c r="C464">
        <f>COUNTIFS(Total!C:C,$N$4,Total!F:F, A464, Total!A:A, "&lt;&gt;")</f>
        <v>0</v>
      </c>
      <c r="D464">
        <f>COUNTIFS(Total!C:C,$N$3,Total!F:F, A464, Total!A:A, "&lt;&gt;")</f>
        <v>0</v>
      </c>
      <c r="E464">
        <f>COUNTIFS(Total!C:C,$N$5,Total!F:F, A464, Total!A:A, "&lt;&gt;")</f>
        <v>0</v>
      </c>
    </row>
    <row r="465" spans="1:5" x14ac:dyDescent="0.3">
      <c r="A465" s="1">
        <v>46215</v>
      </c>
      <c r="B465">
        <f>COUNTIFS(Total!F:F, A465, Total!A:A, "&lt;&gt;")</f>
        <v>0</v>
      </c>
      <c r="C465">
        <f>COUNTIFS(Total!C:C,$N$4,Total!F:F, A465, Total!A:A, "&lt;&gt;")</f>
        <v>0</v>
      </c>
      <c r="D465">
        <f>COUNTIFS(Total!C:C,$N$3,Total!F:F, A465, Total!A:A, "&lt;&gt;")</f>
        <v>0</v>
      </c>
      <c r="E465">
        <f>COUNTIFS(Total!C:C,$N$5,Total!F:F, A465, Total!A:A, "&lt;&gt;")</f>
        <v>0</v>
      </c>
    </row>
    <row r="466" spans="1:5" x14ac:dyDescent="0.3">
      <c r="A466" s="1">
        <v>46216</v>
      </c>
      <c r="B466">
        <f>COUNTIFS(Total!F:F, A466, Total!A:A, "&lt;&gt;")</f>
        <v>0</v>
      </c>
      <c r="C466">
        <f>COUNTIFS(Total!C:C,$N$4,Total!F:F, A466, Total!A:A, "&lt;&gt;")</f>
        <v>0</v>
      </c>
      <c r="D466">
        <f>COUNTIFS(Total!C:C,$N$3,Total!F:F, A466, Total!A:A, "&lt;&gt;")</f>
        <v>0</v>
      </c>
      <c r="E466">
        <f>COUNTIFS(Total!C:C,$N$5,Total!F:F, A466, Total!A:A, "&lt;&gt;")</f>
        <v>0</v>
      </c>
    </row>
    <row r="467" spans="1:5" x14ac:dyDescent="0.3">
      <c r="A467" s="1">
        <v>46217</v>
      </c>
      <c r="B467">
        <f>COUNTIFS(Total!F:F, A467, Total!A:A, "&lt;&gt;")</f>
        <v>0</v>
      </c>
      <c r="C467">
        <f>COUNTIFS(Total!C:C,$N$4,Total!F:F, A467, Total!A:A, "&lt;&gt;")</f>
        <v>0</v>
      </c>
      <c r="D467">
        <f>COUNTIFS(Total!C:C,$N$3,Total!F:F, A467, Total!A:A, "&lt;&gt;")</f>
        <v>0</v>
      </c>
      <c r="E467">
        <f>COUNTIFS(Total!C:C,$N$5,Total!F:F, A467, Total!A:A, "&lt;&gt;")</f>
        <v>0</v>
      </c>
    </row>
    <row r="468" spans="1:5" x14ac:dyDescent="0.3">
      <c r="A468" s="1">
        <v>46218</v>
      </c>
      <c r="B468">
        <f>COUNTIFS(Total!F:F, A468, Total!A:A, "&lt;&gt;")</f>
        <v>0</v>
      </c>
      <c r="C468">
        <f>COUNTIFS(Total!C:C,$N$4,Total!F:F, A468, Total!A:A, "&lt;&gt;")</f>
        <v>0</v>
      </c>
      <c r="D468">
        <f>COUNTIFS(Total!C:C,$N$3,Total!F:F, A468, Total!A:A, "&lt;&gt;")</f>
        <v>0</v>
      </c>
      <c r="E468">
        <f>COUNTIFS(Total!C:C,$N$5,Total!F:F, A468, Total!A:A, "&lt;&gt;")</f>
        <v>0</v>
      </c>
    </row>
    <row r="469" spans="1:5" x14ac:dyDescent="0.3">
      <c r="A469" s="1">
        <v>46219</v>
      </c>
      <c r="B469">
        <f>COUNTIFS(Total!F:F, A469, Total!A:A, "&lt;&gt;")</f>
        <v>0</v>
      </c>
      <c r="C469">
        <f>COUNTIFS(Total!C:C,$N$4,Total!F:F, A469, Total!A:A, "&lt;&gt;")</f>
        <v>0</v>
      </c>
      <c r="D469">
        <f>COUNTIFS(Total!C:C,$N$3,Total!F:F, A469, Total!A:A, "&lt;&gt;")</f>
        <v>0</v>
      </c>
      <c r="E469">
        <f>COUNTIFS(Total!C:C,$N$5,Total!F:F, A469, Total!A:A, "&lt;&gt;")</f>
        <v>0</v>
      </c>
    </row>
    <row r="470" spans="1:5" x14ac:dyDescent="0.3">
      <c r="A470" s="1">
        <v>46220</v>
      </c>
      <c r="B470">
        <f>COUNTIFS(Total!F:F, A470, Total!A:A, "&lt;&gt;")</f>
        <v>0</v>
      </c>
      <c r="C470">
        <f>COUNTIFS(Total!C:C,$N$4,Total!F:F, A470, Total!A:A, "&lt;&gt;")</f>
        <v>0</v>
      </c>
      <c r="D470">
        <f>COUNTIFS(Total!C:C,$N$3,Total!F:F, A470, Total!A:A, "&lt;&gt;")</f>
        <v>0</v>
      </c>
      <c r="E470">
        <f>COUNTIFS(Total!C:C,$N$5,Total!F:F, A470, Total!A:A, "&lt;&gt;")</f>
        <v>0</v>
      </c>
    </row>
    <row r="471" spans="1:5" x14ac:dyDescent="0.3">
      <c r="A471" s="1">
        <v>46221</v>
      </c>
      <c r="B471">
        <f>COUNTIFS(Total!F:F, A471, Total!A:A, "&lt;&gt;")</f>
        <v>0</v>
      </c>
      <c r="C471">
        <f>COUNTIFS(Total!C:C,$N$4,Total!F:F, A471, Total!A:A, "&lt;&gt;")</f>
        <v>0</v>
      </c>
      <c r="D471">
        <f>COUNTIFS(Total!C:C,$N$3,Total!F:F, A471, Total!A:A, "&lt;&gt;")</f>
        <v>0</v>
      </c>
      <c r="E471">
        <f>COUNTIFS(Total!C:C,$N$5,Total!F:F, A471, Total!A:A, "&lt;&gt;")</f>
        <v>0</v>
      </c>
    </row>
    <row r="472" spans="1:5" x14ac:dyDescent="0.3">
      <c r="A472" s="1">
        <v>46222</v>
      </c>
      <c r="B472">
        <f>COUNTIFS(Total!F:F, A472, Total!A:A, "&lt;&gt;")</f>
        <v>0</v>
      </c>
      <c r="C472">
        <f>COUNTIFS(Total!C:C,$N$4,Total!F:F, A472, Total!A:A, "&lt;&gt;")</f>
        <v>0</v>
      </c>
      <c r="D472">
        <f>COUNTIFS(Total!C:C,$N$3,Total!F:F, A472, Total!A:A, "&lt;&gt;")</f>
        <v>0</v>
      </c>
      <c r="E472">
        <f>COUNTIFS(Total!C:C,$N$5,Total!F:F, A472, Total!A:A, "&lt;&gt;")</f>
        <v>0</v>
      </c>
    </row>
    <row r="473" spans="1:5" x14ac:dyDescent="0.3">
      <c r="A473" s="1">
        <v>46223</v>
      </c>
      <c r="B473">
        <f>COUNTIFS(Total!F:F, A473, Total!A:A, "&lt;&gt;")</f>
        <v>0</v>
      </c>
      <c r="C473">
        <f>COUNTIFS(Total!C:C,$N$4,Total!F:F, A473, Total!A:A, "&lt;&gt;")</f>
        <v>0</v>
      </c>
      <c r="D473">
        <f>COUNTIFS(Total!C:C,$N$3,Total!F:F, A473, Total!A:A, "&lt;&gt;")</f>
        <v>0</v>
      </c>
      <c r="E473">
        <f>COUNTIFS(Total!C:C,$N$5,Total!F:F, A473, Total!A:A, "&lt;&gt;")</f>
        <v>0</v>
      </c>
    </row>
    <row r="474" spans="1:5" x14ac:dyDescent="0.3">
      <c r="A474" s="1">
        <v>46224</v>
      </c>
      <c r="B474">
        <f>COUNTIFS(Total!F:F, A474, Total!A:A, "&lt;&gt;")</f>
        <v>0</v>
      </c>
      <c r="C474">
        <f>COUNTIFS(Total!C:C,$N$4,Total!F:F, A474, Total!A:A, "&lt;&gt;")</f>
        <v>0</v>
      </c>
      <c r="D474">
        <f>COUNTIFS(Total!C:C,$N$3,Total!F:F, A474, Total!A:A, "&lt;&gt;")</f>
        <v>0</v>
      </c>
      <c r="E474">
        <f>COUNTIFS(Total!C:C,$N$5,Total!F:F, A474, Total!A:A, "&lt;&gt;")</f>
        <v>0</v>
      </c>
    </row>
    <row r="475" spans="1:5" x14ac:dyDescent="0.3">
      <c r="A475" s="1">
        <v>46225</v>
      </c>
      <c r="B475">
        <f>COUNTIFS(Total!F:F, A475, Total!A:A, "&lt;&gt;")</f>
        <v>0</v>
      </c>
      <c r="C475">
        <f>COUNTIFS(Total!C:C,$N$4,Total!F:F, A475, Total!A:A, "&lt;&gt;")</f>
        <v>0</v>
      </c>
      <c r="D475">
        <f>COUNTIFS(Total!C:C,$N$3,Total!F:F, A475, Total!A:A, "&lt;&gt;")</f>
        <v>0</v>
      </c>
      <c r="E475">
        <f>COUNTIFS(Total!C:C,$N$5,Total!F:F, A475, Total!A:A, "&lt;&gt;")</f>
        <v>0</v>
      </c>
    </row>
    <row r="476" spans="1:5" x14ac:dyDescent="0.3">
      <c r="A476" s="1">
        <v>46226</v>
      </c>
      <c r="B476">
        <f>COUNTIFS(Total!F:F, A476, Total!A:A, "&lt;&gt;")</f>
        <v>0</v>
      </c>
      <c r="C476">
        <f>COUNTIFS(Total!C:C,$N$4,Total!F:F, A476, Total!A:A, "&lt;&gt;")</f>
        <v>0</v>
      </c>
      <c r="D476">
        <f>COUNTIFS(Total!C:C,$N$3,Total!F:F, A476, Total!A:A, "&lt;&gt;")</f>
        <v>0</v>
      </c>
      <c r="E476">
        <f>COUNTIFS(Total!C:C,$N$5,Total!F:F, A476, Total!A:A, "&lt;&gt;")</f>
        <v>0</v>
      </c>
    </row>
    <row r="477" spans="1:5" x14ac:dyDescent="0.3">
      <c r="A477" s="1">
        <v>46227</v>
      </c>
      <c r="B477">
        <f>COUNTIFS(Total!F:F, A477, Total!A:A, "&lt;&gt;")</f>
        <v>0</v>
      </c>
      <c r="C477">
        <f>COUNTIFS(Total!C:C,$N$4,Total!F:F, A477, Total!A:A, "&lt;&gt;")</f>
        <v>0</v>
      </c>
      <c r="D477">
        <f>COUNTIFS(Total!C:C,$N$3,Total!F:F, A477, Total!A:A, "&lt;&gt;")</f>
        <v>0</v>
      </c>
      <c r="E477">
        <f>COUNTIFS(Total!C:C,$N$5,Total!F:F, A477, Total!A:A, "&lt;&gt;")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AD0E6347-418F-4113-8B14-3ED135E535C3}">
  <ds:schemaRefs/>
</ds:datastoreItem>
</file>

<file path=customXml/itemProps2.xml><?xml version="1.0" encoding="utf-8"?>
<ds:datastoreItem xmlns:ds="http://schemas.openxmlformats.org/officeDocument/2006/customXml" ds:itemID="{01308AB2-BCB8-484B-A959-DC22D843BCEC}">
  <ds:schemaRefs/>
</ds:datastoreItem>
</file>

<file path=customXml/itemProps3.xml><?xml version="1.0" encoding="utf-8"?>
<ds:datastoreItem xmlns:ds="http://schemas.openxmlformats.org/officeDocument/2006/customXml" ds:itemID="{99F0D4B4-1907-432A-A526-0A6148991D97}">
  <ds:schemaRefs/>
</ds:datastoreItem>
</file>

<file path=customXml/itemProps4.xml><?xml version="1.0" encoding="utf-8"?>
<ds:datastoreItem xmlns:ds="http://schemas.openxmlformats.org/officeDocument/2006/customXml" ds:itemID="{CCC97A36-31DF-4643-893C-56DBE778EF9D}">
  <ds:schemaRefs/>
</ds:datastoreItem>
</file>

<file path=customXml/itemProps5.xml><?xml version="1.0" encoding="utf-8"?>
<ds:datastoreItem xmlns:ds="http://schemas.openxmlformats.org/officeDocument/2006/customXml" ds:itemID="{F241F489-2160-4220-8F07-595A3AEEF53B}">
  <ds:schemaRefs/>
</ds:datastoreItem>
</file>

<file path=customXml/itemProps6.xml><?xml version="1.0" encoding="utf-8"?>
<ds:datastoreItem xmlns:ds="http://schemas.openxmlformats.org/officeDocument/2006/customXml" ds:itemID="{73F2155F-9571-4A25-A640-442FCE6C1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</vt:lpstr>
      <vt:lpstr>Total</vt:lpstr>
      <vt:lpstr>Summary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Kumaran, Hari Krishnan {MMSI~MISSISSAUGA}</dc:creator>
  <cp:lastModifiedBy>Kumaran, Hari Krishnan {MMSA~MISSISSAUGA}</cp:lastModifiedBy>
  <cp:lastPrinted>2026-02-18T01:14:07Z</cp:lastPrinted>
  <dcterms:created xsi:type="dcterms:W3CDTF">2025-09-03T20:48:08Z</dcterms:created>
  <dcterms:modified xsi:type="dcterms:W3CDTF">2026-04-24T20:18:23Z</dcterms:modified>
</cp:coreProperties>
</file>